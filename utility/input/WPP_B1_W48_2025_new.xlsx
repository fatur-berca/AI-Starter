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micloud-my.sharepoint.com/personal/faurino1_pmintl_net/Documents/DC Sukorejo/AP Improvement/Data Seeding Week 48/"/>
    </mc:Choice>
  </mc:AlternateContent>
  <xr:revisionPtr revIDLastSave="2" documentId="13_ncr:1_{2B0D69BE-E6DC-48CB-A0AA-E27FB992367A}" xr6:coauthVersionLast="47" xr6:coauthVersionMax="47" xr10:uidLastSave="{9087CB19-6997-4564-81F4-4FA3F796ACB1}"/>
  <bookViews>
    <workbookView xWindow="-108" yWindow="-108" windowWidth="23256" windowHeight="12456" tabRatio="991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8" i="2" l="1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9" i="2"/>
</calcChain>
</file>

<file path=xl/sharedStrings.xml><?xml version="1.0" encoding="utf-8"?>
<sst xmlns="http://schemas.openxmlformats.org/spreadsheetml/2006/main" count="322" uniqueCount="93">
  <si>
    <t>Brand</t>
  </si>
  <si>
    <t>Location</t>
  </si>
  <si>
    <t>Summary Daily Production target</t>
  </si>
  <si>
    <t>Monday</t>
  </si>
  <si>
    <t>Tuesday</t>
  </si>
  <si>
    <t>Wednesday</t>
  </si>
  <si>
    <t>Thurday</t>
  </si>
  <si>
    <t>Friday</t>
  </si>
  <si>
    <t>Saturday</t>
  </si>
  <si>
    <t>Sunday</t>
  </si>
  <si>
    <t>Total</t>
  </si>
  <si>
    <t>Year</t>
  </si>
  <si>
    <t>Decimal</t>
  </si>
  <si>
    <t>Week</t>
  </si>
  <si>
    <t>: 2025</t>
  </si>
  <si>
    <t>: SKT</t>
  </si>
  <si>
    <t>: 2</t>
  </si>
  <si>
    <t>: 48</t>
  </si>
  <si>
    <t>24/11/2025</t>
  </si>
  <si>
    <t>25/11/2025</t>
  </si>
  <si>
    <t>26/11/2025</t>
  </si>
  <si>
    <t>27/11/2025</t>
  </si>
  <si>
    <t>28/11/2025</t>
  </si>
  <si>
    <t>29/11/2025</t>
  </si>
  <si>
    <t>30/11/2025</t>
  </si>
  <si>
    <t>FA035355.04</t>
  </si>
  <si>
    <t>ID24</t>
  </si>
  <si>
    <t>IDBN</t>
  </si>
  <si>
    <t>FA035621.28</t>
  </si>
  <si>
    <t>IDAD</t>
  </si>
  <si>
    <t>IDAI</t>
  </si>
  <si>
    <t>IDAP</t>
  </si>
  <si>
    <t>IDAS</t>
  </si>
  <si>
    <t>IDBO</t>
  </si>
  <si>
    <t>IDBP</t>
  </si>
  <si>
    <t>IDBQ</t>
  </si>
  <si>
    <t>IDBR</t>
  </si>
  <si>
    <t>FA077336.15</t>
  </si>
  <si>
    <t>IDAE</t>
  </si>
  <si>
    <t>IDAN</t>
  </si>
  <si>
    <t>FA078299.06</t>
  </si>
  <si>
    <t>ID21</t>
  </si>
  <si>
    <t>ID22</t>
  </si>
  <si>
    <t>ID26</t>
  </si>
  <si>
    <t>IDAB</t>
  </si>
  <si>
    <t>IDAC</t>
  </si>
  <si>
    <t>IDAM</t>
  </si>
  <si>
    <t>IDAU</t>
  </si>
  <si>
    <t>IDAV</t>
  </si>
  <si>
    <t>IDAZ</t>
  </si>
  <si>
    <t>IDBB</t>
  </si>
  <si>
    <t>IDBC</t>
  </si>
  <si>
    <t>IDBE</t>
  </si>
  <si>
    <t>IDBF</t>
  </si>
  <si>
    <t>IDBG</t>
  </si>
  <si>
    <t>FA078300.06</t>
  </si>
  <si>
    <t>FA078301.09</t>
  </si>
  <si>
    <t>IDAA</t>
  </si>
  <si>
    <t>IDAO</t>
  </si>
  <si>
    <t>IDAT</t>
  </si>
  <si>
    <t>IDBA</t>
  </si>
  <si>
    <t>IDBJ</t>
  </si>
  <si>
    <t>FA079257.05</t>
  </si>
  <si>
    <t>IDAL</t>
  </si>
  <si>
    <t>FA079829.04</t>
  </si>
  <si>
    <t>IDAJ</t>
  </si>
  <si>
    <t>IDBD</t>
  </si>
  <si>
    <t>FA083067.02</t>
  </si>
  <si>
    <t>IDBI</t>
  </si>
  <si>
    <t>IDBM</t>
  </si>
  <si>
    <t>FA084857.01</t>
  </si>
  <si>
    <t>ID28</t>
  </si>
  <si>
    <t>ID29</t>
  </si>
  <si>
    <t>IDAF</t>
  </si>
  <si>
    <t>IDAK</t>
  </si>
  <si>
    <t>IDAQ</t>
  </si>
  <si>
    <t>IDAR</t>
  </si>
  <si>
    <t>IDAY</t>
  </si>
  <si>
    <t>FA084899.01</t>
  </si>
  <si>
    <t>FA085045.01</t>
  </si>
  <si>
    <t>FA085197.01</t>
  </si>
  <si>
    <t>FA085321.02</t>
  </si>
  <si>
    <t>IDAW</t>
  </si>
  <si>
    <t>IDBH</t>
  </si>
  <si>
    <t>FA085735.01</t>
  </si>
  <si>
    <t>FA085737.01</t>
  </si>
  <si>
    <t>FA085817.01</t>
  </si>
  <si>
    <t>IDBK</t>
  </si>
  <si>
    <t>FA087372.00</t>
  </si>
  <si>
    <t>IDAH</t>
  </si>
  <si>
    <t>FA087414.00</t>
  </si>
  <si>
    <t>IDAG</t>
  </si>
  <si>
    <t>IDAX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</si>
</sst>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  <charset val="1"/>
    </font>
    <font>
      <b/>
      <sz val="17"/>
      <color rgb="FF000000"/>
      <name val="Calibri"/>
      <family val="2"/>
      <charset val="1"/>
    </font>
    <font>
      <b/>
      <sz val="10"/>
      <color rgb="FFFFFFFF"/>
      <name val="Calibri"/>
      <family val="2"/>
      <charset val="1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charset val="1"/>
    </font>
    <font>
      <sz val="10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000099"/>
        <bgColor rgb="FF000080"/>
      </patternFill>
    </fill>
    <fill>
      <patternFill patternType="solid">
        <fgColor rgb="FF778899"/>
        <bgColor rgb="FF778899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left" vertical="center" wrapText="1"/>
    </xf>
    <xf numFmtId="0" fontId="5" fillId="0" borderId="4" xfId="0" applyFont="1" applyBorder="1"/>
    <xf numFmtId="0" fontId="5" fillId="3" borderId="4" xfId="0" applyFont="1" applyFill="1" applyBorder="1"/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  <xf numFmtId="0" fontId="5" fillId="3" borderId="4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99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6"/>
  <sheetViews>
    <sheetView showGridLines="0" tabSelected="1" topLeftCell="A12" zoomScaleNormal="100" workbookViewId="0">
      <selection activeCell="A26" sqref="A26"/>
    </sheetView>
  </sheetViews>
  <sheetFormatPr defaultRowHeight="14.4" x14ac:dyDescent="0.3"/>
  <cols>
    <col min="1" max="1" width="11.5546875" bestFit="1" customWidth="1"/>
    <col min="2" max="2" width="6.5546875" bestFit="1" customWidth="1"/>
    <col min="3" max="6" width="10.77734375" bestFit="1" customWidth="1"/>
    <col min="7" max="9" width="10.5546875" bestFit="1" customWidth="1"/>
    <col min="10" max="10" width="4.77734375" bestFit="1" customWidth="1"/>
    <col min="11" max="1017" width="8.5546875" customWidth="1"/>
  </cols>
  <sheetData>
    <row r="1" spans="1:10" ht="22.5" customHeight="1" x14ac:dyDescent="0.3">
      <c r="A1" s="14" t="s">
        <v>2</v>
      </c>
      <c r="B1" s="14"/>
      <c r="C1" s="14"/>
      <c r="D1" s="14"/>
      <c r="E1" s="14"/>
      <c r="F1" s="14"/>
      <c r="G1" s="14"/>
      <c r="H1" s="14"/>
      <c r="I1" s="14"/>
      <c r="J1" s="14"/>
    </row>
    <row r="2" spans="1:10" ht="22.5" customHeight="1" x14ac:dyDescent="0.3">
      <c r="A2" s="3"/>
      <c r="B2" s="3"/>
      <c r="C2" s="3"/>
      <c r="D2" s="3"/>
      <c r="E2" s="3"/>
      <c r="F2" s="3"/>
      <c r="G2" s="3"/>
      <c r="H2" s="3"/>
      <c r="I2" s="3"/>
      <c r="J2" s="3"/>
    </row>
    <row r="3" spans="1:10" ht="15.75" customHeight="1" x14ac:dyDescent="0.3">
      <c r="A3" s="8" t="s">
        <v>11</v>
      </c>
      <c r="B3" s="9" t="s">
        <v>14</v>
      </c>
      <c r="C3" s="3"/>
      <c r="D3" s="3"/>
      <c r="E3" s="7" t="s">
        <v>13</v>
      </c>
      <c r="F3" s="9" t="s">
        <v>17</v>
      </c>
      <c r="G3" s="3"/>
      <c r="H3" s="3"/>
      <c r="I3" s="3"/>
      <c r="J3" s="3"/>
    </row>
    <row r="4" spans="1:10" ht="15.75" customHeight="1" x14ac:dyDescent="0.3">
      <c r="A4" s="9" t="s">
        <v>1</v>
      </c>
      <c r="B4" s="9" t="s">
        <v>15</v>
      </c>
      <c r="C4" s="3"/>
      <c r="D4" s="3"/>
      <c r="E4" s="3"/>
      <c r="F4" s="3"/>
      <c r="G4" s="3"/>
      <c r="H4" s="3"/>
      <c r="I4" s="3"/>
      <c r="J4" s="3"/>
    </row>
    <row r="5" spans="1:10" ht="16.5" customHeight="1" x14ac:dyDescent="0.3">
      <c r="A5" s="9" t="s">
        <v>12</v>
      </c>
      <c r="B5" s="9" t="s">
        <v>16</v>
      </c>
      <c r="C5" s="3"/>
      <c r="D5" s="3"/>
      <c r="E5" s="3"/>
      <c r="F5" s="3"/>
      <c r="G5" s="3"/>
      <c r="H5" s="3"/>
      <c r="I5" s="3"/>
      <c r="J5" s="3"/>
    </row>
    <row r="7" spans="1:10" x14ac:dyDescent="0.3">
      <c r="A7" s="12" t="s">
        <v>0</v>
      </c>
      <c r="B7" s="12" t="s">
        <v>1</v>
      </c>
      <c r="C7" s="1" t="s">
        <v>3</v>
      </c>
      <c r="D7" s="1" t="s">
        <v>4</v>
      </c>
      <c r="E7" s="1" t="s">
        <v>5</v>
      </c>
      <c r="F7" s="1" t="s">
        <v>6</v>
      </c>
      <c r="G7" s="1" t="s">
        <v>7</v>
      </c>
      <c r="H7" s="1" t="s">
        <v>8</v>
      </c>
      <c r="I7" s="1" t="s">
        <v>9</v>
      </c>
      <c r="J7" s="12" t="s">
        <v>10</v>
      </c>
    </row>
    <row r="8" spans="1:10" x14ac:dyDescent="0.3">
      <c r="A8" s="13"/>
      <c r="B8" s="13"/>
      <c r="C8" s="2" t="s">
        <v>18</v>
      </c>
      <c r="D8" s="2" t="s">
        <v>19</v>
      </c>
      <c r="E8" s="2" t="s">
        <v>20</v>
      </c>
      <c r="F8" s="2" t="s">
        <v>21</v>
      </c>
      <c r="G8" s="2" t="s">
        <v>22</v>
      </c>
      <c r="H8" s="2" t="s">
        <v>23</v>
      </c>
      <c r="I8" s="2" t="s">
        <v>24</v>
      </c>
      <c r="J8" s="13"/>
    </row>
    <row r="9" spans="1:10" x14ac:dyDescent="0.3">
      <c r="A9" s="10" t="s">
        <v>25</v>
      </c>
      <c r="B9" s="10" t="s">
        <v>26</v>
      </c>
      <c r="C9" s="10">
        <v>83</v>
      </c>
      <c r="D9" s="10">
        <v>83</v>
      </c>
      <c r="E9" s="10">
        <v>83</v>
      </c>
      <c r="F9" s="10">
        <v>83</v>
      </c>
      <c r="G9" s="10">
        <v>83</v>
      </c>
      <c r="H9" s="10">
        <v>57</v>
      </c>
      <c r="I9" s="10">
        <v>0</v>
      </c>
      <c r="J9" s="10">
        <v>472</v>
      </c>
    </row>
    <row r="10" spans="1:10" x14ac:dyDescent="0.3">
      <c r="A10" s="10" t="s">
        <v>25</v>
      </c>
      <c r="B10" s="10" t="s">
        <v>27</v>
      </c>
      <c r="C10" s="10">
        <v>840</v>
      </c>
      <c r="D10" s="10">
        <v>840</v>
      </c>
      <c r="E10" s="10">
        <v>840</v>
      </c>
      <c r="F10" s="10">
        <v>840</v>
      </c>
      <c r="G10" s="10">
        <v>840</v>
      </c>
      <c r="H10" s="10">
        <v>607</v>
      </c>
      <c r="I10" s="10">
        <v>0</v>
      </c>
      <c r="J10" s="10">
        <v>4807</v>
      </c>
    </row>
    <row r="11" spans="1:10" x14ac:dyDescent="0.3">
      <c r="A11" s="10" t="s">
        <v>28</v>
      </c>
      <c r="B11" s="10" t="s">
        <v>29</v>
      </c>
      <c r="C11" s="10">
        <v>545</v>
      </c>
      <c r="D11" s="10">
        <v>545</v>
      </c>
      <c r="E11" s="10">
        <v>545</v>
      </c>
      <c r="F11" s="10">
        <v>545</v>
      </c>
      <c r="G11" s="10">
        <v>545</v>
      </c>
      <c r="H11" s="10">
        <v>376</v>
      </c>
      <c r="I11" s="10">
        <v>0</v>
      </c>
      <c r="J11" s="10">
        <v>3101</v>
      </c>
    </row>
    <row r="12" spans="1:10" x14ac:dyDescent="0.3">
      <c r="A12" s="10" t="s">
        <v>28</v>
      </c>
      <c r="B12" s="10" t="s">
        <v>30</v>
      </c>
      <c r="C12" s="10">
        <v>270</v>
      </c>
      <c r="D12" s="10">
        <v>270</v>
      </c>
      <c r="E12" s="10">
        <v>270</v>
      </c>
      <c r="F12" s="10">
        <v>270</v>
      </c>
      <c r="G12" s="10">
        <v>270</v>
      </c>
      <c r="H12" s="10">
        <v>191</v>
      </c>
      <c r="I12" s="10">
        <v>0</v>
      </c>
      <c r="J12" s="10">
        <v>1541</v>
      </c>
    </row>
    <row r="13" spans="1:10" x14ac:dyDescent="0.3">
      <c r="A13" s="10" t="s">
        <v>28</v>
      </c>
      <c r="B13" s="10" t="s">
        <v>31</v>
      </c>
      <c r="C13" s="10">
        <v>275</v>
      </c>
      <c r="D13" s="10">
        <v>275</v>
      </c>
      <c r="E13" s="10">
        <v>275</v>
      </c>
      <c r="F13" s="10">
        <v>275</v>
      </c>
      <c r="G13" s="10">
        <v>275</v>
      </c>
      <c r="H13" s="10">
        <v>195</v>
      </c>
      <c r="I13" s="10">
        <v>0</v>
      </c>
      <c r="J13" s="10">
        <v>1570</v>
      </c>
    </row>
    <row r="14" spans="1:10" x14ac:dyDescent="0.3">
      <c r="A14" s="10" t="s">
        <v>28</v>
      </c>
      <c r="B14" s="10" t="s">
        <v>32</v>
      </c>
      <c r="C14" s="10">
        <v>400</v>
      </c>
      <c r="D14" s="10">
        <v>400</v>
      </c>
      <c r="E14" s="10">
        <v>400</v>
      </c>
      <c r="F14" s="10">
        <v>400</v>
      </c>
      <c r="G14" s="10">
        <v>400</v>
      </c>
      <c r="H14" s="10">
        <v>282</v>
      </c>
      <c r="I14" s="10">
        <v>0</v>
      </c>
      <c r="J14" s="10">
        <v>2282</v>
      </c>
    </row>
    <row r="15" spans="1:10" x14ac:dyDescent="0.3">
      <c r="A15" s="10" t="s">
        <v>28</v>
      </c>
      <c r="B15" s="10" t="s">
        <v>33</v>
      </c>
      <c r="C15" s="10">
        <v>756</v>
      </c>
      <c r="D15" s="10">
        <v>756</v>
      </c>
      <c r="E15" s="10">
        <v>760</v>
      </c>
      <c r="F15" s="10">
        <v>756</v>
      </c>
      <c r="G15" s="10">
        <v>756</v>
      </c>
      <c r="H15" s="10">
        <v>545</v>
      </c>
      <c r="I15" s="10">
        <v>0</v>
      </c>
      <c r="J15" s="10">
        <v>4329</v>
      </c>
    </row>
    <row r="16" spans="1:10" x14ac:dyDescent="0.3">
      <c r="A16" s="10" t="s">
        <v>28</v>
      </c>
      <c r="B16" s="10" t="s">
        <v>34</v>
      </c>
      <c r="C16" s="10">
        <v>476</v>
      </c>
      <c r="D16" s="10">
        <v>476</v>
      </c>
      <c r="E16" s="10">
        <v>476</v>
      </c>
      <c r="F16" s="10">
        <v>476</v>
      </c>
      <c r="G16" s="10">
        <v>476</v>
      </c>
      <c r="H16" s="10">
        <v>347</v>
      </c>
      <c r="I16" s="10">
        <v>0</v>
      </c>
      <c r="J16" s="10">
        <v>2727</v>
      </c>
    </row>
    <row r="17" spans="1:10" x14ac:dyDescent="0.3">
      <c r="A17" s="10" t="s">
        <v>28</v>
      </c>
      <c r="B17" s="10" t="s">
        <v>35</v>
      </c>
      <c r="C17" s="10">
        <v>486</v>
      </c>
      <c r="D17" s="10">
        <v>486</v>
      </c>
      <c r="E17" s="10">
        <v>492</v>
      </c>
      <c r="F17" s="10">
        <v>485</v>
      </c>
      <c r="G17" s="10">
        <v>502</v>
      </c>
      <c r="H17" s="10">
        <v>355</v>
      </c>
      <c r="I17" s="10">
        <v>0</v>
      </c>
      <c r="J17" s="10">
        <v>2806</v>
      </c>
    </row>
    <row r="18" spans="1:10" x14ac:dyDescent="0.3">
      <c r="A18" s="10" t="s">
        <v>28</v>
      </c>
      <c r="B18" s="10" t="s">
        <v>36</v>
      </c>
      <c r="C18" s="10">
        <v>505</v>
      </c>
      <c r="D18" s="10">
        <v>505</v>
      </c>
      <c r="E18" s="10">
        <v>505</v>
      </c>
      <c r="F18" s="10">
        <v>505</v>
      </c>
      <c r="G18" s="10">
        <v>505</v>
      </c>
      <c r="H18" s="10">
        <v>361</v>
      </c>
      <c r="I18" s="10">
        <v>0</v>
      </c>
      <c r="J18" s="10">
        <v>2886</v>
      </c>
    </row>
    <row r="19" spans="1:10" x14ac:dyDescent="0.3">
      <c r="A19" s="10" t="s">
        <v>37</v>
      </c>
      <c r="B19" s="10" t="s">
        <v>38</v>
      </c>
      <c r="C19" s="10">
        <v>85</v>
      </c>
      <c r="D19" s="10">
        <v>85</v>
      </c>
      <c r="E19" s="10">
        <v>85</v>
      </c>
      <c r="F19" s="10">
        <v>85</v>
      </c>
      <c r="G19" s="10">
        <v>85</v>
      </c>
      <c r="H19" s="10">
        <v>63</v>
      </c>
      <c r="I19" s="10">
        <v>0</v>
      </c>
      <c r="J19" s="10">
        <v>488</v>
      </c>
    </row>
    <row r="20" spans="1:10" x14ac:dyDescent="0.3">
      <c r="A20" s="10" t="s">
        <v>37</v>
      </c>
      <c r="B20" s="10" t="s">
        <v>39</v>
      </c>
      <c r="C20" s="10">
        <v>156</v>
      </c>
      <c r="D20" s="10">
        <v>156</v>
      </c>
      <c r="E20" s="10">
        <v>156</v>
      </c>
      <c r="F20" s="10">
        <v>156</v>
      </c>
      <c r="G20" s="10">
        <v>156</v>
      </c>
      <c r="H20" s="10">
        <v>98</v>
      </c>
      <c r="I20" s="10">
        <v>0</v>
      </c>
      <c r="J20" s="10">
        <v>878</v>
      </c>
    </row>
    <row r="21" spans="1:10" x14ac:dyDescent="0.3">
      <c r="A21" s="10" t="s">
        <v>40</v>
      </c>
      <c r="B21" s="10" t="s">
        <v>41</v>
      </c>
      <c r="C21" s="10">
        <v>87</v>
      </c>
      <c r="D21" s="10">
        <v>87</v>
      </c>
      <c r="E21" s="10">
        <v>87</v>
      </c>
      <c r="F21" s="10">
        <v>87</v>
      </c>
      <c r="G21" s="10">
        <v>87</v>
      </c>
      <c r="H21" s="10">
        <v>63</v>
      </c>
      <c r="I21" s="10">
        <v>0</v>
      </c>
      <c r="J21" s="10">
        <v>498</v>
      </c>
    </row>
    <row r="22" spans="1:10" x14ac:dyDescent="0.3">
      <c r="A22" s="10" t="s">
        <v>40</v>
      </c>
      <c r="B22" s="10" t="s">
        <v>42</v>
      </c>
      <c r="C22" s="10">
        <v>677</v>
      </c>
      <c r="D22" s="10">
        <v>679</v>
      </c>
      <c r="E22" s="10">
        <v>679</v>
      </c>
      <c r="F22" s="10">
        <v>682</v>
      </c>
      <c r="G22" s="10">
        <v>682</v>
      </c>
      <c r="H22" s="10">
        <v>486</v>
      </c>
      <c r="I22" s="10">
        <v>0</v>
      </c>
      <c r="J22" s="10">
        <v>3885</v>
      </c>
    </row>
    <row r="23" spans="1:10" x14ac:dyDescent="0.3">
      <c r="A23" s="10" t="s">
        <v>40</v>
      </c>
      <c r="B23" s="10" t="s">
        <v>26</v>
      </c>
      <c r="C23" s="10">
        <v>158</v>
      </c>
      <c r="D23" s="10">
        <v>159</v>
      </c>
      <c r="E23" s="10">
        <v>159</v>
      </c>
      <c r="F23" s="10">
        <v>161</v>
      </c>
      <c r="G23" s="10">
        <v>161</v>
      </c>
      <c r="H23" s="10">
        <v>115</v>
      </c>
      <c r="I23" s="10">
        <v>0</v>
      </c>
      <c r="J23" s="10">
        <v>913</v>
      </c>
    </row>
    <row r="24" spans="1:10" x14ac:dyDescent="0.3">
      <c r="A24" s="10" t="s">
        <v>40</v>
      </c>
      <c r="B24" s="10" t="s">
        <v>43</v>
      </c>
      <c r="C24" s="10">
        <v>619</v>
      </c>
      <c r="D24" s="10">
        <v>620</v>
      </c>
      <c r="E24" s="10">
        <v>619</v>
      </c>
      <c r="F24" s="10">
        <v>620</v>
      </c>
      <c r="G24" s="10">
        <v>619</v>
      </c>
      <c r="H24" s="10">
        <v>444</v>
      </c>
      <c r="I24" s="10">
        <v>0</v>
      </c>
      <c r="J24" s="10">
        <v>3541</v>
      </c>
    </row>
    <row r="25" spans="1:10" x14ac:dyDescent="0.3">
      <c r="A25" s="10" t="s">
        <v>40</v>
      </c>
      <c r="B25" s="10" t="s">
        <v>44</v>
      </c>
      <c r="C25" s="10">
        <v>156</v>
      </c>
      <c r="D25" s="10">
        <v>156</v>
      </c>
      <c r="E25" s="10">
        <v>156</v>
      </c>
      <c r="F25" s="10">
        <v>156</v>
      </c>
      <c r="G25" s="10">
        <v>156</v>
      </c>
      <c r="H25" s="10">
        <v>109</v>
      </c>
      <c r="I25" s="10">
        <v>0</v>
      </c>
      <c r="J25" s="10">
        <v>889</v>
      </c>
    </row>
    <row r="26" spans="1:10" x14ac:dyDescent="0.3">
      <c r="A26" s="10" t="s">
        <v>40</v>
      </c>
      <c r="B26" s="10" t="s">
        <v>45</v>
      </c>
      <c r="C26" s="10">
        <v>237</v>
      </c>
      <c r="D26" s="10">
        <v>237</v>
      </c>
      <c r="E26" s="10">
        <v>237</v>
      </c>
      <c r="F26" s="10">
        <v>237</v>
      </c>
      <c r="G26" s="10">
        <v>236</v>
      </c>
      <c r="H26" s="10">
        <v>169</v>
      </c>
      <c r="I26" s="10">
        <v>0</v>
      </c>
      <c r="J26" s="10">
        <v>1353</v>
      </c>
    </row>
    <row r="27" spans="1:10" x14ac:dyDescent="0.3">
      <c r="A27" s="10" t="s">
        <v>40</v>
      </c>
      <c r="B27" s="10" t="s">
        <v>46</v>
      </c>
      <c r="C27" s="10">
        <v>155</v>
      </c>
      <c r="D27" s="10">
        <v>155</v>
      </c>
      <c r="E27" s="10">
        <v>155</v>
      </c>
      <c r="F27" s="10">
        <v>155</v>
      </c>
      <c r="G27" s="10">
        <v>155</v>
      </c>
      <c r="H27" s="10">
        <v>110</v>
      </c>
      <c r="I27" s="10">
        <v>0</v>
      </c>
      <c r="J27" s="10">
        <v>885</v>
      </c>
    </row>
    <row r="28" spans="1:10" x14ac:dyDescent="0.3">
      <c r="A28" s="10" t="s">
        <v>40</v>
      </c>
      <c r="B28" s="10" t="s">
        <v>39</v>
      </c>
      <c r="C28" s="10">
        <v>108</v>
      </c>
      <c r="D28" s="10">
        <v>108</v>
      </c>
      <c r="E28" s="10">
        <v>108</v>
      </c>
      <c r="F28" s="10">
        <v>108</v>
      </c>
      <c r="G28" s="10">
        <v>108</v>
      </c>
      <c r="H28" s="10">
        <v>80</v>
      </c>
      <c r="I28" s="10">
        <v>0</v>
      </c>
      <c r="J28" s="10">
        <v>620</v>
      </c>
    </row>
    <row r="29" spans="1:10" x14ac:dyDescent="0.3">
      <c r="A29" s="10" t="s">
        <v>40</v>
      </c>
      <c r="B29" s="10" t="s">
        <v>47</v>
      </c>
      <c r="C29" s="10">
        <v>63</v>
      </c>
      <c r="D29" s="10">
        <v>63</v>
      </c>
      <c r="E29" s="10">
        <v>63</v>
      </c>
      <c r="F29" s="10">
        <v>63</v>
      </c>
      <c r="G29" s="10">
        <v>63</v>
      </c>
      <c r="H29" s="10">
        <v>48</v>
      </c>
      <c r="I29" s="10">
        <v>0</v>
      </c>
      <c r="J29" s="10">
        <v>363</v>
      </c>
    </row>
    <row r="30" spans="1:10" x14ac:dyDescent="0.3">
      <c r="A30" s="10" t="s">
        <v>40</v>
      </c>
      <c r="B30" s="10" t="s">
        <v>48</v>
      </c>
      <c r="C30" s="10">
        <v>138</v>
      </c>
      <c r="D30" s="10">
        <v>138</v>
      </c>
      <c r="E30" s="10">
        <v>138</v>
      </c>
      <c r="F30" s="10">
        <v>138</v>
      </c>
      <c r="G30" s="10">
        <v>138</v>
      </c>
      <c r="H30" s="10">
        <v>98</v>
      </c>
      <c r="I30" s="10">
        <v>0</v>
      </c>
      <c r="J30" s="10">
        <v>788</v>
      </c>
    </row>
    <row r="31" spans="1:10" x14ac:dyDescent="0.3">
      <c r="A31" s="10" t="s">
        <v>40</v>
      </c>
      <c r="B31" s="10" t="s">
        <v>49</v>
      </c>
      <c r="C31" s="10">
        <v>112</v>
      </c>
      <c r="D31" s="10">
        <v>112</v>
      </c>
      <c r="E31" s="10">
        <v>112</v>
      </c>
      <c r="F31" s="10">
        <v>112</v>
      </c>
      <c r="G31" s="10">
        <v>112</v>
      </c>
      <c r="H31" s="10">
        <v>80</v>
      </c>
      <c r="I31" s="10">
        <v>0</v>
      </c>
      <c r="J31" s="10">
        <v>640</v>
      </c>
    </row>
    <row r="32" spans="1:10" x14ac:dyDescent="0.3">
      <c r="A32" s="10" t="s">
        <v>40</v>
      </c>
      <c r="B32" s="10" t="s">
        <v>50</v>
      </c>
      <c r="C32" s="10">
        <v>196</v>
      </c>
      <c r="D32" s="10">
        <v>191</v>
      </c>
      <c r="E32" s="10">
        <v>191</v>
      </c>
      <c r="F32" s="10">
        <v>191</v>
      </c>
      <c r="G32" s="10">
        <v>218</v>
      </c>
      <c r="H32" s="10">
        <v>156</v>
      </c>
      <c r="I32" s="10">
        <v>0</v>
      </c>
      <c r="J32" s="10">
        <v>1143</v>
      </c>
    </row>
    <row r="33" spans="1:10" x14ac:dyDescent="0.3">
      <c r="A33" s="10" t="s">
        <v>40</v>
      </c>
      <c r="B33" s="10" t="s">
        <v>51</v>
      </c>
      <c r="C33" s="10">
        <v>124</v>
      </c>
      <c r="D33" s="10">
        <v>124</v>
      </c>
      <c r="E33" s="10">
        <v>124</v>
      </c>
      <c r="F33" s="10">
        <v>123</v>
      </c>
      <c r="G33" s="10">
        <v>123</v>
      </c>
      <c r="H33" s="10">
        <v>88</v>
      </c>
      <c r="I33" s="10">
        <v>0</v>
      </c>
      <c r="J33" s="10">
        <v>706</v>
      </c>
    </row>
    <row r="34" spans="1:10" ht="13.8" customHeight="1" x14ac:dyDescent="0.3">
      <c r="A34" s="10" t="s">
        <v>40</v>
      </c>
      <c r="B34" s="10" t="s">
        <v>52</v>
      </c>
      <c r="C34" s="10">
        <v>235</v>
      </c>
      <c r="D34" s="10">
        <v>232</v>
      </c>
      <c r="E34" s="10">
        <v>232</v>
      </c>
      <c r="F34" s="10">
        <v>214</v>
      </c>
      <c r="G34" s="10">
        <v>232</v>
      </c>
      <c r="H34" s="10">
        <v>165</v>
      </c>
      <c r="I34" s="10">
        <v>0</v>
      </c>
      <c r="J34" s="10">
        <v>1310</v>
      </c>
    </row>
    <row r="35" spans="1:10" x14ac:dyDescent="0.3">
      <c r="A35" s="10" t="s">
        <v>40</v>
      </c>
      <c r="B35" s="10" t="s">
        <v>53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</row>
    <row r="36" spans="1:10" x14ac:dyDescent="0.3">
      <c r="A36" s="10" t="s">
        <v>40</v>
      </c>
      <c r="B36" s="10" t="s">
        <v>54</v>
      </c>
      <c r="C36" s="10">
        <v>120</v>
      </c>
      <c r="D36" s="10">
        <v>120</v>
      </c>
      <c r="E36" s="10">
        <v>120</v>
      </c>
      <c r="F36" s="10">
        <v>120</v>
      </c>
      <c r="G36" s="10">
        <v>120</v>
      </c>
      <c r="H36" s="10">
        <v>86</v>
      </c>
      <c r="I36" s="10">
        <v>0</v>
      </c>
      <c r="J36" s="10">
        <v>686</v>
      </c>
    </row>
    <row r="37" spans="1:10" x14ac:dyDescent="0.3">
      <c r="A37" s="10" t="s">
        <v>55</v>
      </c>
      <c r="B37" s="10" t="s">
        <v>50</v>
      </c>
      <c r="C37" s="10">
        <v>64</v>
      </c>
      <c r="D37" s="10">
        <v>58</v>
      </c>
      <c r="E37" s="10">
        <v>62</v>
      </c>
      <c r="F37" s="10">
        <v>62</v>
      </c>
      <c r="G37" s="10">
        <v>84</v>
      </c>
      <c r="H37" s="10">
        <v>60</v>
      </c>
      <c r="I37" s="10">
        <v>0</v>
      </c>
      <c r="J37" s="10">
        <v>390</v>
      </c>
    </row>
    <row r="38" spans="1:10" x14ac:dyDescent="0.3">
      <c r="A38" s="10" t="s">
        <v>56</v>
      </c>
      <c r="B38" s="10" t="s">
        <v>41</v>
      </c>
      <c r="C38" s="10">
        <v>37</v>
      </c>
      <c r="D38" s="10">
        <v>43</v>
      </c>
      <c r="E38" s="10">
        <v>43</v>
      </c>
      <c r="F38" s="10">
        <v>43</v>
      </c>
      <c r="G38" s="10">
        <v>43</v>
      </c>
      <c r="H38" s="10">
        <v>30</v>
      </c>
      <c r="I38" s="10">
        <v>0</v>
      </c>
      <c r="J38" s="10">
        <v>239</v>
      </c>
    </row>
    <row r="39" spans="1:10" x14ac:dyDescent="0.3">
      <c r="A39" s="10" t="s">
        <v>56</v>
      </c>
      <c r="B39" s="10" t="s">
        <v>57</v>
      </c>
      <c r="C39" s="10">
        <v>190</v>
      </c>
      <c r="D39" s="10">
        <v>190</v>
      </c>
      <c r="E39" s="10">
        <v>190</v>
      </c>
      <c r="F39" s="10">
        <v>190</v>
      </c>
      <c r="G39" s="10">
        <v>190</v>
      </c>
      <c r="H39" s="10">
        <v>134</v>
      </c>
      <c r="I39" s="10">
        <v>0</v>
      </c>
      <c r="J39" s="10">
        <v>1084</v>
      </c>
    </row>
    <row r="40" spans="1:10" x14ac:dyDescent="0.3">
      <c r="A40" s="10" t="s">
        <v>56</v>
      </c>
      <c r="B40" s="10" t="s">
        <v>45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</row>
    <row r="41" spans="1:10" x14ac:dyDescent="0.3">
      <c r="A41" s="10" t="s">
        <v>56</v>
      </c>
      <c r="B41" s="10" t="s">
        <v>58</v>
      </c>
      <c r="C41" s="10">
        <v>100</v>
      </c>
      <c r="D41" s="10">
        <v>100</v>
      </c>
      <c r="E41" s="10">
        <v>100</v>
      </c>
      <c r="F41" s="10">
        <v>100</v>
      </c>
      <c r="G41" s="10">
        <v>100</v>
      </c>
      <c r="H41" s="10">
        <v>69</v>
      </c>
      <c r="I41" s="10">
        <v>0</v>
      </c>
      <c r="J41" s="10">
        <v>569</v>
      </c>
    </row>
    <row r="42" spans="1:10" x14ac:dyDescent="0.3">
      <c r="A42" s="10" t="s">
        <v>56</v>
      </c>
      <c r="B42" s="10" t="s">
        <v>59</v>
      </c>
      <c r="C42" s="10">
        <v>136</v>
      </c>
      <c r="D42" s="10">
        <v>136</v>
      </c>
      <c r="E42" s="10">
        <v>136</v>
      </c>
      <c r="F42" s="10">
        <v>136</v>
      </c>
      <c r="G42" s="10">
        <v>136</v>
      </c>
      <c r="H42" s="10">
        <v>96</v>
      </c>
      <c r="I42" s="10">
        <v>0</v>
      </c>
      <c r="J42" s="10">
        <v>776</v>
      </c>
    </row>
    <row r="43" spans="1:10" x14ac:dyDescent="0.3">
      <c r="A43" s="10" t="s">
        <v>56</v>
      </c>
      <c r="B43" s="10" t="s">
        <v>60</v>
      </c>
      <c r="C43" s="10">
        <v>145</v>
      </c>
      <c r="D43" s="10">
        <v>146</v>
      </c>
      <c r="E43" s="10">
        <v>145</v>
      </c>
      <c r="F43" s="10">
        <v>146</v>
      </c>
      <c r="G43" s="10">
        <v>146</v>
      </c>
      <c r="H43" s="10">
        <v>103</v>
      </c>
      <c r="I43" s="10">
        <v>0</v>
      </c>
      <c r="J43" s="10">
        <v>831</v>
      </c>
    </row>
    <row r="44" spans="1:10" x14ac:dyDescent="0.3">
      <c r="A44" s="10" t="s">
        <v>56</v>
      </c>
      <c r="B44" s="10" t="s">
        <v>61</v>
      </c>
      <c r="C44" s="10">
        <v>109</v>
      </c>
      <c r="D44" s="10">
        <v>109</v>
      </c>
      <c r="E44" s="10">
        <v>109</v>
      </c>
      <c r="F44" s="10">
        <v>109</v>
      </c>
      <c r="G44" s="10">
        <v>109</v>
      </c>
      <c r="H44" s="10">
        <v>75</v>
      </c>
      <c r="I44" s="10">
        <v>0</v>
      </c>
      <c r="J44" s="10">
        <v>620</v>
      </c>
    </row>
    <row r="45" spans="1:10" x14ac:dyDescent="0.3">
      <c r="A45" s="10" t="s">
        <v>62</v>
      </c>
      <c r="B45" s="10" t="s">
        <v>63</v>
      </c>
      <c r="C45" s="10">
        <v>180</v>
      </c>
      <c r="D45" s="10">
        <v>180</v>
      </c>
      <c r="E45" s="10">
        <v>180</v>
      </c>
      <c r="F45" s="10">
        <v>180</v>
      </c>
      <c r="G45" s="10">
        <v>180</v>
      </c>
      <c r="H45" s="10">
        <v>127</v>
      </c>
      <c r="I45" s="10">
        <v>0</v>
      </c>
      <c r="J45" s="10">
        <v>1027</v>
      </c>
    </row>
    <row r="46" spans="1:10" x14ac:dyDescent="0.3">
      <c r="A46" s="10" t="s">
        <v>62</v>
      </c>
      <c r="B46" s="10" t="s">
        <v>53</v>
      </c>
      <c r="C46" s="10">
        <v>163</v>
      </c>
      <c r="D46" s="10">
        <v>163</v>
      </c>
      <c r="E46" s="10">
        <v>163</v>
      </c>
      <c r="F46" s="10">
        <v>163</v>
      </c>
      <c r="G46" s="10">
        <v>163</v>
      </c>
      <c r="H46" s="10">
        <v>114</v>
      </c>
      <c r="I46" s="10">
        <v>0</v>
      </c>
      <c r="J46" s="10">
        <v>929</v>
      </c>
    </row>
    <row r="47" spans="1:10" x14ac:dyDescent="0.3">
      <c r="A47" s="10" t="s">
        <v>64</v>
      </c>
      <c r="B47" s="10" t="s">
        <v>65</v>
      </c>
      <c r="C47" s="10">
        <v>222</v>
      </c>
      <c r="D47" s="10">
        <v>222</v>
      </c>
      <c r="E47" s="10">
        <v>222</v>
      </c>
      <c r="F47" s="10">
        <v>222</v>
      </c>
      <c r="G47" s="10">
        <v>222</v>
      </c>
      <c r="H47" s="10">
        <v>158</v>
      </c>
      <c r="I47" s="10">
        <v>0</v>
      </c>
      <c r="J47" s="10">
        <v>1268</v>
      </c>
    </row>
    <row r="48" spans="1:10" x14ac:dyDescent="0.3">
      <c r="A48" s="10" t="s">
        <v>64</v>
      </c>
      <c r="B48" s="10" t="s">
        <v>66</v>
      </c>
      <c r="C48" s="10">
        <v>225</v>
      </c>
      <c r="D48" s="10">
        <v>225</v>
      </c>
      <c r="E48" s="10">
        <v>225</v>
      </c>
      <c r="F48" s="10">
        <v>225</v>
      </c>
      <c r="G48" s="10">
        <v>225</v>
      </c>
      <c r="H48" s="10">
        <v>158</v>
      </c>
      <c r="I48" s="10">
        <v>0</v>
      </c>
      <c r="J48" s="10">
        <v>1283</v>
      </c>
    </row>
    <row r="49" spans="1:10" x14ac:dyDescent="0.3">
      <c r="A49" s="10" t="s">
        <v>67</v>
      </c>
      <c r="B49" s="10" t="s">
        <v>68</v>
      </c>
      <c r="C49" s="10">
        <v>168</v>
      </c>
      <c r="D49" s="10">
        <v>168</v>
      </c>
      <c r="E49" s="10">
        <v>168</v>
      </c>
      <c r="F49" s="10">
        <v>168</v>
      </c>
      <c r="G49" s="10">
        <v>168</v>
      </c>
      <c r="H49" s="10">
        <v>123</v>
      </c>
      <c r="I49" s="10">
        <v>0</v>
      </c>
      <c r="J49" s="10">
        <v>963</v>
      </c>
    </row>
    <row r="50" spans="1:10" x14ac:dyDescent="0.3">
      <c r="A50" s="10" t="s">
        <v>67</v>
      </c>
      <c r="B50" s="10" t="s">
        <v>69</v>
      </c>
      <c r="C50" s="10">
        <v>244</v>
      </c>
      <c r="D50" s="10">
        <v>244</v>
      </c>
      <c r="E50" s="10">
        <v>244</v>
      </c>
      <c r="F50" s="10">
        <v>244</v>
      </c>
      <c r="G50" s="10">
        <v>244</v>
      </c>
      <c r="H50" s="10">
        <v>175</v>
      </c>
      <c r="I50" s="10">
        <v>0</v>
      </c>
      <c r="J50" s="10">
        <v>1395</v>
      </c>
    </row>
    <row r="51" spans="1:10" x14ac:dyDescent="0.3">
      <c r="A51" s="10" t="s">
        <v>70</v>
      </c>
      <c r="B51" s="10" t="s">
        <v>41</v>
      </c>
      <c r="C51" s="10">
        <v>75</v>
      </c>
      <c r="D51" s="10">
        <v>75</v>
      </c>
      <c r="E51" s="10">
        <v>79</v>
      </c>
      <c r="F51" s="10">
        <v>79</v>
      </c>
      <c r="G51" s="10">
        <v>79</v>
      </c>
      <c r="H51" s="10">
        <v>58</v>
      </c>
      <c r="I51" s="10">
        <v>0</v>
      </c>
      <c r="J51" s="10">
        <v>445</v>
      </c>
    </row>
    <row r="52" spans="1:10" x14ac:dyDescent="0.3">
      <c r="A52" s="10" t="s">
        <v>70</v>
      </c>
      <c r="B52" s="10" t="s">
        <v>42</v>
      </c>
      <c r="C52" s="10">
        <v>66</v>
      </c>
      <c r="D52" s="10">
        <v>66</v>
      </c>
      <c r="E52" s="10">
        <v>67</v>
      </c>
      <c r="F52" s="10">
        <v>67</v>
      </c>
      <c r="G52" s="10">
        <v>67</v>
      </c>
      <c r="H52" s="10">
        <v>48</v>
      </c>
      <c r="I52" s="10">
        <v>0</v>
      </c>
      <c r="J52" s="10">
        <v>381</v>
      </c>
    </row>
    <row r="53" spans="1:10" x14ac:dyDescent="0.3">
      <c r="A53" s="10" t="s">
        <v>70</v>
      </c>
      <c r="B53" s="10" t="s">
        <v>71</v>
      </c>
      <c r="C53" s="10">
        <v>249</v>
      </c>
      <c r="D53" s="10">
        <v>249</v>
      </c>
      <c r="E53" s="10">
        <v>251</v>
      </c>
      <c r="F53" s="10">
        <v>250</v>
      </c>
      <c r="G53" s="10">
        <v>252</v>
      </c>
      <c r="H53" s="10">
        <v>185</v>
      </c>
      <c r="I53" s="10">
        <v>0</v>
      </c>
      <c r="J53" s="10">
        <v>1436</v>
      </c>
    </row>
    <row r="54" spans="1:10" x14ac:dyDescent="0.3">
      <c r="A54" s="10" t="s">
        <v>70</v>
      </c>
      <c r="B54" s="10" t="s">
        <v>72</v>
      </c>
      <c r="C54" s="10">
        <v>197</v>
      </c>
      <c r="D54" s="10">
        <v>203</v>
      </c>
      <c r="E54" s="10">
        <v>197</v>
      </c>
      <c r="F54" s="10">
        <v>198</v>
      </c>
      <c r="G54" s="10">
        <v>195</v>
      </c>
      <c r="H54" s="10">
        <v>140</v>
      </c>
      <c r="I54" s="10">
        <v>0</v>
      </c>
      <c r="J54" s="10">
        <v>1130</v>
      </c>
    </row>
    <row r="55" spans="1:10" x14ac:dyDescent="0.3">
      <c r="A55" s="10" t="s">
        <v>70</v>
      </c>
      <c r="B55" s="10" t="s">
        <v>73</v>
      </c>
      <c r="C55" s="10">
        <v>133</v>
      </c>
      <c r="D55" s="10">
        <v>133</v>
      </c>
      <c r="E55" s="10">
        <v>133</v>
      </c>
      <c r="F55" s="10">
        <v>133</v>
      </c>
      <c r="G55" s="10">
        <v>133</v>
      </c>
      <c r="H55" s="10">
        <v>91</v>
      </c>
      <c r="I55" s="10">
        <v>0</v>
      </c>
      <c r="J55" s="10">
        <v>756</v>
      </c>
    </row>
    <row r="56" spans="1:10" x14ac:dyDescent="0.3">
      <c r="A56" s="10" t="s">
        <v>70</v>
      </c>
      <c r="B56" s="10" t="s">
        <v>74</v>
      </c>
      <c r="C56" s="10">
        <v>129</v>
      </c>
      <c r="D56" s="10">
        <v>129</v>
      </c>
      <c r="E56" s="10">
        <v>130</v>
      </c>
      <c r="F56" s="10">
        <v>130</v>
      </c>
      <c r="G56" s="10">
        <v>130</v>
      </c>
      <c r="H56" s="10">
        <v>93</v>
      </c>
      <c r="I56" s="10">
        <v>0</v>
      </c>
      <c r="J56" s="10">
        <v>741</v>
      </c>
    </row>
    <row r="57" spans="1:10" x14ac:dyDescent="0.3">
      <c r="A57" s="10" t="s">
        <v>70</v>
      </c>
      <c r="B57" s="10" t="s">
        <v>75</v>
      </c>
      <c r="C57" s="10">
        <v>152</v>
      </c>
      <c r="D57" s="10">
        <v>152</v>
      </c>
      <c r="E57" s="10">
        <v>152</v>
      </c>
      <c r="F57" s="10">
        <v>152</v>
      </c>
      <c r="G57" s="10">
        <v>152</v>
      </c>
      <c r="H57" s="10">
        <v>108</v>
      </c>
      <c r="I57" s="10">
        <v>0</v>
      </c>
      <c r="J57" s="10">
        <v>868</v>
      </c>
    </row>
    <row r="58" spans="1:10" x14ac:dyDescent="0.3">
      <c r="A58" s="10" t="s">
        <v>70</v>
      </c>
      <c r="B58" s="10" t="s">
        <v>76</v>
      </c>
      <c r="C58" s="10">
        <v>128</v>
      </c>
      <c r="D58" s="10">
        <v>128</v>
      </c>
      <c r="E58" s="10">
        <v>128</v>
      </c>
      <c r="F58" s="10">
        <v>128</v>
      </c>
      <c r="G58" s="10">
        <v>128</v>
      </c>
      <c r="H58" s="10">
        <v>91</v>
      </c>
      <c r="I58" s="10">
        <v>0</v>
      </c>
      <c r="J58" s="10">
        <v>731</v>
      </c>
    </row>
    <row r="59" spans="1:10" x14ac:dyDescent="0.3">
      <c r="A59" s="10" t="s">
        <v>70</v>
      </c>
      <c r="B59" s="10" t="s">
        <v>77</v>
      </c>
      <c r="C59" s="10">
        <v>150</v>
      </c>
      <c r="D59" s="10">
        <v>151</v>
      </c>
      <c r="E59" s="10">
        <v>152</v>
      </c>
      <c r="F59" s="10">
        <v>152</v>
      </c>
      <c r="G59" s="10">
        <v>150</v>
      </c>
      <c r="H59" s="10">
        <v>108</v>
      </c>
      <c r="I59" s="10">
        <v>0</v>
      </c>
      <c r="J59" s="10">
        <v>863</v>
      </c>
    </row>
    <row r="60" spans="1:10" x14ac:dyDescent="0.3">
      <c r="A60" s="10" t="s">
        <v>78</v>
      </c>
      <c r="B60" s="10" t="s">
        <v>58</v>
      </c>
      <c r="C60" s="10">
        <v>80</v>
      </c>
      <c r="D60" s="10">
        <v>80</v>
      </c>
      <c r="E60" s="10">
        <v>80</v>
      </c>
      <c r="F60" s="10">
        <v>80</v>
      </c>
      <c r="G60" s="10">
        <v>80</v>
      </c>
      <c r="H60" s="10">
        <v>80</v>
      </c>
      <c r="I60" s="10">
        <v>0</v>
      </c>
      <c r="J60" s="10">
        <v>480</v>
      </c>
    </row>
    <row r="61" spans="1:10" x14ac:dyDescent="0.3">
      <c r="A61" s="10" t="s">
        <v>79</v>
      </c>
      <c r="B61" s="10" t="s">
        <v>52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</row>
    <row r="62" spans="1:10" x14ac:dyDescent="0.3">
      <c r="A62" s="10" t="s">
        <v>80</v>
      </c>
      <c r="B62" s="10" t="s">
        <v>47</v>
      </c>
      <c r="C62" s="10">
        <v>210</v>
      </c>
      <c r="D62" s="10">
        <v>210</v>
      </c>
      <c r="E62" s="10">
        <v>210</v>
      </c>
      <c r="F62" s="10">
        <v>210</v>
      </c>
      <c r="G62" s="10">
        <v>210</v>
      </c>
      <c r="H62" s="10">
        <v>149</v>
      </c>
      <c r="I62" s="10">
        <v>0</v>
      </c>
      <c r="J62" s="10">
        <v>1199</v>
      </c>
    </row>
    <row r="63" spans="1:10" x14ac:dyDescent="0.3">
      <c r="A63" s="10" t="s">
        <v>81</v>
      </c>
      <c r="B63" s="10" t="s">
        <v>26</v>
      </c>
      <c r="C63" s="10">
        <v>74</v>
      </c>
      <c r="D63" s="10">
        <v>74</v>
      </c>
      <c r="E63" s="10">
        <v>75</v>
      </c>
      <c r="F63" s="10">
        <v>75</v>
      </c>
      <c r="G63" s="10">
        <v>75</v>
      </c>
      <c r="H63" s="10">
        <v>53</v>
      </c>
      <c r="I63" s="10">
        <v>0</v>
      </c>
      <c r="J63" s="10">
        <v>426</v>
      </c>
    </row>
    <row r="64" spans="1:10" x14ac:dyDescent="0.3">
      <c r="A64" s="10" t="s">
        <v>81</v>
      </c>
      <c r="B64" s="10" t="s">
        <v>82</v>
      </c>
      <c r="C64" s="10">
        <v>132</v>
      </c>
      <c r="D64" s="10">
        <v>132</v>
      </c>
      <c r="E64" s="10">
        <v>132</v>
      </c>
      <c r="F64" s="10">
        <v>132</v>
      </c>
      <c r="G64" s="10">
        <v>131</v>
      </c>
      <c r="H64" s="10">
        <v>94</v>
      </c>
      <c r="I64" s="10">
        <v>0</v>
      </c>
      <c r="J64" s="10">
        <v>753</v>
      </c>
    </row>
    <row r="65" spans="1:10" x14ac:dyDescent="0.3">
      <c r="A65" s="10" t="s">
        <v>81</v>
      </c>
      <c r="B65" s="10" t="s">
        <v>83</v>
      </c>
      <c r="C65" s="10">
        <v>195</v>
      </c>
      <c r="D65" s="10">
        <v>195</v>
      </c>
      <c r="E65" s="10">
        <v>195</v>
      </c>
      <c r="F65" s="10">
        <v>195</v>
      </c>
      <c r="G65" s="10">
        <v>195</v>
      </c>
      <c r="H65" s="10">
        <v>140</v>
      </c>
      <c r="I65" s="10">
        <v>0</v>
      </c>
      <c r="J65" s="10">
        <v>1115</v>
      </c>
    </row>
    <row r="66" spans="1:10" x14ac:dyDescent="0.3">
      <c r="A66" s="10" t="s">
        <v>84</v>
      </c>
      <c r="B66" s="10" t="s">
        <v>57</v>
      </c>
      <c r="C66" s="10">
        <v>105</v>
      </c>
      <c r="D66" s="10">
        <v>105</v>
      </c>
      <c r="E66" s="10">
        <v>105</v>
      </c>
      <c r="F66" s="10">
        <v>105</v>
      </c>
      <c r="G66" s="10">
        <v>105</v>
      </c>
      <c r="H66" s="10">
        <v>75</v>
      </c>
      <c r="I66" s="10">
        <v>0</v>
      </c>
      <c r="J66" s="10">
        <v>600</v>
      </c>
    </row>
    <row r="67" spans="1:10" x14ac:dyDescent="0.3">
      <c r="A67" s="10" t="s">
        <v>85</v>
      </c>
      <c r="B67" s="10" t="s">
        <v>54</v>
      </c>
      <c r="C67" s="10">
        <v>156</v>
      </c>
      <c r="D67" s="10">
        <v>156</v>
      </c>
      <c r="E67" s="10">
        <v>156</v>
      </c>
      <c r="F67" s="10">
        <v>156</v>
      </c>
      <c r="G67" s="10">
        <v>156</v>
      </c>
      <c r="H67" s="10">
        <v>112</v>
      </c>
      <c r="I67" s="10">
        <v>0</v>
      </c>
      <c r="J67" s="10">
        <v>892</v>
      </c>
    </row>
    <row r="68" spans="1:10" x14ac:dyDescent="0.3">
      <c r="A68" s="10" t="s">
        <v>86</v>
      </c>
      <c r="B68" s="10" t="s">
        <v>38</v>
      </c>
      <c r="C68" s="10">
        <v>110</v>
      </c>
      <c r="D68" s="10">
        <v>110</v>
      </c>
      <c r="E68" s="10">
        <v>110</v>
      </c>
      <c r="F68" s="10">
        <v>110</v>
      </c>
      <c r="G68" s="10">
        <v>110</v>
      </c>
      <c r="H68" s="10">
        <v>79</v>
      </c>
      <c r="I68" s="10">
        <v>0</v>
      </c>
      <c r="J68" s="10">
        <v>629</v>
      </c>
    </row>
    <row r="69" spans="1:10" x14ac:dyDescent="0.3">
      <c r="A69" s="10" t="s">
        <v>86</v>
      </c>
      <c r="B69" s="10" t="s">
        <v>39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</row>
    <row r="70" spans="1:10" x14ac:dyDescent="0.3">
      <c r="A70" s="10" t="s">
        <v>86</v>
      </c>
      <c r="B70" s="10" t="s">
        <v>87</v>
      </c>
      <c r="C70" s="10">
        <v>164</v>
      </c>
      <c r="D70" s="10">
        <v>165</v>
      </c>
      <c r="E70" s="10">
        <v>165</v>
      </c>
      <c r="F70" s="10">
        <v>165</v>
      </c>
      <c r="G70" s="10">
        <v>164</v>
      </c>
      <c r="H70" s="10">
        <v>118</v>
      </c>
      <c r="I70" s="10">
        <v>0</v>
      </c>
      <c r="J70" s="10">
        <v>941</v>
      </c>
    </row>
    <row r="71" spans="1:10" x14ac:dyDescent="0.3">
      <c r="A71" s="10" t="s">
        <v>88</v>
      </c>
      <c r="B71" s="10" t="s">
        <v>43</v>
      </c>
      <c r="C71" s="10">
        <v>13</v>
      </c>
      <c r="D71" s="10">
        <v>13</v>
      </c>
      <c r="E71" s="10">
        <v>14</v>
      </c>
      <c r="F71" s="10">
        <v>14</v>
      </c>
      <c r="G71" s="10">
        <v>14</v>
      </c>
      <c r="H71" s="10">
        <v>10</v>
      </c>
      <c r="I71" s="10">
        <v>0</v>
      </c>
      <c r="J71" s="10">
        <v>78</v>
      </c>
    </row>
    <row r="72" spans="1:10" x14ac:dyDescent="0.3">
      <c r="A72" s="10" t="s">
        <v>88</v>
      </c>
      <c r="B72" s="10" t="s">
        <v>89</v>
      </c>
      <c r="C72" s="10">
        <v>141</v>
      </c>
      <c r="D72" s="10">
        <v>141</v>
      </c>
      <c r="E72" s="10">
        <v>141</v>
      </c>
      <c r="F72" s="10">
        <v>141</v>
      </c>
      <c r="G72" s="10">
        <v>141</v>
      </c>
      <c r="H72" s="10">
        <v>102</v>
      </c>
      <c r="I72" s="10">
        <v>0</v>
      </c>
      <c r="J72" s="10">
        <v>807</v>
      </c>
    </row>
    <row r="73" spans="1:10" x14ac:dyDescent="0.3">
      <c r="A73" s="10" t="s">
        <v>90</v>
      </c>
      <c r="B73" s="10" t="s">
        <v>71</v>
      </c>
      <c r="C73" s="10">
        <v>26</v>
      </c>
      <c r="D73" s="10">
        <v>26</v>
      </c>
      <c r="E73" s="10">
        <v>26</v>
      </c>
      <c r="F73" s="10">
        <v>26</v>
      </c>
      <c r="G73" s="10">
        <v>27</v>
      </c>
      <c r="H73" s="10">
        <v>19</v>
      </c>
      <c r="I73" s="10">
        <v>0</v>
      </c>
      <c r="J73" s="10">
        <v>150</v>
      </c>
    </row>
    <row r="74" spans="1:10" x14ac:dyDescent="0.3">
      <c r="A74" s="10" t="s">
        <v>90</v>
      </c>
      <c r="B74" s="10" t="s">
        <v>91</v>
      </c>
      <c r="C74" s="10">
        <v>143</v>
      </c>
      <c r="D74" s="10">
        <v>143</v>
      </c>
      <c r="E74" s="10">
        <v>143</v>
      </c>
      <c r="F74" s="10">
        <v>143</v>
      </c>
      <c r="G74" s="10">
        <v>143</v>
      </c>
      <c r="H74" s="10">
        <v>100</v>
      </c>
      <c r="I74" s="10">
        <v>0</v>
      </c>
      <c r="J74" s="10">
        <v>815</v>
      </c>
    </row>
    <row r="75" spans="1:10" x14ac:dyDescent="0.3">
      <c r="A75" s="10" t="s">
        <v>90</v>
      </c>
      <c r="B75" s="10" t="s">
        <v>92</v>
      </c>
      <c r="C75" s="10">
        <v>108</v>
      </c>
      <c r="D75" s="10">
        <v>108</v>
      </c>
      <c r="E75" s="10">
        <v>108</v>
      </c>
      <c r="F75" s="10">
        <v>108</v>
      </c>
      <c r="G75" s="10">
        <v>108</v>
      </c>
      <c r="H75" s="10">
        <v>76</v>
      </c>
      <c r="I75" s="10">
        <v>0</v>
      </c>
      <c r="J75" s="10">
        <v>616</v>
      </c>
    </row>
    <row r="76" spans="1:10" x14ac:dyDescent="0.3">
      <c r="A76" s="15" t="s">
        <v>10</v>
      </c>
      <c r="B76" s="15"/>
      <c r="C76" s="11">
        <v>12981</v>
      </c>
      <c r="D76" s="11">
        <v>12986</v>
      </c>
      <c r="E76" s="11">
        <v>13003</v>
      </c>
      <c r="F76" s="11">
        <v>12980</v>
      </c>
      <c r="G76" s="11">
        <v>13058</v>
      </c>
      <c r="H76" s="11">
        <v>9325</v>
      </c>
      <c r="I76" s="11">
        <v>0</v>
      </c>
      <c r="J76" s="11">
        <v>74333</v>
      </c>
    </row>
  </sheetData>
  <sheetProtection sheet="1" formatCells="0" formatColumns="0" formatRows="0" sort="0" autoFilter="0"/>
  <mergeCells count="5">
    <mergeCell ref="J7:J8"/>
    <mergeCell ref="A1:J1"/>
    <mergeCell ref="A7:A8"/>
    <mergeCell ref="B7:B8"/>
    <mergeCell ref="A76:B76"/>
  </mergeCells>
  <pageMargins left="0.7" right="0.7" top="0.75" bottom="0.75" header="0.51180555555555496" footer="0.3"/>
  <pageSetup orientation="portrait" r:id="rId1"/>
  <headerFooter>
    <oddFooter>&amp;C_x000D_&amp;1#&amp;"Calibri"&amp;8&amp;K000000 Public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43"/>
  <sheetViews>
    <sheetView zoomScaleNormal="100" workbookViewId="0">
      <selection activeCell="C9" sqref="C9"/>
    </sheetView>
  </sheetViews>
  <sheetFormatPr defaultRowHeight="14.4" x14ac:dyDescent="0.3"/>
  <cols>
    <col min="1" max="1" width="11.44140625" bestFit="1" customWidth="1"/>
    <col min="2" max="2" width="7.5546875" bestFit="1" customWidth="1"/>
    <col min="3" max="3" width="15.88671875" bestFit="1" customWidth="1"/>
    <col min="4" max="7" width="10.77734375" bestFit="1" customWidth="1"/>
    <col min="8" max="10" width="10.5546875" bestFit="1" customWidth="1"/>
    <col min="11" max="11" width="5.77734375" bestFit="1" customWidth="1"/>
    <col min="12" max="1018" width="8.5546875" customWidth="1"/>
  </cols>
  <sheetData>
    <row r="1" spans="1:15" ht="22.5" customHeight="1" x14ac:dyDescent="0.3">
      <c r="A1" s="14" t="s">
        <v>2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5" ht="22.5" customHeight="1" x14ac:dyDescent="0.3">
      <c r="A2" s="6"/>
      <c r="B2" s="6"/>
      <c r="C2" s="6"/>
      <c r="D2" s="6"/>
      <c r="E2" s="6"/>
      <c r="F2" s="6"/>
      <c r="G2" s="6"/>
      <c r="H2" s="6"/>
      <c r="I2" s="6"/>
      <c r="J2" s="6"/>
      <c r="K2" s="6"/>
    </row>
    <row r="3" spans="1:15" ht="15.75" customHeight="1" x14ac:dyDescent="0.3">
      <c r="A3" s="8" t="s">
        <v>11</v>
      </c>
      <c r="B3" s="9" t="s">
        <v>14</v>
      </c>
      <c r="C3" s="9"/>
      <c r="D3" s="6"/>
      <c r="E3" s="6"/>
      <c r="F3" s="7" t="s">
        <v>13</v>
      </c>
      <c r="G3" s="9" t="s">
        <v>17</v>
      </c>
      <c r="H3" s="6"/>
      <c r="I3" s="6"/>
      <c r="J3" s="6"/>
      <c r="K3" s="6"/>
    </row>
    <row r="4" spans="1:15" ht="15.75" customHeight="1" x14ac:dyDescent="0.3">
      <c r="A4" s="9" t="s">
        <v>1</v>
      </c>
      <c r="B4" s="9" t="s">
        <v>15</v>
      </c>
      <c r="C4" s="9"/>
      <c r="D4" s="6"/>
      <c r="E4" s="6"/>
      <c r="F4" s="6"/>
      <c r="G4" s="6"/>
      <c r="H4" s="6"/>
      <c r="I4" s="6"/>
      <c r="J4" s="6"/>
      <c r="K4" s="6"/>
    </row>
    <row r="5" spans="1:15" ht="16.5" customHeight="1" x14ac:dyDescent="0.3">
      <c r="A5" s="9" t="s">
        <v>12</v>
      </c>
      <c r="B5" s="9" t="s">
        <v>16</v>
      </c>
      <c r="C5" s="9"/>
      <c r="D5" s="6"/>
      <c r="E5" s="6"/>
      <c r="F5" s="6"/>
      <c r="G5" s="6"/>
      <c r="H5" s="6"/>
      <c r="I5" s="6"/>
      <c r="J5" s="6"/>
      <c r="K5" s="6"/>
    </row>
    <row r="7" spans="1:15" x14ac:dyDescent="0.3">
      <c r="A7" s="12" t="s">
        <v>0</v>
      </c>
      <c r="B7" s="12" t="s">
        <v>1</v>
      </c>
      <c r="C7" s="4"/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  <c r="J7" s="1" t="s">
        <v>9</v>
      </c>
      <c r="K7" s="12" t="s">
        <v>10</v>
      </c>
    </row>
    <row r="8" spans="1:15" x14ac:dyDescent="0.3">
      <c r="A8" s="13"/>
      <c r="B8" s="13"/>
      <c r="C8" s="5"/>
      <c r="D8" s="2" t="s">
        <v>18</v>
      </c>
      <c r="E8" s="2" t="s">
        <v>19</v>
      </c>
      <c r="F8" s="2" t="s">
        <v>20</v>
      </c>
      <c r="G8" s="2" t="s">
        <v>21</v>
      </c>
      <c r="H8" s="2" t="s">
        <v>22</v>
      </c>
      <c r="I8" s="2" t="s">
        <v>23</v>
      </c>
      <c r="J8" s="2" t="s">
        <v>24</v>
      </c>
      <c r="K8" s="13"/>
      <c r="O8">
        <v>78</v>
      </c>
    </row>
    <row r="9" spans="1:15" x14ac:dyDescent="0.3">
      <c r="A9" s="10" t="s">
        <v>25</v>
      </c>
      <c r="B9" s="10" t="s">
        <v>26</v>
      </c>
      <c r="C9" s="10" t="str">
        <f>A9&amp;B9</f>
        <v>FA035355.04ID24</v>
      </c>
      <c r="D9" s="10">
        <v>83</v>
      </c>
      <c r="E9" s="10">
        <v>83</v>
      </c>
      <c r="F9" s="10">
        <v>83</v>
      </c>
      <c r="G9" s="10">
        <v>83</v>
      </c>
      <c r="H9" s="10">
        <v>83</v>
      </c>
      <c r="I9" s="10">
        <v>57</v>
      </c>
      <c r="J9" s="10">
        <v>0</v>
      </c>
      <c r="K9" s="10">
        <v>472</v>
      </c>
      <c r="O9">
        <v>3541</v>
      </c>
    </row>
    <row r="10" spans="1:15" x14ac:dyDescent="0.3">
      <c r="A10" s="10" t="s">
        <v>25</v>
      </c>
      <c r="B10" s="10" t="s">
        <v>27</v>
      </c>
      <c r="C10" s="10" t="str">
        <f t="shared" ref="C10:C73" si="0">A10&amp;B10</f>
        <v>FA035355.04IDBN</v>
      </c>
      <c r="D10" s="10">
        <v>840</v>
      </c>
      <c r="E10" s="10">
        <v>840</v>
      </c>
      <c r="F10" s="10">
        <v>840</v>
      </c>
      <c r="G10" s="10">
        <v>840</v>
      </c>
      <c r="H10" s="10">
        <v>840</v>
      </c>
      <c r="I10" s="10">
        <v>607</v>
      </c>
      <c r="J10" s="10">
        <v>0</v>
      </c>
      <c r="K10" s="10">
        <v>4807</v>
      </c>
      <c r="O10">
        <v>0</v>
      </c>
    </row>
    <row r="11" spans="1:15" x14ac:dyDescent="0.3">
      <c r="A11" s="10" t="s">
        <v>28</v>
      </c>
      <c r="B11" s="10" t="s">
        <v>29</v>
      </c>
      <c r="C11" s="10" t="str">
        <f t="shared" si="0"/>
        <v>FA035621.28IDAD</v>
      </c>
      <c r="D11" s="10">
        <v>545</v>
      </c>
      <c r="E11" s="10">
        <v>545</v>
      </c>
      <c r="F11" s="10">
        <v>545</v>
      </c>
      <c r="G11" s="10">
        <v>545</v>
      </c>
      <c r="H11" s="10">
        <v>545</v>
      </c>
      <c r="I11" s="10">
        <v>376</v>
      </c>
      <c r="J11" s="10">
        <v>0</v>
      </c>
      <c r="K11" s="10">
        <v>3101</v>
      </c>
      <c r="O11">
        <v>426</v>
      </c>
    </row>
    <row r="12" spans="1:15" x14ac:dyDescent="0.3">
      <c r="A12" s="10" t="s">
        <v>28</v>
      </c>
      <c r="B12" s="10" t="s">
        <v>30</v>
      </c>
      <c r="C12" s="10" t="str">
        <f t="shared" si="0"/>
        <v>FA035621.28IDAI</v>
      </c>
      <c r="D12" s="10">
        <v>270</v>
      </c>
      <c r="E12" s="10">
        <v>270</v>
      </c>
      <c r="F12" s="10">
        <v>270</v>
      </c>
      <c r="G12" s="10">
        <v>270</v>
      </c>
      <c r="H12" s="10">
        <v>270</v>
      </c>
      <c r="I12" s="10">
        <v>191</v>
      </c>
      <c r="J12" s="10">
        <v>0</v>
      </c>
      <c r="K12" s="10">
        <v>1541</v>
      </c>
      <c r="O12">
        <v>913</v>
      </c>
    </row>
    <row r="13" spans="1:15" x14ac:dyDescent="0.3">
      <c r="A13" s="10" t="s">
        <v>28</v>
      </c>
      <c r="B13" s="10" t="s">
        <v>31</v>
      </c>
      <c r="C13" s="10" t="str">
        <f t="shared" si="0"/>
        <v>FA035621.28IDAP</v>
      </c>
      <c r="D13" s="10">
        <v>275</v>
      </c>
      <c r="E13" s="10">
        <v>275</v>
      </c>
      <c r="F13" s="10">
        <v>275</v>
      </c>
      <c r="G13" s="10">
        <v>275</v>
      </c>
      <c r="H13" s="10">
        <v>275</v>
      </c>
      <c r="I13" s="10">
        <v>195</v>
      </c>
      <c r="J13" s="10">
        <v>0</v>
      </c>
      <c r="K13" s="10">
        <v>1570</v>
      </c>
      <c r="O13">
        <v>472</v>
      </c>
    </row>
    <row r="14" spans="1:15" x14ac:dyDescent="0.3">
      <c r="A14" s="10" t="s">
        <v>28</v>
      </c>
      <c r="B14" s="10" t="s">
        <v>32</v>
      </c>
      <c r="C14" s="10" t="str">
        <f t="shared" si="0"/>
        <v>FA035621.28IDAS</v>
      </c>
      <c r="D14" s="10">
        <v>400</v>
      </c>
      <c r="E14" s="10">
        <v>400</v>
      </c>
      <c r="F14" s="10">
        <v>400</v>
      </c>
      <c r="G14" s="10">
        <v>400</v>
      </c>
      <c r="H14" s="10">
        <v>400</v>
      </c>
      <c r="I14" s="10">
        <v>282</v>
      </c>
      <c r="J14" s="10">
        <v>0</v>
      </c>
      <c r="K14" s="10">
        <v>2282</v>
      </c>
      <c r="O14">
        <v>239</v>
      </c>
    </row>
    <row r="15" spans="1:15" x14ac:dyDescent="0.3">
      <c r="A15" s="10" t="s">
        <v>28</v>
      </c>
      <c r="B15" s="10" t="s">
        <v>33</v>
      </c>
      <c r="C15" s="10" t="str">
        <f t="shared" si="0"/>
        <v>FA035621.28IDBO</v>
      </c>
      <c r="D15" s="10">
        <v>756</v>
      </c>
      <c r="E15" s="10">
        <v>756</v>
      </c>
      <c r="F15" s="10">
        <v>760</v>
      </c>
      <c r="G15" s="10">
        <v>756</v>
      </c>
      <c r="H15" s="10">
        <v>756</v>
      </c>
      <c r="I15" s="10">
        <v>545</v>
      </c>
      <c r="J15" s="10">
        <v>0</v>
      </c>
      <c r="K15" s="10">
        <v>4329</v>
      </c>
      <c r="O15">
        <v>445</v>
      </c>
    </row>
    <row r="16" spans="1:15" x14ac:dyDescent="0.3">
      <c r="A16" s="10" t="s">
        <v>28</v>
      </c>
      <c r="B16" s="10" t="s">
        <v>34</v>
      </c>
      <c r="C16" s="10" t="str">
        <f t="shared" si="0"/>
        <v>FA035621.28IDBP</v>
      </c>
      <c r="D16" s="10">
        <v>476</v>
      </c>
      <c r="E16" s="10">
        <v>476</v>
      </c>
      <c r="F16" s="10">
        <v>476</v>
      </c>
      <c r="G16" s="10">
        <v>476</v>
      </c>
      <c r="H16" s="10">
        <v>476</v>
      </c>
      <c r="I16" s="10">
        <v>347</v>
      </c>
      <c r="J16" s="10">
        <v>0</v>
      </c>
      <c r="K16" s="10">
        <v>2727</v>
      </c>
      <c r="O16">
        <v>0</v>
      </c>
    </row>
    <row r="17" spans="1:15" x14ac:dyDescent="0.3">
      <c r="A17" s="10" t="s">
        <v>28</v>
      </c>
      <c r="B17" s="10" t="s">
        <v>35</v>
      </c>
      <c r="C17" s="10" t="str">
        <f t="shared" si="0"/>
        <v>FA035621.28IDBQ</v>
      </c>
      <c r="D17" s="10">
        <v>486</v>
      </c>
      <c r="E17" s="10">
        <v>486</v>
      </c>
      <c r="F17" s="10">
        <v>492</v>
      </c>
      <c r="G17" s="10">
        <v>485</v>
      </c>
      <c r="H17" s="10">
        <v>502</v>
      </c>
      <c r="I17" s="10">
        <v>355</v>
      </c>
      <c r="J17" s="10">
        <v>0</v>
      </c>
      <c r="K17" s="10">
        <v>2806</v>
      </c>
      <c r="O17">
        <v>498</v>
      </c>
    </row>
    <row r="18" spans="1:15" x14ac:dyDescent="0.3">
      <c r="A18" s="10" t="s">
        <v>28</v>
      </c>
      <c r="B18" s="10" t="s">
        <v>36</v>
      </c>
      <c r="C18" s="10" t="str">
        <f t="shared" si="0"/>
        <v>FA035621.28IDBR</v>
      </c>
      <c r="D18" s="10">
        <v>505</v>
      </c>
      <c r="E18" s="10">
        <v>505</v>
      </c>
      <c r="F18" s="10">
        <v>505</v>
      </c>
      <c r="G18" s="10">
        <v>505</v>
      </c>
      <c r="H18" s="10">
        <v>505</v>
      </c>
      <c r="I18" s="10">
        <v>361</v>
      </c>
      <c r="J18" s="10">
        <v>0</v>
      </c>
      <c r="K18" s="10">
        <v>2886</v>
      </c>
      <c r="O18">
        <v>0</v>
      </c>
    </row>
    <row r="19" spans="1:15" x14ac:dyDescent="0.3">
      <c r="A19" s="10" t="s">
        <v>37</v>
      </c>
      <c r="B19" s="10" t="s">
        <v>38</v>
      </c>
      <c r="C19" s="10" t="str">
        <f t="shared" si="0"/>
        <v>FA077336.15IDAE</v>
      </c>
      <c r="D19" s="10">
        <v>85</v>
      </c>
      <c r="E19" s="10">
        <v>85</v>
      </c>
      <c r="F19" s="10">
        <v>85</v>
      </c>
      <c r="G19" s="10">
        <v>85</v>
      </c>
      <c r="H19" s="10">
        <v>85</v>
      </c>
      <c r="I19" s="10">
        <v>63</v>
      </c>
      <c r="J19" s="10">
        <v>0</v>
      </c>
      <c r="K19" s="10">
        <v>488</v>
      </c>
      <c r="O19">
        <v>0</v>
      </c>
    </row>
    <row r="20" spans="1:15" x14ac:dyDescent="0.3">
      <c r="A20" s="10" t="s">
        <v>37</v>
      </c>
      <c r="B20" s="10" t="s">
        <v>39</v>
      </c>
      <c r="C20" s="10" t="str">
        <f t="shared" si="0"/>
        <v>FA077336.15IDAN</v>
      </c>
      <c r="D20" s="10">
        <v>156</v>
      </c>
      <c r="E20" s="10">
        <v>156</v>
      </c>
      <c r="F20" s="10">
        <v>156</v>
      </c>
      <c r="G20" s="10">
        <v>156</v>
      </c>
      <c r="H20" s="10">
        <v>156</v>
      </c>
      <c r="I20" s="10">
        <v>98</v>
      </c>
      <c r="J20" s="10">
        <v>0</v>
      </c>
      <c r="K20" s="10">
        <v>878</v>
      </c>
      <c r="O20">
        <v>3885</v>
      </c>
    </row>
    <row r="21" spans="1:15" x14ac:dyDescent="0.3">
      <c r="A21" s="10" t="s">
        <v>40</v>
      </c>
      <c r="B21" s="10" t="s">
        <v>41</v>
      </c>
      <c r="C21" s="10" t="str">
        <f t="shared" si="0"/>
        <v>FA078299.06ID21</v>
      </c>
      <c r="D21" s="10">
        <v>87</v>
      </c>
      <c r="E21" s="10">
        <v>87</v>
      </c>
      <c r="F21" s="10">
        <v>87</v>
      </c>
      <c r="G21" s="10">
        <v>87</v>
      </c>
      <c r="H21" s="10">
        <v>87</v>
      </c>
      <c r="I21" s="10">
        <v>63</v>
      </c>
      <c r="J21" s="10">
        <v>0</v>
      </c>
      <c r="K21" s="10">
        <v>498</v>
      </c>
      <c r="O21">
        <v>381</v>
      </c>
    </row>
    <row r="22" spans="1:15" x14ac:dyDescent="0.3">
      <c r="A22" s="10" t="s">
        <v>40</v>
      </c>
      <c r="B22" s="10" t="s">
        <v>42</v>
      </c>
      <c r="C22" s="10" t="str">
        <f t="shared" si="0"/>
        <v>FA078299.06ID22</v>
      </c>
      <c r="D22" s="10">
        <v>677</v>
      </c>
      <c r="E22" s="10">
        <v>679</v>
      </c>
      <c r="F22" s="10">
        <v>679</v>
      </c>
      <c r="G22" s="10">
        <v>682</v>
      </c>
      <c r="H22" s="10">
        <v>682</v>
      </c>
      <c r="I22" s="10">
        <v>486</v>
      </c>
      <c r="J22" s="10">
        <v>0</v>
      </c>
      <c r="K22" s="10">
        <v>3885</v>
      </c>
      <c r="O22">
        <v>0</v>
      </c>
    </row>
    <row r="23" spans="1:15" x14ac:dyDescent="0.3">
      <c r="A23" s="10" t="s">
        <v>40</v>
      </c>
      <c r="B23" s="10" t="s">
        <v>26</v>
      </c>
      <c r="C23" s="10" t="str">
        <f t="shared" si="0"/>
        <v>FA078299.06ID24</v>
      </c>
      <c r="D23" s="10">
        <v>158</v>
      </c>
      <c r="E23" s="10">
        <v>159</v>
      </c>
      <c r="F23" s="10">
        <v>159</v>
      </c>
      <c r="G23" s="10">
        <v>161</v>
      </c>
      <c r="H23" s="10">
        <v>161</v>
      </c>
      <c r="I23" s="10">
        <v>115</v>
      </c>
      <c r="J23" s="10">
        <v>0</v>
      </c>
      <c r="K23" s="10">
        <v>913</v>
      </c>
      <c r="O23">
        <v>0</v>
      </c>
    </row>
    <row r="24" spans="1:15" x14ac:dyDescent="0.3">
      <c r="A24" s="10" t="s">
        <v>40</v>
      </c>
      <c r="B24" s="10" t="s">
        <v>43</v>
      </c>
      <c r="C24" s="10" t="str">
        <f t="shared" si="0"/>
        <v>FA078299.06ID26</v>
      </c>
      <c r="D24" s="10">
        <v>619</v>
      </c>
      <c r="E24" s="10">
        <v>620</v>
      </c>
      <c r="F24" s="10">
        <v>619</v>
      </c>
      <c r="G24" s="10">
        <v>620</v>
      </c>
      <c r="H24" s="10">
        <v>619</v>
      </c>
      <c r="I24" s="10">
        <v>444</v>
      </c>
      <c r="J24" s="10">
        <v>0</v>
      </c>
      <c r="K24" s="10">
        <v>3541</v>
      </c>
      <c r="O24">
        <v>1027</v>
      </c>
    </row>
    <row r="25" spans="1:15" x14ac:dyDescent="0.3">
      <c r="A25" s="10" t="s">
        <v>40</v>
      </c>
      <c r="B25" s="10" t="s">
        <v>44</v>
      </c>
      <c r="C25" s="10" t="str">
        <f t="shared" si="0"/>
        <v>FA078299.06IDAB</v>
      </c>
      <c r="D25" s="10">
        <v>156</v>
      </c>
      <c r="E25" s="10">
        <v>156</v>
      </c>
      <c r="F25" s="10">
        <v>156</v>
      </c>
      <c r="G25" s="10">
        <v>156</v>
      </c>
      <c r="H25" s="10">
        <v>156</v>
      </c>
      <c r="I25" s="10">
        <v>109</v>
      </c>
      <c r="J25" s="10">
        <v>0</v>
      </c>
      <c r="K25" s="10">
        <v>889</v>
      </c>
      <c r="O25">
        <v>0</v>
      </c>
    </row>
    <row r="26" spans="1:15" x14ac:dyDescent="0.3">
      <c r="A26" s="10" t="s">
        <v>40</v>
      </c>
      <c r="B26" s="10" t="s">
        <v>45</v>
      </c>
      <c r="C26" s="10" t="str">
        <f t="shared" si="0"/>
        <v>FA078299.06IDAC</v>
      </c>
      <c r="D26" s="10">
        <v>237</v>
      </c>
      <c r="E26" s="10">
        <v>237</v>
      </c>
      <c r="F26" s="10">
        <v>237</v>
      </c>
      <c r="G26" s="10">
        <v>237</v>
      </c>
      <c r="H26" s="10">
        <v>236</v>
      </c>
      <c r="I26" s="10">
        <v>169</v>
      </c>
      <c r="J26" s="10">
        <v>0</v>
      </c>
      <c r="K26" s="10">
        <v>1353</v>
      </c>
      <c r="O26">
        <v>0</v>
      </c>
    </row>
    <row r="27" spans="1:15" x14ac:dyDescent="0.3">
      <c r="A27" s="10" t="s">
        <v>40</v>
      </c>
      <c r="B27" s="10" t="s">
        <v>46</v>
      </c>
      <c r="C27" s="10" t="str">
        <f t="shared" si="0"/>
        <v>FA078299.06IDAM</v>
      </c>
      <c r="D27" s="10">
        <v>155</v>
      </c>
      <c r="E27" s="10">
        <v>155</v>
      </c>
      <c r="F27" s="10">
        <v>155</v>
      </c>
      <c r="G27" s="10">
        <v>155</v>
      </c>
      <c r="H27" s="10">
        <v>155</v>
      </c>
      <c r="I27" s="10">
        <v>110</v>
      </c>
      <c r="J27" s="10">
        <v>0</v>
      </c>
      <c r="K27" s="10">
        <v>885</v>
      </c>
      <c r="O27">
        <v>640</v>
      </c>
    </row>
    <row r="28" spans="1:15" x14ac:dyDescent="0.3">
      <c r="A28" s="10" t="s">
        <v>40</v>
      </c>
      <c r="B28" s="10" t="s">
        <v>39</v>
      </c>
      <c r="C28" s="10" t="str">
        <f t="shared" si="0"/>
        <v>FA078299.06IDAN</v>
      </c>
      <c r="D28" s="10">
        <v>108</v>
      </c>
      <c r="E28" s="10">
        <v>108</v>
      </c>
      <c r="F28" s="10">
        <v>108</v>
      </c>
      <c r="G28" s="10">
        <v>108</v>
      </c>
      <c r="H28" s="10">
        <v>108</v>
      </c>
      <c r="I28" s="10">
        <v>80</v>
      </c>
      <c r="J28" s="10">
        <v>0</v>
      </c>
      <c r="K28" s="10">
        <v>620</v>
      </c>
      <c r="O28">
        <v>0</v>
      </c>
    </row>
    <row r="29" spans="1:15" x14ac:dyDescent="0.3">
      <c r="A29" s="10" t="s">
        <v>40</v>
      </c>
      <c r="B29" s="10" t="s">
        <v>47</v>
      </c>
      <c r="C29" s="10" t="str">
        <f t="shared" si="0"/>
        <v>FA078299.06IDAU</v>
      </c>
      <c r="D29" s="10">
        <v>63</v>
      </c>
      <c r="E29" s="10">
        <v>63</v>
      </c>
      <c r="F29" s="10">
        <v>63</v>
      </c>
      <c r="G29" s="10">
        <v>63</v>
      </c>
      <c r="H29" s="10">
        <v>63</v>
      </c>
      <c r="I29" s="10">
        <v>48</v>
      </c>
      <c r="J29" s="10">
        <v>0</v>
      </c>
      <c r="K29" s="10">
        <v>363</v>
      </c>
      <c r="O29">
        <v>0</v>
      </c>
    </row>
    <row r="30" spans="1:15" x14ac:dyDescent="0.3">
      <c r="A30" s="10" t="s">
        <v>40</v>
      </c>
      <c r="B30" s="10" t="s">
        <v>48</v>
      </c>
      <c r="C30" s="10" t="str">
        <f t="shared" si="0"/>
        <v>FA078299.06IDAV</v>
      </c>
      <c r="D30" s="10">
        <v>138</v>
      </c>
      <c r="E30" s="10">
        <v>138</v>
      </c>
      <c r="F30" s="10">
        <v>138</v>
      </c>
      <c r="G30" s="10">
        <v>138</v>
      </c>
      <c r="H30" s="10">
        <v>138</v>
      </c>
      <c r="I30" s="10">
        <v>98</v>
      </c>
      <c r="J30" s="10">
        <v>0</v>
      </c>
      <c r="K30" s="10">
        <v>788</v>
      </c>
      <c r="O30">
        <v>0</v>
      </c>
    </row>
    <row r="31" spans="1:15" x14ac:dyDescent="0.3">
      <c r="A31" s="10" t="s">
        <v>40</v>
      </c>
      <c r="B31" s="10" t="s">
        <v>49</v>
      </c>
      <c r="C31" s="10" t="str">
        <f t="shared" si="0"/>
        <v>FA078299.06IDAZ</v>
      </c>
      <c r="D31" s="10">
        <v>112</v>
      </c>
      <c r="E31" s="10">
        <v>112</v>
      </c>
      <c r="F31" s="10">
        <v>112</v>
      </c>
      <c r="G31" s="10">
        <v>112</v>
      </c>
      <c r="H31" s="10">
        <v>112</v>
      </c>
      <c r="I31" s="10">
        <v>80</v>
      </c>
      <c r="J31" s="10">
        <v>0</v>
      </c>
      <c r="K31" s="10">
        <v>640</v>
      </c>
      <c r="O31">
        <v>0</v>
      </c>
    </row>
    <row r="32" spans="1:15" x14ac:dyDescent="0.3">
      <c r="A32" s="10" t="s">
        <v>40</v>
      </c>
      <c r="B32" s="10" t="s">
        <v>50</v>
      </c>
      <c r="C32" s="10" t="str">
        <f t="shared" si="0"/>
        <v>FA078299.06IDBB</v>
      </c>
      <c r="D32" s="10">
        <v>196</v>
      </c>
      <c r="E32" s="10">
        <v>191</v>
      </c>
      <c r="F32" s="10">
        <v>191</v>
      </c>
      <c r="G32" s="10">
        <v>191</v>
      </c>
      <c r="H32" s="10">
        <v>218</v>
      </c>
      <c r="I32" s="10">
        <v>156</v>
      </c>
      <c r="J32" s="10">
        <v>0</v>
      </c>
      <c r="K32" s="10">
        <v>1143</v>
      </c>
      <c r="O32">
        <v>889</v>
      </c>
    </row>
    <row r="33" spans="1:15" x14ac:dyDescent="0.3">
      <c r="A33" s="10" t="s">
        <v>40</v>
      </c>
      <c r="B33" s="10" t="s">
        <v>51</v>
      </c>
      <c r="C33" s="10" t="str">
        <f t="shared" si="0"/>
        <v>FA078299.06IDBC</v>
      </c>
      <c r="D33" s="10">
        <v>124</v>
      </c>
      <c r="E33" s="10">
        <v>124</v>
      </c>
      <c r="F33" s="10">
        <v>124</v>
      </c>
      <c r="G33" s="10">
        <v>123</v>
      </c>
      <c r="H33" s="10">
        <v>123</v>
      </c>
      <c r="I33" s="10">
        <v>88</v>
      </c>
      <c r="J33" s="10">
        <v>0</v>
      </c>
      <c r="K33" s="10">
        <v>706</v>
      </c>
      <c r="O33">
        <v>0</v>
      </c>
    </row>
    <row r="34" spans="1:15" x14ac:dyDescent="0.3">
      <c r="A34" s="10" t="s">
        <v>40</v>
      </c>
      <c r="B34" s="10" t="s">
        <v>52</v>
      </c>
      <c r="C34" s="10" t="str">
        <f t="shared" si="0"/>
        <v>FA078299.06IDBE</v>
      </c>
      <c r="D34" s="10">
        <v>235</v>
      </c>
      <c r="E34" s="10">
        <v>232</v>
      </c>
      <c r="F34" s="10">
        <v>232</v>
      </c>
      <c r="G34" s="10">
        <v>214</v>
      </c>
      <c r="H34" s="10">
        <v>232</v>
      </c>
      <c r="I34" s="10">
        <v>165</v>
      </c>
      <c r="J34" s="10">
        <v>0</v>
      </c>
      <c r="K34" s="10">
        <v>1310</v>
      </c>
      <c r="O34">
        <v>776</v>
      </c>
    </row>
    <row r="35" spans="1:15" x14ac:dyDescent="0.3">
      <c r="A35" s="10" t="s">
        <v>40</v>
      </c>
      <c r="B35" s="10" t="s">
        <v>53</v>
      </c>
      <c r="C35" s="10" t="str">
        <f t="shared" si="0"/>
        <v>FA078299.06IDBF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O35">
        <v>0</v>
      </c>
    </row>
    <row r="36" spans="1:15" x14ac:dyDescent="0.3">
      <c r="A36" s="10" t="s">
        <v>40</v>
      </c>
      <c r="B36" s="10" t="s">
        <v>54</v>
      </c>
      <c r="C36" s="10" t="str">
        <f t="shared" si="0"/>
        <v>FA078299.06IDBG</v>
      </c>
      <c r="D36" s="10">
        <v>120</v>
      </c>
      <c r="E36" s="10">
        <v>120</v>
      </c>
      <c r="F36" s="10">
        <v>120</v>
      </c>
      <c r="G36" s="10">
        <v>120</v>
      </c>
      <c r="H36" s="10">
        <v>120</v>
      </c>
      <c r="I36" s="10">
        <v>86</v>
      </c>
      <c r="J36" s="10">
        <v>0</v>
      </c>
      <c r="K36" s="10">
        <v>686</v>
      </c>
      <c r="O36">
        <v>0</v>
      </c>
    </row>
    <row r="37" spans="1:15" x14ac:dyDescent="0.3">
      <c r="A37" s="10" t="s">
        <v>55</v>
      </c>
      <c r="B37" s="10" t="s">
        <v>50</v>
      </c>
      <c r="C37" s="10" t="str">
        <f t="shared" si="0"/>
        <v>FA078300.06IDBB</v>
      </c>
      <c r="D37" s="10">
        <v>64</v>
      </c>
      <c r="E37" s="10">
        <v>58</v>
      </c>
      <c r="F37" s="10">
        <v>62</v>
      </c>
      <c r="G37" s="10">
        <v>62</v>
      </c>
      <c r="H37" s="10">
        <v>84</v>
      </c>
      <c r="I37" s="10">
        <v>60</v>
      </c>
      <c r="J37" s="10">
        <v>0</v>
      </c>
      <c r="K37" s="10">
        <v>390</v>
      </c>
      <c r="O37">
        <v>929</v>
      </c>
    </row>
    <row r="38" spans="1:15" x14ac:dyDescent="0.3">
      <c r="A38" s="10" t="s">
        <v>56</v>
      </c>
      <c r="B38" s="10" t="s">
        <v>41</v>
      </c>
      <c r="C38" s="10" t="str">
        <f t="shared" si="0"/>
        <v>FA078301.09ID21</v>
      </c>
      <c r="D38" s="10">
        <v>37</v>
      </c>
      <c r="E38" s="10">
        <v>43</v>
      </c>
      <c r="F38" s="10">
        <v>43</v>
      </c>
      <c r="G38" s="10">
        <v>43</v>
      </c>
      <c r="H38" s="10">
        <v>43</v>
      </c>
      <c r="I38" s="10">
        <v>30</v>
      </c>
      <c r="J38" s="10">
        <v>0</v>
      </c>
      <c r="K38" s="10">
        <v>239</v>
      </c>
      <c r="O38">
        <v>629</v>
      </c>
    </row>
    <row r="39" spans="1:15" x14ac:dyDescent="0.3">
      <c r="A39" s="10" t="s">
        <v>56</v>
      </c>
      <c r="B39" s="10" t="s">
        <v>57</v>
      </c>
      <c r="C39" s="10" t="str">
        <f t="shared" si="0"/>
        <v>FA078301.09IDAA</v>
      </c>
      <c r="D39" s="10">
        <v>190</v>
      </c>
      <c r="E39" s="10">
        <v>190</v>
      </c>
      <c r="F39" s="10">
        <v>190</v>
      </c>
      <c r="G39" s="10">
        <v>190</v>
      </c>
      <c r="H39" s="10">
        <v>190</v>
      </c>
      <c r="I39" s="10">
        <v>134</v>
      </c>
      <c r="J39" s="10">
        <v>0</v>
      </c>
      <c r="K39" s="10">
        <v>1084</v>
      </c>
      <c r="O39">
        <v>0</v>
      </c>
    </row>
    <row r="40" spans="1:15" x14ac:dyDescent="0.3">
      <c r="A40" s="10" t="s">
        <v>56</v>
      </c>
      <c r="B40" s="10" t="s">
        <v>45</v>
      </c>
      <c r="C40" s="10" t="str">
        <f t="shared" si="0"/>
        <v>FA078301.09IDAC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O40">
        <v>488</v>
      </c>
    </row>
    <row r="41" spans="1:15" x14ac:dyDescent="0.3">
      <c r="A41" s="10" t="s">
        <v>56</v>
      </c>
      <c r="B41" s="10" t="s">
        <v>58</v>
      </c>
      <c r="C41" s="10" t="str">
        <f t="shared" si="0"/>
        <v>FA078301.09IDAO</v>
      </c>
      <c r="D41" s="10">
        <v>100</v>
      </c>
      <c r="E41" s="10">
        <v>100</v>
      </c>
      <c r="F41" s="10">
        <v>100</v>
      </c>
      <c r="G41" s="10">
        <v>100</v>
      </c>
      <c r="H41" s="10">
        <v>100</v>
      </c>
      <c r="I41" s="10">
        <v>69</v>
      </c>
      <c r="J41" s="10">
        <v>0</v>
      </c>
      <c r="K41" s="10">
        <v>569</v>
      </c>
      <c r="O41">
        <v>941</v>
      </c>
    </row>
    <row r="42" spans="1:15" x14ac:dyDescent="0.3">
      <c r="A42" s="10" t="s">
        <v>56</v>
      </c>
      <c r="B42" s="10" t="s">
        <v>59</v>
      </c>
      <c r="C42" s="10" t="str">
        <f t="shared" si="0"/>
        <v>FA078301.09IDAT</v>
      </c>
      <c r="D42" s="10">
        <v>136</v>
      </c>
      <c r="E42" s="10">
        <v>136</v>
      </c>
      <c r="F42" s="10">
        <v>136</v>
      </c>
      <c r="G42" s="10">
        <v>136</v>
      </c>
      <c r="H42" s="10">
        <v>136</v>
      </c>
      <c r="I42" s="10">
        <v>96</v>
      </c>
      <c r="J42" s="10">
        <v>0</v>
      </c>
      <c r="K42" s="10">
        <v>776</v>
      </c>
      <c r="O42">
        <v>0</v>
      </c>
    </row>
    <row r="43" spans="1:15" x14ac:dyDescent="0.3">
      <c r="A43" s="10" t="s">
        <v>56</v>
      </c>
      <c r="B43" s="10" t="s">
        <v>60</v>
      </c>
      <c r="C43" s="10" t="str">
        <f t="shared" si="0"/>
        <v>FA078301.09IDBA</v>
      </c>
      <c r="D43" s="10">
        <v>145</v>
      </c>
      <c r="E43" s="10">
        <v>146</v>
      </c>
      <c r="F43" s="10">
        <v>145</v>
      </c>
      <c r="G43" s="10">
        <v>146</v>
      </c>
      <c r="H43" s="10">
        <v>146</v>
      </c>
      <c r="I43" s="10">
        <v>103</v>
      </c>
      <c r="J43" s="10">
        <v>0</v>
      </c>
      <c r="K43" s="10">
        <v>831</v>
      </c>
      <c r="O43">
        <v>0</v>
      </c>
    </row>
    <row r="44" spans="1:15" x14ac:dyDescent="0.3">
      <c r="A44" s="10" t="s">
        <v>56</v>
      </c>
      <c r="B44" s="10" t="s">
        <v>61</v>
      </c>
      <c r="C44" s="10" t="str">
        <f t="shared" si="0"/>
        <v>FA078301.09IDBJ</v>
      </c>
      <c r="D44" s="10">
        <v>109</v>
      </c>
      <c r="E44" s="10">
        <v>109</v>
      </c>
      <c r="F44" s="10">
        <v>109</v>
      </c>
      <c r="G44" s="10">
        <v>109</v>
      </c>
      <c r="H44" s="10">
        <v>109</v>
      </c>
      <c r="I44" s="10">
        <v>75</v>
      </c>
      <c r="J44" s="10">
        <v>0</v>
      </c>
      <c r="K44" s="10">
        <v>620</v>
      </c>
      <c r="O44">
        <v>963</v>
      </c>
    </row>
    <row r="45" spans="1:15" x14ac:dyDescent="0.3">
      <c r="A45" s="10" t="s">
        <v>62</v>
      </c>
      <c r="B45" s="10" t="s">
        <v>63</v>
      </c>
      <c r="C45" s="10" t="str">
        <f t="shared" si="0"/>
        <v>FA079257.05IDAL</v>
      </c>
      <c r="D45" s="10">
        <v>180</v>
      </c>
      <c r="E45" s="10">
        <v>180</v>
      </c>
      <c r="F45" s="10">
        <v>180</v>
      </c>
      <c r="G45" s="10">
        <v>180</v>
      </c>
      <c r="H45" s="10">
        <v>180</v>
      </c>
      <c r="I45" s="10">
        <v>127</v>
      </c>
      <c r="J45" s="10">
        <v>0</v>
      </c>
      <c r="K45" s="10">
        <v>1027</v>
      </c>
      <c r="O45">
        <v>753</v>
      </c>
    </row>
    <row r="46" spans="1:15" x14ac:dyDescent="0.3">
      <c r="A46" s="10" t="s">
        <v>62</v>
      </c>
      <c r="B46" s="10" t="s">
        <v>53</v>
      </c>
      <c r="C46" s="10" t="str">
        <f t="shared" si="0"/>
        <v>FA079257.05IDBF</v>
      </c>
      <c r="D46" s="10">
        <v>163</v>
      </c>
      <c r="E46" s="10">
        <v>163</v>
      </c>
      <c r="F46" s="10">
        <v>163</v>
      </c>
      <c r="G46" s="10">
        <v>163</v>
      </c>
      <c r="H46" s="10">
        <v>163</v>
      </c>
      <c r="I46" s="10">
        <v>114</v>
      </c>
      <c r="J46" s="10">
        <v>0</v>
      </c>
      <c r="K46" s="10">
        <v>929</v>
      </c>
      <c r="O46">
        <v>0</v>
      </c>
    </row>
    <row r="47" spans="1:15" x14ac:dyDescent="0.3">
      <c r="A47" s="10" t="s">
        <v>64</v>
      </c>
      <c r="B47" s="10" t="s">
        <v>65</v>
      </c>
      <c r="C47" s="10" t="str">
        <f t="shared" si="0"/>
        <v>FA079829.04IDAJ</v>
      </c>
      <c r="D47" s="10">
        <v>222</v>
      </c>
      <c r="E47" s="10">
        <v>222</v>
      </c>
      <c r="F47" s="10">
        <v>222</v>
      </c>
      <c r="G47" s="10">
        <v>222</v>
      </c>
      <c r="H47" s="10">
        <v>222</v>
      </c>
      <c r="I47" s="10">
        <v>158</v>
      </c>
      <c r="J47" s="10">
        <v>0</v>
      </c>
      <c r="K47" s="10">
        <v>1268</v>
      </c>
      <c r="O47">
        <v>0</v>
      </c>
    </row>
    <row r="48" spans="1:15" x14ac:dyDescent="0.3">
      <c r="A48" s="10" t="s">
        <v>64</v>
      </c>
      <c r="B48" s="10" t="s">
        <v>66</v>
      </c>
      <c r="C48" s="10" t="str">
        <f t="shared" si="0"/>
        <v>FA079829.04IDBD</v>
      </c>
      <c r="D48" s="10">
        <v>225</v>
      </c>
      <c r="E48" s="10">
        <v>225</v>
      </c>
      <c r="F48" s="10">
        <v>225</v>
      </c>
      <c r="G48" s="10">
        <v>225</v>
      </c>
      <c r="H48" s="10">
        <v>225</v>
      </c>
      <c r="I48" s="10">
        <v>158</v>
      </c>
      <c r="J48" s="10">
        <v>0</v>
      </c>
      <c r="K48" s="10">
        <v>1283</v>
      </c>
      <c r="O48">
        <v>0</v>
      </c>
    </row>
    <row r="49" spans="1:15" x14ac:dyDescent="0.3">
      <c r="A49" s="10" t="s">
        <v>67</v>
      </c>
      <c r="B49" s="10" t="s">
        <v>68</v>
      </c>
      <c r="C49" s="10" t="str">
        <f t="shared" si="0"/>
        <v>FA083067.02IDBI</v>
      </c>
      <c r="D49" s="10">
        <v>168</v>
      </c>
      <c r="E49" s="10">
        <v>168</v>
      </c>
      <c r="F49" s="10">
        <v>168</v>
      </c>
      <c r="G49" s="10">
        <v>168</v>
      </c>
      <c r="H49" s="10">
        <v>168</v>
      </c>
      <c r="I49" s="10">
        <v>123</v>
      </c>
      <c r="J49" s="10">
        <v>0</v>
      </c>
      <c r="K49" s="10">
        <v>963</v>
      </c>
      <c r="O49">
        <v>0</v>
      </c>
    </row>
    <row r="50" spans="1:15" x14ac:dyDescent="0.3">
      <c r="A50" s="10" t="s">
        <v>67</v>
      </c>
      <c r="B50" s="10" t="s">
        <v>69</v>
      </c>
      <c r="C50" s="10" t="str">
        <f t="shared" si="0"/>
        <v>FA083067.02IDBM</v>
      </c>
      <c r="D50" s="10">
        <v>244</v>
      </c>
      <c r="E50" s="10">
        <v>244</v>
      </c>
      <c r="F50" s="10">
        <v>244</v>
      </c>
      <c r="G50" s="10">
        <v>244</v>
      </c>
      <c r="H50" s="10">
        <v>244</v>
      </c>
      <c r="I50" s="10">
        <v>175</v>
      </c>
      <c r="J50" s="10">
        <v>0</v>
      </c>
      <c r="K50" s="10">
        <v>1395</v>
      </c>
      <c r="O50">
        <v>807</v>
      </c>
    </row>
    <row r="51" spans="1:15" x14ac:dyDescent="0.3">
      <c r="A51" s="10" t="s">
        <v>70</v>
      </c>
      <c r="B51" s="10" t="s">
        <v>41</v>
      </c>
      <c r="C51" s="10" t="str">
        <f t="shared" si="0"/>
        <v>FA084857.01ID21</v>
      </c>
      <c r="D51" s="10">
        <v>75</v>
      </c>
      <c r="E51" s="10">
        <v>75</v>
      </c>
      <c r="F51" s="10">
        <v>79</v>
      </c>
      <c r="G51" s="10">
        <v>79</v>
      </c>
      <c r="H51" s="10">
        <v>79</v>
      </c>
      <c r="I51" s="10">
        <v>58</v>
      </c>
      <c r="J51" s="10">
        <v>0</v>
      </c>
      <c r="K51" s="10">
        <v>445</v>
      </c>
      <c r="O51">
        <v>0</v>
      </c>
    </row>
    <row r="52" spans="1:15" x14ac:dyDescent="0.3">
      <c r="A52" s="10" t="s">
        <v>70</v>
      </c>
      <c r="B52" s="10" t="s">
        <v>42</v>
      </c>
      <c r="C52" s="10" t="str">
        <f t="shared" si="0"/>
        <v>FA084857.01ID22</v>
      </c>
      <c r="D52" s="10">
        <v>66</v>
      </c>
      <c r="E52" s="10">
        <v>66</v>
      </c>
      <c r="F52" s="10">
        <v>67</v>
      </c>
      <c r="G52" s="10">
        <v>67</v>
      </c>
      <c r="H52" s="10">
        <v>67</v>
      </c>
      <c r="I52" s="10">
        <v>48</v>
      </c>
      <c r="J52" s="10">
        <v>0</v>
      </c>
      <c r="K52" s="10">
        <v>381</v>
      </c>
      <c r="O52">
        <v>0</v>
      </c>
    </row>
    <row r="53" spans="1:15" x14ac:dyDescent="0.3">
      <c r="A53" s="10" t="s">
        <v>70</v>
      </c>
      <c r="B53" s="10" t="s">
        <v>71</v>
      </c>
      <c r="C53" s="10" t="str">
        <f t="shared" si="0"/>
        <v>FA084857.01ID28</v>
      </c>
      <c r="D53" s="10">
        <v>249</v>
      </c>
      <c r="E53" s="10">
        <v>249</v>
      </c>
      <c r="F53" s="10">
        <v>251</v>
      </c>
      <c r="G53" s="10">
        <v>250</v>
      </c>
      <c r="H53" s="10">
        <v>252</v>
      </c>
      <c r="I53" s="10">
        <v>185</v>
      </c>
      <c r="J53" s="10">
        <v>0</v>
      </c>
      <c r="K53" s="10">
        <v>1436</v>
      </c>
      <c r="O53">
        <v>0</v>
      </c>
    </row>
    <row r="54" spans="1:15" x14ac:dyDescent="0.3">
      <c r="A54" s="10" t="s">
        <v>70</v>
      </c>
      <c r="B54" s="10" t="s">
        <v>72</v>
      </c>
      <c r="C54" s="10" t="str">
        <f t="shared" si="0"/>
        <v>FA084857.01ID29</v>
      </c>
      <c r="D54" s="10">
        <v>197</v>
      </c>
      <c r="E54" s="10">
        <v>203</v>
      </c>
      <c r="F54" s="10">
        <v>197</v>
      </c>
      <c r="G54" s="10">
        <v>198</v>
      </c>
      <c r="H54" s="10">
        <v>195</v>
      </c>
      <c r="I54" s="10">
        <v>140</v>
      </c>
      <c r="J54" s="10">
        <v>0</v>
      </c>
      <c r="K54" s="10">
        <v>1130</v>
      </c>
      <c r="O54">
        <v>788</v>
      </c>
    </row>
    <row r="55" spans="1:15" x14ac:dyDescent="0.3">
      <c r="A55" s="10" t="s">
        <v>70</v>
      </c>
      <c r="B55" s="10" t="s">
        <v>73</v>
      </c>
      <c r="C55" s="10" t="str">
        <f t="shared" si="0"/>
        <v>FA084857.01IDAF</v>
      </c>
      <c r="D55" s="10">
        <v>133</v>
      </c>
      <c r="E55" s="10">
        <v>133</v>
      </c>
      <c r="F55" s="10">
        <v>133</v>
      </c>
      <c r="G55" s="10">
        <v>133</v>
      </c>
      <c r="H55" s="10">
        <v>133</v>
      </c>
      <c r="I55" s="10">
        <v>91</v>
      </c>
      <c r="J55" s="10">
        <v>0</v>
      </c>
      <c r="K55" s="10">
        <v>756</v>
      </c>
      <c r="O55">
        <v>616</v>
      </c>
    </row>
    <row r="56" spans="1:15" x14ac:dyDescent="0.3">
      <c r="A56" s="10" t="s">
        <v>70</v>
      </c>
      <c r="B56" s="10" t="s">
        <v>74</v>
      </c>
      <c r="C56" s="10" t="str">
        <f t="shared" si="0"/>
        <v>FA084857.01IDAK</v>
      </c>
      <c r="D56" s="10">
        <v>129</v>
      </c>
      <c r="E56" s="10">
        <v>129</v>
      </c>
      <c r="F56" s="10">
        <v>130</v>
      </c>
      <c r="G56" s="10">
        <v>130</v>
      </c>
      <c r="H56" s="10">
        <v>130</v>
      </c>
      <c r="I56" s="10">
        <v>93</v>
      </c>
      <c r="J56" s="10">
        <v>0</v>
      </c>
      <c r="K56" s="10">
        <v>741</v>
      </c>
      <c r="O56">
        <v>0</v>
      </c>
    </row>
    <row r="57" spans="1:15" x14ac:dyDescent="0.3">
      <c r="A57" s="10" t="s">
        <v>70</v>
      </c>
      <c r="B57" s="10" t="s">
        <v>75</v>
      </c>
      <c r="C57" s="10" t="str">
        <f t="shared" si="0"/>
        <v>FA084857.01IDAQ</v>
      </c>
      <c r="D57" s="10">
        <v>152</v>
      </c>
      <c r="E57" s="10">
        <v>152</v>
      </c>
      <c r="F57" s="10">
        <v>152</v>
      </c>
      <c r="G57" s="10">
        <v>152</v>
      </c>
      <c r="H57" s="10">
        <v>152</v>
      </c>
      <c r="I57" s="10">
        <v>108</v>
      </c>
      <c r="J57" s="10">
        <v>0</v>
      </c>
      <c r="K57" s="10">
        <v>868</v>
      </c>
      <c r="O57">
        <v>1084</v>
      </c>
    </row>
    <row r="58" spans="1:15" x14ac:dyDescent="0.3">
      <c r="A58" s="10" t="s">
        <v>70</v>
      </c>
      <c r="B58" s="10" t="s">
        <v>76</v>
      </c>
      <c r="C58" s="10" t="str">
        <f t="shared" si="0"/>
        <v>FA084857.01IDAR</v>
      </c>
      <c r="D58" s="10">
        <v>128</v>
      </c>
      <c r="E58" s="10">
        <v>128</v>
      </c>
      <c r="F58" s="10">
        <v>128</v>
      </c>
      <c r="G58" s="10">
        <v>128</v>
      </c>
      <c r="H58" s="10">
        <v>128</v>
      </c>
      <c r="I58" s="10">
        <v>91</v>
      </c>
      <c r="J58" s="10">
        <v>0</v>
      </c>
      <c r="K58" s="10">
        <v>731</v>
      </c>
      <c r="O58">
        <v>600</v>
      </c>
    </row>
    <row r="59" spans="1:15" x14ac:dyDescent="0.3">
      <c r="A59" s="10" t="s">
        <v>70</v>
      </c>
      <c r="B59" s="10" t="s">
        <v>77</v>
      </c>
      <c r="C59" s="10" t="str">
        <f t="shared" si="0"/>
        <v>FA084857.01IDAY</v>
      </c>
      <c r="D59" s="10">
        <v>150</v>
      </c>
      <c r="E59" s="10">
        <v>151</v>
      </c>
      <c r="F59" s="10">
        <v>152</v>
      </c>
      <c r="G59" s="10">
        <v>152</v>
      </c>
      <c r="H59" s="10">
        <v>150</v>
      </c>
      <c r="I59" s="10">
        <v>108</v>
      </c>
      <c r="J59" s="10">
        <v>0</v>
      </c>
      <c r="K59" s="10">
        <v>863</v>
      </c>
      <c r="O59">
        <v>0</v>
      </c>
    </row>
    <row r="60" spans="1:15" x14ac:dyDescent="0.3">
      <c r="A60" s="10" t="s">
        <v>78</v>
      </c>
      <c r="B60" s="10" t="s">
        <v>58</v>
      </c>
      <c r="C60" s="10" t="str">
        <f t="shared" si="0"/>
        <v>FA084899.01IDAO</v>
      </c>
      <c r="D60" s="10">
        <v>80</v>
      </c>
      <c r="E60" s="10">
        <v>80</v>
      </c>
      <c r="F60" s="10">
        <v>80</v>
      </c>
      <c r="G60" s="10">
        <v>80</v>
      </c>
      <c r="H60" s="10">
        <v>80</v>
      </c>
      <c r="I60" s="10">
        <v>80</v>
      </c>
      <c r="J60" s="10">
        <v>0</v>
      </c>
      <c r="K60" s="10">
        <v>480</v>
      </c>
      <c r="O60">
        <v>0</v>
      </c>
    </row>
    <row r="61" spans="1:15" x14ac:dyDescent="0.3">
      <c r="A61" s="10" t="s">
        <v>79</v>
      </c>
      <c r="B61" s="10" t="s">
        <v>52</v>
      </c>
      <c r="C61" s="10" t="str">
        <f t="shared" si="0"/>
        <v>FA085045.01IDBE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O61">
        <v>0</v>
      </c>
    </row>
    <row r="62" spans="1:15" x14ac:dyDescent="0.3">
      <c r="A62" s="10" t="s">
        <v>80</v>
      </c>
      <c r="B62" s="10" t="s">
        <v>47</v>
      </c>
      <c r="C62" s="10" t="str">
        <f t="shared" si="0"/>
        <v>FA085197.01IDAU</v>
      </c>
      <c r="D62" s="10">
        <v>210</v>
      </c>
      <c r="E62" s="10">
        <v>210</v>
      </c>
      <c r="F62" s="10">
        <v>210</v>
      </c>
      <c r="G62" s="10">
        <v>210</v>
      </c>
      <c r="H62" s="10">
        <v>210</v>
      </c>
      <c r="I62" s="10">
        <v>149</v>
      </c>
      <c r="J62" s="10">
        <v>0</v>
      </c>
      <c r="K62" s="10">
        <v>1199</v>
      </c>
      <c r="O62">
        <v>3101</v>
      </c>
    </row>
    <row r="63" spans="1:15" x14ac:dyDescent="0.3">
      <c r="A63" s="10" t="s">
        <v>81</v>
      </c>
      <c r="B63" s="10" t="s">
        <v>26</v>
      </c>
      <c r="C63" s="10" t="str">
        <f t="shared" si="0"/>
        <v>FA085321.02ID24</v>
      </c>
      <c r="D63" s="10">
        <v>74</v>
      </c>
      <c r="E63" s="10">
        <v>74</v>
      </c>
      <c r="F63" s="10">
        <v>75</v>
      </c>
      <c r="G63" s="10">
        <v>75</v>
      </c>
      <c r="H63" s="10">
        <v>75</v>
      </c>
      <c r="I63" s="10">
        <v>53</v>
      </c>
      <c r="J63" s="10">
        <v>0</v>
      </c>
      <c r="K63" s="10">
        <v>426</v>
      </c>
      <c r="O63">
        <v>0</v>
      </c>
    </row>
    <row r="64" spans="1:15" x14ac:dyDescent="0.3">
      <c r="A64" s="10" t="s">
        <v>81</v>
      </c>
      <c r="B64" s="10" t="s">
        <v>82</v>
      </c>
      <c r="C64" s="10" t="str">
        <f t="shared" si="0"/>
        <v>FA085321.02IDAW</v>
      </c>
      <c r="D64" s="10">
        <v>132</v>
      </c>
      <c r="E64" s="10">
        <v>132</v>
      </c>
      <c r="F64" s="10">
        <v>132</v>
      </c>
      <c r="G64" s="10">
        <v>132</v>
      </c>
      <c r="H64" s="10">
        <v>131</v>
      </c>
      <c r="I64" s="10">
        <v>94</v>
      </c>
      <c r="J64" s="10">
        <v>0</v>
      </c>
      <c r="K64" s="10">
        <v>753</v>
      </c>
      <c r="O64">
        <v>1268</v>
      </c>
    </row>
    <row r="65" spans="1:15" x14ac:dyDescent="0.3">
      <c r="A65" s="10" t="s">
        <v>81</v>
      </c>
      <c r="B65" s="10" t="s">
        <v>83</v>
      </c>
      <c r="C65" s="10" t="str">
        <f t="shared" si="0"/>
        <v>FA085321.02IDBH</v>
      </c>
      <c r="D65" s="10">
        <v>195</v>
      </c>
      <c r="E65" s="10">
        <v>195</v>
      </c>
      <c r="F65" s="10">
        <v>195</v>
      </c>
      <c r="G65" s="10">
        <v>195</v>
      </c>
      <c r="H65" s="10">
        <v>195</v>
      </c>
      <c r="I65" s="10">
        <v>140</v>
      </c>
      <c r="J65" s="10">
        <v>0</v>
      </c>
      <c r="K65" s="10">
        <v>1115</v>
      </c>
      <c r="O65">
        <v>0</v>
      </c>
    </row>
    <row r="66" spans="1:15" x14ac:dyDescent="0.3">
      <c r="A66" s="10" t="s">
        <v>84</v>
      </c>
      <c r="B66" s="10" t="s">
        <v>57</v>
      </c>
      <c r="C66" s="10" t="str">
        <f t="shared" si="0"/>
        <v>FA085735.01IDAA</v>
      </c>
      <c r="D66" s="10">
        <v>105</v>
      </c>
      <c r="E66" s="10">
        <v>105</v>
      </c>
      <c r="F66" s="10">
        <v>105</v>
      </c>
      <c r="G66" s="10">
        <v>105</v>
      </c>
      <c r="H66" s="10">
        <v>105</v>
      </c>
      <c r="I66" s="10">
        <v>75</v>
      </c>
      <c r="J66" s="10">
        <v>0</v>
      </c>
      <c r="K66" s="10">
        <v>600</v>
      </c>
      <c r="O66">
        <v>1310</v>
      </c>
    </row>
    <row r="67" spans="1:15" x14ac:dyDescent="0.3">
      <c r="A67" s="10" t="s">
        <v>85</v>
      </c>
      <c r="B67" s="10" t="s">
        <v>54</v>
      </c>
      <c r="C67" s="10" t="str">
        <f t="shared" si="0"/>
        <v>FA085737.01IDBG</v>
      </c>
      <c r="D67" s="10">
        <v>156</v>
      </c>
      <c r="E67" s="10">
        <v>156</v>
      </c>
      <c r="F67" s="10">
        <v>156</v>
      </c>
      <c r="G67" s="10">
        <v>156</v>
      </c>
      <c r="H67" s="10">
        <v>156</v>
      </c>
      <c r="I67" s="10">
        <v>112</v>
      </c>
      <c r="J67" s="10">
        <v>0</v>
      </c>
      <c r="K67" s="10">
        <v>892</v>
      </c>
      <c r="O67">
        <v>0</v>
      </c>
    </row>
    <row r="68" spans="1:15" x14ac:dyDescent="0.3">
      <c r="A68" s="10" t="s">
        <v>86</v>
      </c>
      <c r="B68" s="10" t="s">
        <v>38</v>
      </c>
      <c r="C68" s="10" t="str">
        <f t="shared" si="0"/>
        <v>FA085817.01IDAE</v>
      </c>
      <c r="D68" s="10">
        <v>110</v>
      </c>
      <c r="E68" s="10">
        <v>110</v>
      </c>
      <c r="F68" s="10">
        <v>110</v>
      </c>
      <c r="G68" s="10">
        <v>110</v>
      </c>
      <c r="H68" s="10">
        <v>110</v>
      </c>
      <c r="I68" s="10">
        <v>79</v>
      </c>
      <c r="J68" s="10">
        <v>0</v>
      </c>
      <c r="K68" s="10">
        <v>629</v>
      </c>
      <c r="O68">
        <v>0</v>
      </c>
    </row>
    <row r="69" spans="1:15" x14ac:dyDescent="0.3">
      <c r="A69" s="10" t="s">
        <v>86</v>
      </c>
      <c r="B69" s="10" t="s">
        <v>39</v>
      </c>
      <c r="C69" s="10" t="str">
        <f t="shared" si="0"/>
        <v>FA085817.01IDAN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O69">
        <v>0</v>
      </c>
    </row>
    <row r="70" spans="1:15" x14ac:dyDescent="0.3">
      <c r="A70" s="10" t="s">
        <v>86</v>
      </c>
      <c r="B70" s="10" t="s">
        <v>87</v>
      </c>
      <c r="C70" s="10" t="str">
        <f t="shared" si="0"/>
        <v>FA085817.01IDBK</v>
      </c>
      <c r="D70" s="10">
        <v>164</v>
      </c>
      <c r="E70" s="10">
        <v>165</v>
      </c>
      <c r="F70" s="10">
        <v>165</v>
      </c>
      <c r="G70" s="10">
        <v>165</v>
      </c>
      <c r="H70" s="10">
        <v>164</v>
      </c>
      <c r="I70" s="10">
        <v>118</v>
      </c>
      <c r="J70" s="10">
        <v>0</v>
      </c>
      <c r="K70" s="10">
        <v>941</v>
      </c>
      <c r="O70">
        <v>0</v>
      </c>
    </row>
    <row r="71" spans="1:15" x14ac:dyDescent="0.3">
      <c r="A71" s="10" t="s">
        <v>88</v>
      </c>
      <c r="B71" s="10" t="s">
        <v>43</v>
      </c>
      <c r="C71" s="10" t="str">
        <f t="shared" si="0"/>
        <v>FA087372.00ID26</v>
      </c>
      <c r="D71" s="10">
        <v>13</v>
      </c>
      <c r="E71" s="10">
        <v>13</v>
      </c>
      <c r="F71" s="10">
        <v>14</v>
      </c>
      <c r="G71" s="10">
        <v>14</v>
      </c>
      <c r="H71" s="10">
        <v>14</v>
      </c>
      <c r="I71" s="10">
        <v>10</v>
      </c>
      <c r="J71" s="10">
        <v>0</v>
      </c>
      <c r="K71" s="10">
        <v>78</v>
      </c>
      <c r="O71">
        <v>885</v>
      </c>
    </row>
    <row r="72" spans="1:15" x14ac:dyDescent="0.3">
      <c r="A72" s="10" t="s">
        <v>88</v>
      </c>
      <c r="B72" s="10" t="s">
        <v>89</v>
      </c>
      <c r="C72" s="10" t="str">
        <f t="shared" si="0"/>
        <v>FA087372.00IDAH</v>
      </c>
      <c r="D72" s="10">
        <v>141</v>
      </c>
      <c r="E72" s="10">
        <v>141</v>
      </c>
      <c r="F72" s="10">
        <v>141</v>
      </c>
      <c r="G72" s="10">
        <v>141</v>
      </c>
      <c r="H72" s="10">
        <v>141</v>
      </c>
      <c r="I72" s="10">
        <v>102</v>
      </c>
      <c r="J72" s="10">
        <v>0</v>
      </c>
      <c r="K72" s="10">
        <v>807</v>
      </c>
      <c r="O72">
        <v>706</v>
      </c>
    </row>
    <row r="73" spans="1:15" x14ac:dyDescent="0.3">
      <c r="A73" s="10" t="s">
        <v>90</v>
      </c>
      <c r="B73" s="10" t="s">
        <v>71</v>
      </c>
      <c r="C73" s="10" t="str">
        <f t="shared" si="0"/>
        <v>FA087414.00ID28</v>
      </c>
      <c r="D73" s="10">
        <v>26</v>
      </c>
      <c r="E73" s="10">
        <v>26</v>
      </c>
      <c r="F73" s="10">
        <v>26</v>
      </c>
      <c r="G73" s="10">
        <v>26</v>
      </c>
      <c r="H73" s="10">
        <v>27</v>
      </c>
      <c r="I73" s="10">
        <v>19</v>
      </c>
      <c r="J73" s="10">
        <v>0</v>
      </c>
      <c r="K73" s="10">
        <v>150</v>
      </c>
      <c r="O73">
        <v>0</v>
      </c>
    </row>
    <row r="74" spans="1:15" x14ac:dyDescent="0.3">
      <c r="A74" s="10" t="s">
        <v>90</v>
      </c>
      <c r="B74" s="10" t="s">
        <v>91</v>
      </c>
      <c r="C74" s="10" t="str">
        <f t="shared" ref="C74:C76" si="1">A74&amp;B74</f>
        <v>FA087414.00IDAG</v>
      </c>
      <c r="D74" s="10">
        <v>143</v>
      </c>
      <c r="E74" s="10">
        <v>143</v>
      </c>
      <c r="F74" s="10">
        <v>143</v>
      </c>
      <c r="G74" s="10">
        <v>143</v>
      </c>
      <c r="H74" s="10">
        <v>143</v>
      </c>
      <c r="I74" s="10">
        <v>100</v>
      </c>
      <c r="J74" s="10">
        <v>0</v>
      </c>
      <c r="K74" s="10">
        <v>815</v>
      </c>
      <c r="O74">
        <v>0</v>
      </c>
    </row>
    <row r="75" spans="1:15" x14ac:dyDescent="0.3">
      <c r="A75" s="10" t="s">
        <v>90</v>
      </c>
      <c r="B75" s="10" t="s">
        <v>92</v>
      </c>
      <c r="C75" s="10" t="str">
        <f t="shared" si="1"/>
        <v>FA087414.00IDAX</v>
      </c>
      <c r="D75" s="10">
        <v>108</v>
      </c>
      <c r="E75" s="10">
        <v>108</v>
      </c>
      <c r="F75" s="10">
        <v>108</v>
      </c>
      <c r="G75" s="10">
        <v>108</v>
      </c>
      <c r="H75" s="10">
        <v>108</v>
      </c>
      <c r="I75" s="10">
        <v>76</v>
      </c>
      <c r="J75" s="10">
        <v>0</v>
      </c>
      <c r="K75" s="10">
        <v>616</v>
      </c>
      <c r="O75">
        <v>756</v>
      </c>
    </row>
    <row r="76" spans="1:15" x14ac:dyDescent="0.3">
      <c r="A76" s="15" t="s">
        <v>10</v>
      </c>
      <c r="B76" s="15"/>
      <c r="C76" s="10" t="str">
        <f t="shared" si="1"/>
        <v>Total</v>
      </c>
      <c r="D76" s="11">
        <v>12981</v>
      </c>
      <c r="E76" s="11">
        <v>12986</v>
      </c>
      <c r="F76" s="11">
        <v>13003</v>
      </c>
      <c r="G76" s="11">
        <v>12980</v>
      </c>
      <c r="H76" s="11">
        <v>13058</v>
      </c>
      <c r="I76" s="11">
        <v>9325</v>
      </c>
      <c r="J76" s="11">
        <v>0</v>
      </c>
      <c r="K76" s="11">
        <v>74333</v>
      </c>
      <c r="O76">
        <v>741</v>
      </c>
    </row>
    <row r="77" spans="1:15" x14ac:dyDescent="0.3">
      <c r="K77">
        <v>74333</v>
      </c>
      <c r="O77">
        <v>0</v>
      </c>
    </row>
    <row r="78" spans="1:15" x14ac:dyDescent="0.3">
      <c r="K78">
        <f>K76-K77</f>
        <v>0</v>
      </c>
      <c r="O78">
        <v>1115</v>
      </c>
    </row>
    <row r="79" spans="1:15" x14ac:dyDescent="0.3">
      <c r="O79">
        <v>0</v>
      </c>
    </row>
    <row r="80" spans="1:15" x14ac:dyDescent="0.3">
      <c r="O80">
        <v>0</v>
      </c>
    </row>
    <row r="81" spans="15:15" x14ac:dyDescent="0.3">
      <c r="O81">
        <v>0</v>
      </c>
    </row>
    <row r="82" spans="15:15" x14ac:dyDescent="0.3">
      <c r="O82">
        <v>892</v>
      </c>
    </row>
    <row r="83" spans="15:15" x14ac:dyDescent="0.3">
      <c r="O83">
        <v>686</v>
      </c>
    </row>
    <row r="84" spans="15:15" x14ac:dyDescent="0.3">
      <c r="O84">
        <v>0</v>
      </c>
    </row>
    <row r="85" spans="15:15" x14ac:dyDescent="0.3">
      <c r="O85">
        <v>1199</v>
      </c>
    </row>
    <row r="86" spans="15:15" x14ac:dyDescent="0.3">
      <c r="O86">
        <v>0</v>
      </c>
    </row>
    <row r="87" spans="15:15" x14ac:dyDescent="0.3">
      <c r="O87">
        <v>363</v>
      </c>
    </row>
    <row r="88" spans="15:15" x14ac:dyDescent="0.3">
      <c r="O88">
        <v>0</v>
      </c>
    </row>
    <row r="89" spans="15:15" x14ac:dyDescent="0.3">
      <c r="O89">
        <v>390</v>
      </c>
    </row>
    <row r="90" spans="15:15" x14ac:dyDescent="0.3">
      <c r="O90">
        <v>1143</v>
      </c>
    </row>
    <row r="91" spans="15:15" x14ac:dyDescent="0.3">
      <c r="O91">
        <v>0</v>
      </c>
    </row>
    <row r="92" spans="15:15" x14ac:dyDescent="0.3">
      <c r="O92">
        <v>815</v>
      </c>
    </row>
    <row r="93" spans="15:15" x14ac:dyDescent="0.3">
      <c r="O93">
        <v>0</v>
      </c>
    </row>
    <row r="94" spans="15:15" x14ac:dyDescent="0.3">
      <c r="O94">
        <v>0</v>
      </c>
    </row>
    <row r="95" spans="15:15" x14ac:dyDescent="0.3">
      <c r="O95">
        <v>0</v>
      </c>
    </row>
    <row r="96" spans="15:15" x14ac:dyDescent="0.3">
      <c r="O96">
        <v>731</v>
      </c>
    </row>
    <row r="97" spans="15:15" x14ac:dyDescent="0.3">
      <c r="O97">
        <v>0</v>
      </c>
    </row>
    <row r="98" spans="15:15" x14ac:dyDescent="0.3">
      <c r="O98">
        <v>0</v>
      </c>
    </row>
    <row r="99" spans="15:15" x14ac:dyDescent="0.3">
      <c r="O99">
        <v>0</v>
      </c>
    </row>
    <row r="100" spans="15:15" x14ac:dyDescent="0.3">
      <c r="O100">
        <v>863</v>
      </c>
    </row>
    <row r="101" spans="15:15" x14ac:dyDescent="0.3">
      <c r="O101">
        <v>1570</v>
      </c>
    </row>
    <row r="102" spans="15:15" x14ac:dyDescent="0.3">
      <c r="O102">
        <v>0</v>
      </c>
    </row>
    <row r="103" spans="15:15" x14ac:dyDescent="0.3">
      <c r="O103">
        <v>0</v>
      </c>
    </row>
    <row r="104" spans="15:15" x14ac:dyDescent="0.3">
      <c r="O104">
        <v>0</v>
      </c>
    </row>
    <row r="105" spans="15:15" x14ac:dyDescent="0.3">
      <c r="O105">
        <v>0</v>
      </c>
    </row>
    <row r="106" spans="15:15" x14ac:dyDescent="0.3">
      <c r="O106">
        <v>1353</v>
      </c>
    </row>
    <row r="107" spans="15:15" x14ac:dyDescent="0.3">
      <c r="O107">
        <v>1395</v>
      </c>
    </row>
    <row r="108" spans="15:15" x14ac:dyDescent="0.3">
      <c r="O108">
        <v>0</v>
      </c>
    </row>
    <row r="109" spans="15:15" x14ac:dyDescent="0.3">
      <c r="O109">
        <v>0</v>
      </c>
    </row>
    <row r="110" spans="15:15" x14ac:dyDescent="0.3">
      <c r="O110">
        <v>0</v>
      </c>
    </row>
    <row r="111" spans="15:15" x14ac:dyDescent="0.3">
      <c r="O111">
        <v>2282</v>
      </c>
    </row>
    <row r="112" spans="15:15" x14ac:dyDescent="0.3">
      <c r="O112">
        <v>1283</v>
      </c>
    </row>
    <row r="113" spans="15:15" x14ac:dyDescent="0.3">
      <c r="O113">
        <v>0</v>
      </c>
    </row>
    <row r="114" spans="15:15" x14ac:dyDescent="0.3">
      <c r="O114">
        <v>1541</v>
      </c>
    </row>
    <row r="115" spans="15:15" x14ac:dyDescent="0.3">
      <c r="O115">
        <v>0</v>
      </c>
    </row>
    <row r="116" spans="15:15" x14ac:dyDescent="0.3">
      <c r="O116">
        <v>0</v>
      </c>
    </row>
    <row r="117" spans="15:15" x14ac:dyDescent="0.3">
      <c r="O117">
        <v>620</v>
      </c>
    </row>
    <row r="118" spans="15:15" x14ac:dyDescent="0.3">
      <c r="O118">
        <v>458</v>
      </c>
    </row>
    <row r="119" spans="15:15" x14ac:dyDescent="0.3">
      <c r="O119">
        <v>0</v>
      </c>
    </row>
    <row r="120" spans="15:15" x14ac:dyDescent="0.3">
      <c r="O120">
        <v>569</v>
      </c>
    </row>
    <row r="121" spans="15:15" x14ac:dyDescent="0.3">
      <c r="O121">
        <v>0</v>
      </c>
    </row>
    <row r="122" spans="15:15" x14ac:dyDescent="0.3">
      <c r="O122">
        <v>878</v>
      </c>
    </row>
    <row r="123" spans="15:15" x14ac:dyDescent="0.3">
      <c r="O123">
        <v>620</v>
      </c>
    </row>
    <row r="124" spans="15:15" x14ac:dyDescent="0.3">
      <c r="O124">
        <v>0</v>
      </c>
    </row>
    <row r="125" spans="15:15" x14ac:dyDescent="0.3">
      <c r="O125">
        <v>0</v>
      </c>
    </row>
    <row r="126" spans="15:15" x14ac:dyDescent="0.3">
      <c r="O126">
        <v>0</v>
      </c>
    </row>
    <row r="127" spans="15:15" x14ac:dyDescent="0.3">
      <c r="O127">
        <v>831</v>
      </c>
    </row>
    <row r="128" spans="15:15" x14ac:dyDescent="0.3">
      <c r="O128">
        <v>868</v>
      </c>
    </row>
    <row r="129" spans="15:15" x14ac:dyDescent="0.3">
      <c r="O129">
        <v>0</v>
      </c>
    </row>
    <row r="130" spans="15:15" x14ac:dyDescent="0.3">
      <c r="O130">
        <v>4807</v>
      </c>
    </row>
    <row r="131" spans="15:15" x14ac:dyDescent="0.3">
      <c r="O131">
        <v>0</v>
      </c>
    </row>
    <row r="132" spans="15:15" x14ac:dyDescent="0.3">
      <c r="O132">
        <v>0</v>
      </c>
    </row>
    <row r="133" spans="15:15" x14ac:dyDescent="0.3">
      <c r="O133">
        <v>4329</v>
      </c>
    </row>
    <row r="134" spans="15:15" x14ac:dyDescent="0.3">
      <c r="O134">
        <v>0</v>
      </c>
    </row>
    <row r="135" spans="15:15" x14ac:dyDescent="0.3">
      <c r="O135">
        <v>2727</v>
      </c>
    </row>
    <row r="136" spans="15:15" x14ac:dyDescent="0.3">
      <c r="O136">
        <v>0</v>
      </c>
    </row>
    <row r="137" spans="15:15" x14ac:dyDescent="0.3">
      <c r="O137">
        <v>2806</v>
      </c>
    </row>
    <row r="138" spans="15:15" x14ac:dyDescent="0.3">
      <c r="O138">
        <v>0</v>
      </c>
    </row>
    <row r="139" spans="15:15" x14ac:dyDescent="0.3">
      <c r="O139">
        <v>2886</v>
      </c>
    </row>
    <row r="140" spans="15:15" x14ac:dyDescent="0.3">
      <c r="O140">
        <v>150</v>
      </c>
    </row>
    <row r="141" spans="15:15" x14ac:dyDescent="0.3">
      <c r="O141">
        <v>1436</v>
      </c>
    </row>
    <row r="142" spans="15:15" x14ac:dyDescent="0.3">
      <c r="O142">
        <v>1130</v>
      </c>
    </row>
    <row r="143" spans="15:15" x14ac:dyDescent="0.3">
      <c r="O143">
        <v>0</v>
      </c>
    </row>
  </sheetData>
  <mergeCells count="5">
    <mergeCell ref="A1:K1"/>
    <mergeCell ref="A7:A8"/>
    <mergeCell ref="B7:B8"/>
    <mergeCell ref="K7:K8"/>
    <mergeCell ref="A76:B76"/>
  </mergeCells>
  <pageMargins left="0.7" right="0.7" top="0.75" bottom="0.75" header="0.51180555555555496" footer="0.51180555555555496"/>
  <pageSetup paperSize="0" scale="0" firstPageNumber="0" orientation="portrait" usePrinterDefaults="0" horizontalDpi="0" verticalDpi="0" copies="0"/>
  <headerFooter>
    <oddFooter>&amp;C_x000D_&amp;1#&amp;"Calibri"&amp;8&amp;K000000 Public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RowHeight="14.4" x14ac:dyDescent="0.3"/>
  <sheetData/>
  <pageMargins left="0.7" right="0.7" top="0.75" bottom="0.75" header="0.51180555555555496" footer="0.51180555555555496"/>
  <pageSetup paperSize="0" scale="0" firstPageNumber="0" orientation="portrait" usePrinterDefaults="0" horizontalDpi="0" verticalDpi="0" copies="0"/>
  <headerFooter>
    <oddFooter>&amp;C_x000D_&amp;1#&amp;"Calibri"&amp;8&amp;K000000 Public</oddFooter>
  </headerFooter>
</worksheet>
</file>

<file path=docMetadata/LabelInfo.xml><?xml version="1.0" encoding="utf-8"?>
<clbl:labelList xmlns:clbl="http://schemas.microsoft.com/office/2020/mipLabelMetadata">
  <clbl:label id="{7bce0314-66d2-465d-a4b8-04cf0abcda4d}" enabled="1" method="Privileged" siteId="{8b86a65e-3c3a-4406-8ac3-19a6b5cc52bc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Kharisma Pratama</dc:creator>
  <cp:lastModifiedBy>Aurino, Fendy</cp:lastModifiedBy>
  <cp:revision>6</cp:revision>
  <dcterms:created xsi:type="dcterms:W3CDTF">2015-07-09T05:02:40Z</dcterms:created>
  <dcterms:modified xsi:type="dcterms:W3CDTF">2026-01-05T01:18:24Z</dcterms:modified>
  <dc:language>id-ID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