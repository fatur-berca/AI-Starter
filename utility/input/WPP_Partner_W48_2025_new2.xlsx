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unningProject\replenishment data seeding\"/>
    </mc:Choice>
  </mc:AlternateContent>
  <xr:revisionPtr revIDLastSave="0" documentId="13_ncr:1_{1CD973C6-0496-4BF0-BD68-BF61513F24C7}" xr6:coauthVersionLast="47" xr6:coauthVersionMax="47" xr10:uidLastSave="{00000000-0000-0000-0000-000000000000}"/>
  <bookViews>
    <workbookView xWindow="1335" yWindow="6090" windowWidth="21600" windowHeight="12645" activeTab="1" xr2:uid="{00000000-000D-0000-FFFF-FFFF00000000}"/>
  </bookViews>
  <sheets>
    <sheet name="GR (for admin only)" sheetId="1" r:id="rId1"/>
    <sheet name="KPS #48" sheetId="2" r:id="rId2"/>
    <sheet name="PL Reader" sheetId="3" r:id="rId3"/>
    <sheet name="Brand List" sheetId="4" r:id="rId4"/>
    <sheet name="Allocated" sheetId="5" r:id="rId5"/>
    <sheet name="Mapping" sheetId="6" state="hidden" r:id="rId6"/>
    <sheet name="Schedule" sheetId="7" state="hidden" r:id="rId7"/>
    <sheet name="Allocation Template" sheetId="8" r:id="rId8"/>
    <sheet name="SLT12" sheetId="9" r:id="rId9"/>
    <sheet name="SLT16" sheetId="10" r:id="rId10"/>
    <sheet name="SLT20" sheetId="11" r:id="rId11"/>
  </sheets>
  <externalReferences>
    <externalReference r:id="rId12"/>
  </externalReferences>
  <definedNames>
    <definedName name="___SE2" localSheetId="7">#REF!</definedName>
    <definedName name="___SE2" localSheetId="2">#REF!</definedName>
    <definedName name="___SE2" localSheetId="8">#REF!</definedName>
    <definedName name="___SE2" localSheetId="9">#REF!</definedName>
    <definedName name="___SE2" localSheetId="10">#REF!</definedName>
    <definedName name="___SE2">#REF!</definedName>
    <definedName name="___xlc_DefaultDisplayOption___">"caption"</definedName>
    <definedName name="___xlc_DisplayNullValues___">TRUE</definedName>
    <definedName name="___xlc_DisplayNullValuesAs___">0</definedName>
    <definedName name="___xlc_PromptForInsertOnDrill___">FALSE</definedName>
    <definedName name="___xlc_SuppressNULLSOnDrill___">FALSE</definedName>
    <definedName name="___xlc_SuppressZerosOnDrill___">FALSE</definedName>
    <definedName name="__123Graph_A" localSheetId="7">#REF!</definedName>
    <definedName name="__123Graph_A" localSheetId="8">#REF!</definedName>
    <definedName name="__123Graph_A" localSheetId="9">#REF!</definedName>
    <definedName name="__123Graph_A" localSheetId="10">#REF!</definedName>
    <definedName name="__123Graph_A">#REF!</definedName>
    <definedName name="__123Graph_ALK" localSheetId="7">#REF!</definedName>
    <definedName name="__123Graph_ALK" localSheetId="8">#REF!</definedName>
    <definedName name="__123Graph_ALK" localSheetId="9">#REF!</definedName>
    <definedName name="__123Graph_ALK" localSheetId="10">#REF!</definedName>
    <definedName name="__123Graph_ALK">#REF!</definedName>
    <definedName name="__123Graph_AMALB">#REF!</definedName>
    <definedName name="__123Graph_AOTH">#REF!</definedName>
    <definedName name="__123Graph_ATOTAL">#REF!</definedName>
    <definedName name="__123Graph_B" localSheetId="7">#REF!</definedName>
    <definedName name="__123Graph_B" localSheetId="8">#REF!</definedName>
    <definedName name="__123Graph_B" localSheetId="9">#REF!</definedName>
    <definedName name="__123Graph_B" localSheetId="10">#REF!</definedName>
    <definedName name="__123Graph_B">#REF!</definedName>
    <definedName name="__123Graph_BLK" localSheetId="7">#REF!</definedName>
    <definedName name="__123Graph_BLK" localSheetId="8">#REF!</definedName>
    <definedName name="__123Graph_BLK" localSheetId="9">#REF!</definedName>
    <definedName name="__123Graph_BLK" localSheetId="10">#REF!</definedName>
    <definedName name="__123Graph_BLK">#REF!</definedName>
    <definedName name="__123Graph_BMALB">#REF!</definedName>
    <definedName name="__123Graph_BOTH">#REF!</definedName>
    <definedName name="__123Graph_C" localSheetId="7">#REF!</definedName>
    <definedName name="__123Graph_C" localSheetId="8">#REF!</definedName>
    <definedName name="__123Graph_C" localSheetId="9">#REF!</definedName>
    <definedName name="__123Graph_C" localSheetId="10">#REF!</definedName>
    <definedName name="__123Graph_C">#REF!</definedName>
    <definedName name="__123Graph_CLK" localSheetId="7">#REF!</definedName>
    <definedName name="__123Graph_CLK" localSheetId="8">#REF!</definedName>
    <definedName name="__123Graph_CLK" localSheetId="9">#REF!</definedName>
    <definedName name="__123Graph_CLK" localSheetId="10">#REF!</definedName>
    <definedName name="__123Graph_CLK">#REF!</definedName>
    <definedName name="__123Graph_CMALB">#REF!</definedName>
    <definedName name="__123Graph_COTH">#REF!</definedName>
    <definedName name="__123Graph_D" localSheetId="7">#REF!</definedName>
    <definedName name="__123Graph_D" localSheetId="8">#REF!</definedName>
    <definedName name="__123Graph_D" localSheetId="9">#REF!</definedName>
    <definedName name="__123Graph_D" localSheetId="10">#REF!</definedName>
    <definedName name="__123Graph_D">#REF!</definedName>
    <definedName name="__123Graph_DLK" localSheetId="7">#REF!</definedName>
    <definedName name="__123Graph_DLK" localSheetId="8">#REF!</definedName>
    <definedName name="__123Graph_DLK" localSheetId="9">#REF!</definedName>
    <definedName name="__123Graph_DLK" localSheetId="10">#REF!</definedName>
    <definedName name="__123Graph_DLK">#REF!</definedName>
    <definedName name="__123Graph_DMALB">#REF!</definedName>
    <definedName name="__123Graph_DOTH">#REF!</definedName>
    <definedName name="__123Graph_E" localSheetId="7">#REF!</definedName>
    <definedName name="__123Graph_E" localSheetId="8">#REF!</definedName>
    <definedName name="__123Graph_E" localSheetId="9">#REF!</definedName>
    <definedName name="__123Graph_E" localSheetId="10">#REF!</definedName>
    <definedName name="__123Graph_E">#REF!</definedName>
    <definedName name="__123Graph_ELK" localSheetId="7">#REF!</definedName>
    <definedName name="__123Graph_ELK" localSheetId="8">#REF!</definedName>
    <definedName name="__123Graph_ELK" localSheetId="9">#REF!</definedName>
    <definedName name="__123Graph_ELK" localSheetId="10">#REF!</definedName>
    <definedName name="__123Graph_ELK">#REF!</definedName>
    <definedName name="__123Graph_EMALB">#REF!</definedName>
    <definedName name="__123Graph_EOTH">#REF!</definedName>
    <definedName name="__123Graph_F" localSheetId="7">#REF!</definedName>
    <definedName name="__123Graph_F" localSheetId="8">#REF!</definedName>
    <definedName name="__123Graph_F" localSheetId="9">#REF!</definedName>
    <definedName name="__123Graph_F" localSheetId="10">#REF!</definedName>
    <definedName name="__123Graph_F">#REF!</definedName>
    <definedName name="__123Graph_FMALB" localSheetId="7">#REF!</definedName>
    <definedName name="__123Graph_FMALB" localSheetId="8">#REF!</definedName>
    <definedName name="__123Graph_FMALB" localSheetId="9">#REF!</definedName>
    <definedName name="__123Graph_FMALB" localSheetId="10">#REF!</definedName>
    <definedName name="__123Graph_FMALB">#REF!</definedName>
    <definedName name="__123Graph_FOTH">#REF!</definedName>
    <definedName name="__123Graph_X" localSheetId="7">#REF!</definedName>
    <definedName name="__123Graph_X" localSheetId="8">#REF!</definedName>
    <definedName name="__123Graph_X" localSheetId="9">#REF!</definedName>
    <definedName name="__123Graph_X" localSheetId="10">#REF!</definedName>
    <definedName name="__123Graph_X">#REF!</definedName>
    <definedName name="__123Graph_XLK" localSheetId="7">#REF!</definedName>
    <definedName name="__123Graph_XLK" localSheetId="8">#REF!</definedName>
    <definedName name="__123Graph_XLK" localSheetId="9">#REF!</definedName>
    <definedName name="__123Graph_XLK" localSheetId="10">#REF!</definedName>
    <definedName name="__123Graph_XLK">#REF!</definedName>
    <definedName name="__123Graph_XMALB">#REF!</definedName>
    <definedName name="__123Graph_XOTH">#REF!</definedName>
    <definedName name="__123Graph_XTOTAL">#REF!</definedName>
    <definedName name="__FDS_HYPERLINK_TOGGLE_STATE__">"ON"</definedName>
    <definedName name="__FDS_UNIQUE_RANGE_ID_GENERATOR_COUNTER">29</definedName>
    <definedName name="__Ht_Area_Spc_1">"2_Hyp_Area:"</definedName>
    <definedName name="__Ht_Data_Spc_Version_Spc_10">"05._Spc_New_Spc_OB_Spc_Data_Spc_version_Spc_for_Spc_QTG_Spc__Hyp__Spc_YTG"</definedName>
    <definedName name="__Ht_Data_Spc_Version_Spc_3">"3._Spc_Current_Spc_DV_Spc_recalculated_Spc_@_Spc_PY_Spc_Rates"</definedName>
    <definedName name="__Ht_Data_Spc_Version_Spc_4">"4._Spc_Budget_Spc_Data_Spc_Version"</definedName>
    <definedName name="__Ht_Data_Spc_Version_Spc_5">"5._Spc_Current_Spc_DV_Spc_recalculated_Spc_@_Spc_Budget_Spc_Rates"</definedName>
    <definedName name="__Ht_Data_Spc_Version_Spc_6">"03b._Spc_Vs._Spc_Current_Spc_volume_Spc_version"</definedName>
    <definedName name="__Ht_Data_Spc_Version_Spc_7">"01b._Spc_Next_Spc_OB_Spc_volume_Spc_Data_Spc_Version"</definedName>
    <definedName name="__Ht_Data_Spc_Version_Spc_8">"04b._Spc_Target_Spc_Volume_Spc_version_Spc_for_Spc_QTG_Spc__Hyp__Spc_YTG"</definedName>
    <definedName name="__Ht_Data_Spc_Version_Spc_9">"05b._Spc_New_Spc_OB_Spc_version_Spc_for_Spc_QTG_Spc__Hyp__Spc_YTG"</definedName>
    <definedName name="__Ht_Functional_Spc_YTD_Spc_1?">"Functional_Spc_YTD_Spc_(select_Spc_same_Spc_period_Spc_as_Spc_above)"</definedName>
    <definedName name="__Ht_GMRB_Spc_Affiliate_Spc_1">"1._Spc_GMRB_Spc_Affiliate_LRB_s_RRB_"</definedName>
    <definedName name="__Ht_GMRB_Spc_Affiliate_Spc_Territory_Spc_1">"1._Spc_GMRB_Spc_Affiliate_Spc_Territory_Spc__LRB_used_Spc_in_Spc_NWC_Spc_only_RRB_"</definedName>
    <definedName name="__Ht_GMRB_Spc_Data_Spc_Version_Spc_1">"4._Spc_GMRB_Spc_LE"</definedName>
    <definedName name="__Ht_GMRB_Spc_Data_Spc_Version_Spc_2">"5._Spc_GMRB_Spc_OB"</definedName>
    <definedName name="__Ht_GMRB_Spc_Data_Spc_Version_Spc_3">"2._Spc_GMRB_Spc_AC_Hyp_1"</definedName>
    <definedName name="__Ht_GMRB_Spc_Data_Spc_Version_Spc_4">"3._Spc_GMRB_Spc_AC_Spc__LRB_2016_RRB_"</definedName>
    <definedName name="__Ht_GMRB_Spc_Market_Spc_1">"1._Spc_GMRB_Spc_Market_LRB_s_RRB_"</definedName>
    <definedName name="__Ht_GMRB_Spc_Market_Spc_Group_Spc_1">"1._Spc_GMRB_Spc_Market_Spc_Group_Spc__LRB_used_Spc_in_Spc_Price_Spc_split_Spc_only_RRB_"</definedName>
    <definedName name="__Ht_GMRB_Spc_Variance_Spc_Description_Spc_1">"3._Spc_GMRB_Spc_Mgmt_Spc_VA_Spc_AC_Spc_vs_Spc_AC_Hyp_1"</definedName>
    <definedName name="__Ht_GMRB_Spc_Variance_Spc_Description_Spc_2">"4._Spc_GMRB_Spc_Mgmt_Spc_VA_Spc_LE_Spc_vs_Spc_AC"</definedName>
    <definedName name="__Ht_GMRB_Spc_Variance_Spc_Description_Spc_3">"5._Spc_GMRB_Spc_Mgmt_Spc_VA_Spc_OB_Spc_vs_Spc_LE"</definedName>
    <definedName name="__Ht_GMRB_Spc_Variance_Spc_Description_Spc_4">"5._Spc_GMRB_Spc_Legal_Spc_Entity_Spc_VA_Spc_OB_Spc_vs_Spc_LE"</definedName>
    <definedName name="__Ht_GMRB_Spc_Variance_Spc_Description_Spc_5">"5._Spc_GMRB_Spc_Balance_Spc_Sheet_Spc_VA_Spc_OB_Spc_vs_Spc_LE"</definedName>
    <definedName name="__Ht_GSPR_Spc_Consolidated_Spc_Data_Spc_Version_Spc_1">"4._Spc_GSPR_Spc_IMS_Spc_LE_OB"</definedName>
    <definedName name="__Ht_GSPR_Spc_Consolidated_Spc_Data_Spc_Version_Spc_2">"3._Spc_GSPR_Spc_IMS_Spc_AC"</definedName>
    <definedName name="__Ht_GSPR_Spc_Consolidated_Spc_Data_Spc_Version_Spc_3">"6._Spc_GSPR_Spc_IMS_Spc__LRB_Please_Spc_select_Spc_""All""_RRB_"</definedName>
    <definedName name="__Ht_GSPR_Spc_Consolidated_Spc_Data_Spc_Version_Spc_4">"2._Spc_GSPR_Spc_IMS_Spc_AC_Hyp_1"</definedName>
    <definedName name="__Ht_GSPR_Spc_Market_Spc_1">"1._Spc_GSPR_Spc_Market_LRB_s_RRB_"</definedName>
    <definedName name="__Ht_GSPR_Spc_RRP_Spc_KPI_Spc_Version_Spc_1">"4._Spc_GSPR_Spc_RRP_Spc_KPI_Spc_LE_OB"</definedName>
    <definedName name="__Ht_Market_Spc_1">"01._Spc_Market(s)"</definedName>
    <definedName name="__Ht_Period_Spc_1">"02._Spc_Month(s)_Spc_included_Spc_in_Spc_covered_Spc_Period"</definedName>
    <definedName name="__Ht_Period_Spc_2">"All_Spc_months_Spc_in_Spc_YTD"</definedName>
    <definedName name="__Ht_Region_Spc_1">"1_Hyp_Region:"</definedName>
    <definedName name="__Ht_USD_Spc_YTD_Spc_1?">"15._Spc_Financials_Spc_YTD"</definedName>
    <definedName name="__Ht_Variance_Spc_Description_Spc_1">"Var._Spc_Desc._Spc_for_Spc_Current_Spc_DV_Spc_vs._Spc_Reference_Spc_DV"</definedName>
    <definedName name="__Ht_Variance_Spc_Description_Spc_4">"12._Spc_OCI_Spc_tracking_Spc_Variance_Spc_Description_Spc_2"</definedName>
    <definedName name="__Ht_Volume_Spc_YTD_Spc_1?">"18._Spc_Volume_Spc_YTD"</definedName>
    <definedName name="__ID33303" localSheetId="7">{"labour",#N/A,FALSE,"PRODHEAD"}</definedName>
    <definedName name="__ID33303" localSheetId="0">{"labour",#N/A,FALSE,"PRODHEAD"}</definedName>
    <definedName name="__ID33303" localSheetId="2">{"labour",#N/A,FALSE,"PRODHEAD"}</definedName>
    <definedName name="__ID33303" localSheetId="8">{"labour",#N/A,FALSE,"PRODHEAD"}</definedName>
    <definedName name="__ID33303" localSheetId="9">{"labour",#N/A,FALSE,"PRODHEAD"}</definedName>
    <definedName name="__ID33303" localSheetId="10">{"labour",#N/A,FALSE,"PRODHEAD"}</definedName>
    <definedName name="__ID33303">{"labour",#N/A,FALSE,"PRODHEAD"}</definedName>
    <definedName name="__ID33304" localSheetId="7">{"US DOLLARS",#N/A,FALSE,"FMEOB96"}</definedName>
    <definedName name="__ID33304" localSheetId="0">{"US DOLLARS",#N/A,FALSE,"FMEOB96"}</definedName>
    <definedName name="__ID33304" localSheetId="2">{"US DOLLARS",#N/A,FALSE,"FMEOB96"}</definedName>
    <definedName name="__ID33304" localSheetId="8">{"US DOLLARS",#N/A,FALSE,"FMEOB96"}</definedName>
    <definedName name="__ID33304" localSheetId="9">{"US DOLLARS",#N/A,FALSE,"FMEOB96"}</definedName>
    <definedName name="__ID33304" localSheetId="10">{"US DOLLARS",#N/A,FALSE,"FMEOB96"}</definedName>
    <definedName name="__ID33304">{"US DOLLARS",#N/A,FALSE,"FMEOB96"}</definedName>
    <definedName name="__SE2" localSheetId="7">#REF!</definedName>
    <definedName name="__SE2" localSheetId="2">#REF!</definedName>
    <definedName name="__SE2" localSheetId="8">#REF!</definedName>
    <definedName name="__SE2" localSheetId="9">#REF!</definedName>
    <definedName name="__SE2" localSheetId="10">#REF!</definedName>
    <definedName name="__SE2">#REF!</definedName>
    <definedName name="__ws2" localSheetId="7">#REF!</definedName>
    <definedName name="__ws2" localSheetId="2">#REF!</definedName>
    <definedName name="__ws2" localSheetId="8">#REF!</definedName>
    <definedName name="__ws2" localSheetId="9">#REF!</definedName>
    <definedName name="__ws2" localSheetId="10">#REF!</definedName>
    <definedName name="__ws2">#REF!</definedName>
    <definedName name="__xlfn.BAHTTEXT">#NAME?</definedName>
    <definedName name="_1__FDSAUDITLINK__" localSheetId="7">{"fdsup://IBCentral/FAT Viewer?action=UPDATE&amp;creator=factset&amp;DOC_NAME=fat:reuters_annual_source_window.fat&amp;display_string=Audit&amp;DYN_ARGS=TRUE&amp;VAR:ID1=95082P10&amp;VAR:RCODE=DST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__FDSAUDITLINK__" localSheetId="0">{"fdsup://IBCentral/FAT Viewer?action=UPDATE&amp;creator=factset&amp;DOC_NAME=fat:reuters_annual_source_window.fat&amp;display_string=Audit&amp;DYN_ARGS=TRUE&amp;VAR:ID1=95082P10&amp;VAR:RCODE=DST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__FDSAUDITLINK__" localSheetId="2">{"fdsup://IBCentral/FAT Viewer?action=UPDATE&amp;creator=factset&amp;DOC_NAME=fat:reuters_annual_source_window.fat&amp;display_string=Audit&amp;DYN_ARGS=TRUE&amp;VAR:ID1=95082P10&amp;VAR:RCODE=DST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__FDSAUDITLINK__" localSheetId="8">{"fdsup://IBCentral/FAT Viewer?action=UPDATE&amp;creator=factset&amp;DOC_NAME=fat:reuters_annual_source_window.fat&amp;display_string=Audit&amp;DYN_ARGS=TRUE&amp;VAR:ID1=95082P10&amp;VAR:RCODE=DST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__FDSAUDITLINK__" localSheetId="9">{"fdsup://IBCentral/FAT Viewer?action=UPDATE&amp;creator=factset&amp;DOC_NAME=fat:reuters_annual_source_window.fat&amp;display_string=Audit&amp;DYN_ARGS=TRUE&amp;VAR:ID1=95082P10&amp;VAR:RCODE=DST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__FDSAUDITLINK__" localSheetId="10">{"fdsup://IBCentral/FAT Viewer?action=UPDATE&amp;creator=factset&amp;DOC_NAME=fat:reuters_annual_source_window.fat&amp;display_string=Audit&amp;DYN_ARGS=TRUE&amp;VAR:ID1=95082P10&amp;VAR:RCODE=DST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__FDSAUDITLINK__">{"fdsup://IBCentral/FAT Viewer?action=UPDATE&amp;creator=factset&amp;DOC_NAME=fat:reuters_annual_source_window.fat&amp;display_string=Audit&amp;DYN_ARGS=TRUE&amp;VAR:ID1=95082P10&amp;VAR:RCODE=DSTT&amp;VAR:SDATE=20071299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__FDSAUDITLINK__" localSheetId="7">{"fdsup://IBCentral/FAT Viewer?action=UPDATE&amp;creator=factset&amp;DOC_NAME=fat:reuters_annual_source_window.fat&amp;display_string=Audit&amp;DYN_ARGS=TRUE&amp;VAR:ID1=482167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10__FDSAUDITLINK__" localSheetId="0">{"fdsup://IBCentral/FAT Viewer?action=UPDATE&amp;creator=factset&amp;DOC_NAME=fat:reuters_annual_source_window.fat&amp;display_string=Audit&amp;DYN_ARGS=TRUE&amp;VAR:ID1=482167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10__FDSAUDITLINK__" localSheetId="2">{"fdsup://IBCentral/FAT Viewer?action=UPDATE&amp;creator=factset&amp;DOC_NAME=fat:reuters_annual_source_window.fat&amp;display_string=Audit&amp;DYN_ARGS=TRUE&amp;VAR:ID1=482167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10__FDSAUDITLINK__" localSheetId="8">{"fdsup://IBCentral/FAT Viewer?action=UPDATE&amp;creator=factset&amp;DOC_NAME=fat:reuters_annual_source_window.fat&amp;display_string=Audit&amp;DYN_ARGS=TRUE&amp;VAR:ID1=482167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10__FDSAUDITLINK__" localSheetId="9">{"fdsup://IBCentral/FAT Viewer?action=UPDATE&amp;creator=factset&amp;DOC_NAME=fat:reuters_annual_source_window.fat&amp;display_string=Audit&amp;DYN_ARGS=TRUE&amp;VAR:ID1=482167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10__FDSAUDITLINK__" localSheetId="10">{"fdsup://IBCentral/FAT Viewer?action=UPDATE&amp;creator=factset&amp;DOC_NAME=fat:reuters_annual_source_window.fat&amp;display_string=Audit&amp;DYN_ARGS=TRUE&amp;VAR:ID1=482167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10__FDSAUDITLINK__">{"fdsup://IBCentral/FAT Viewer?action=UPDATE&amp;creator=factset&amp;DOC_NAME=fat:reuters_annual_source_window.fat&amp;display_string=Audit&amp;DYN_ARGS=TRUE&amp;VAR:ID1=482167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11__FDSAUDITLINK__" localSheetId="7">{"fdsup://IBCentral/FAT Viewer?action=UPDATE&amp;creator=factset&amp;DOC_NAME=fat:reuters_annual_source_window.fat&amp;display_string=Audit&amp;DYN_ARGS=TRUE&amp;VAR:ID1=03529010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1__FDSAUDITLINK__" localSheetId="0">{"fdsup://IBCentral/FAT Viewer?action=UPDATE&amp;creator=factset&amp;DOC_NAME=fat:reuters_annual_source_window.fat&amp;display_string=Audit&amp;DYN_ARGS=TRUE&amp;VAR:ID1=03529010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1__FDSAUDITLINK__" localSheetId="2">{"fdsup://IBCentral/FAT Viewer?action=UPDATE&amp;creator=factset&amp;DOC_NAME=fat:reuters_annual_source_window.fat&amp;display_string=Audit&amp;DYN_ARGS=TRUE&amp;VAR:ID1=03529010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1__FDSAUDITLINK__" localSheetId="8">{"fdsup://IBCentral/FAT Viewer?action=UPDATE&amp;creator=factset&amp;DOC_NAME=fat:reuters_annual_source_window.fat&amp;display_string=Audit&amp;DYN_ARGS=TRUE&amp;VAR:ID1=03529010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1__FDSAUDITLINK__" localSheetId="9">{"fdsup://IBCentral/FAT Viewer?action=UPDATE&amp;creator=factset&amp;DOC_NAME=fat:reuters_annual_source_window.fat&amp;display_string=Audit&amp;DYN_ARGS=TRUE&amp;VAR:ID1=03529010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1__FDSAUDITLINK__" localSheetId="10">{"fdsup://IBCentral/FAT Viewer?action=UPDATE&amp;creator=factset&amp;DOC_NAME=fat:reuters_annual_source_window.fat&amp;display_string=Audit&amp;DYN_ARGS=TRUE&amp;VAR:ID1=03529010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1__FDSAUDITLINK__">{"fdsup://IBCentral/FAT Viewer?action=UPDATE&amp;creator=factset&amp;DOC_NAME=fat:reuters_annual_source_window.fat&amp;display_string=Audit&amp;DYN_ARGS=TRUE&amp;VAR:ID1=03529010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12__FDSAUDITLINK__" localSheetId="7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FDSAUDITLINK__" localSheetId="0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FDSAUDITLINK__" localSheetId="2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FDSAUDITLINK__" localSheetId="8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FDSAUDITLINK__" localSheetId="9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FDSAUDITLINK__" localSheetId="10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2__FDSAUDITLINK__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234">#REF!</definedName>
    <definedName name="_124gra" localSheetId="7">#REF!</definedName>
    <definedName name="_124gra" localSheetId="8">#REF!</definedName>
    <definedName name="_124gra" localSheetId="9">#REF!</definedName>
    <definedName name="_124gra" localSheetId="10">#REF!</definedName>
    <definedName name="_124gra">#REF!</definedName>
    <definedName name="_13__FDSAUDITLINK__" localSheetId="7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3__FDSAUDITLINK__" localSheetId="0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3__FDSAUDITLINK__" localSheetId="2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3__FDSAUDITLINK__" localSheetId="8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3__FDSAUDITLINK__" localSheetId="9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3__FDSAUDITLINK__" localSheetId="10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3__FDSAUDITLINK__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14__FDSAUDITLINK__" localSheetId="7">{"fdsup://IBCentral/FAT Viewer?action=UPDATE&amp;creator=factset&amp;DOC_NAME=fat:reuters_annual_source_window.fat&amp;display_string=Audit&amp;DYN_ARGS=TRUE&amp;VAR:ID1=B1VP0K&amp;VAR:RCODE=LTTD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 localSheetId="0">{"fdsup://IBCentral/FAT Viewer?action=UPDATE&amp;creator=factset&amp;DOC_NAME=fat:reuters_annual_source_window.fat&amp;display_string=Audit&amp;DYN_ARGS=TRUE&amp;VAR:ID1=B1VP0K&amp;VAR:RCODE=LTTD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 localSheetId="2">{"fdsup://IBCentral/FAT Viewer?action=UPDATE&amp;creator=factset&amp;DOC_NAME=fat:reuters_annual_source_window.fat&amp;display_string=Audit&amp;DYN_ARGS=TRUE&amp;VAR:ID1=B1VP0K&amp;VAR:RCODE=LTTD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 localSheetId="8">{"fdsup://IBCentral/FAT Viewer?action=UPDATE&amp;creator=factset&amp;DOC_NAME=fat:reuters_annual_source_window.fat&amp;display_string=Audit&amp;DYN_ARGS=TRUE&amp;VAR:ID1=B1VP0K&amp;VAR:RCODE=LTTD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 localSheetId="9">{"fdsup://IBCentral/FAT Viewer?action=UPDATE&amp;creator=factset&amp;DOC_NAME=fat:reuters_annual_source_window.fat&amp;display_string=Audit&amp;DYN_ARGS=TRUE&amp;VAR:ID1=B1VP0K&amp;VAR:RCODE=LTTD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 localSheetId="10">{"fdsup://IBCentral/FAT Viewer?action=UPDATE&amp;creator=factset&amp;DOC_NAME=fat:reuters_annual_source_window.fat&amp;display_string=Audit&amp;DYN_ARGS=TRUE&amp;VAR:ID1=B1VP0K&amp;VAR:RCODE=LTTD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>{"fdsup://IBCentral/FAT Viewer?action=UPDATE&amp;creator=factset&amp;DOC_NAME=fat:reuters_annual_source_window.fat&amp;display_string=Audit&amp;DYN_ARGS=TRUE&amp;VAR:ID1=B1VP0K&amp;VAR:RCODE=LTTD&amp;VAR:SDATE=20071299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5__FDSAUDITLINK__" localSheetId="7">{"fdsup://IBCentral/FAT Viewer?action=UPDATE&amp;creator=factset&amp;DOC_NAME=fat:reuters_annual_source_window.fat&amp;display_string=Audit&amp;DYN_ARGS=TRUE&amp;VAR:ID1=B0744B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5__FDSAUDITLINK__" localSheetId="0">{"fdsup://IBCentral/FAT Viewer?action=UPDATE&amp;creator=factset&amp;DOC_NAME=fat:reuters_annual_source_window.fat&amp;display_string=Audit&amp;DYN_ARGS=TRUE&amp;VAR:ID1=B0744B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5__FDSAUDITLINK__" localSheetId="2">{"fdsup://IBCentral/FAT Viewer?action=UPDATE&amp;creator=factset&amp;DOC_NAME=fat:reuters_annual_source_window.fat&amp;display_string=Audit&amp;DYN_ARGS=TRUE&amp;VAR:ID1=B0744B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5__FDSAUDITLINK__" localSheetId="8">{"fdsup://IBCentral/FAT Viewer?action=UPDATE&amp;creator=factset&amp;DOC_NAME=fat:reuters_annual_source_window.fat&amp;display_string=Audit&amp;DYN_ARGS=TRUE&amp;VAR:ID1=B0744B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5__FDSAUDITLINK__" localSheetId="9">{"fdsup://IBCentral/FAT Viewer?action=UPDATE&amp;creator=factset&amp;DOC_NAME=fat:reuters_annual_source_window.fat&amp;display_string=Audit&amp;DYN_ARGS=TRUE&amp;VAR:ID1=B0744B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5__FDSAUDITLINK__" localSheetId="10">{"fdsup://IBCentral/FAT Viewer?action=UPDATE&amp;creator=factset&amp;DOC_NAME=fat:reuters_annual_source_window.fat&amp;display_string=Audit&amp;DYN_ARGS=TRUE&amp;VAR:ID1=B0744B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5__FDSAUDITLINK__">{"fdsup://IBCentral/FAT Viewer?action=UPDATE&amp;creator=factset&amp;DOC_NAME=fat:reuters_annual_source_window.fat&amp;display_string=Audit&amp;DYN_ARGS=TRUE&amp;VAR:ID1=B0744B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__FDSAUDITLINK__" localSheetId="7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__FDSAUDITLINK__" localSheetId="0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__FDSAUDITLINK__" localSheetId="2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__FDSAUDITLINK__" localSheetId="8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__FDSAUDITLINK__" localSheetId="9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__FDSAUDITLINK__" localSheetId="10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6__FDSAUDITLINK__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_17__FDSAUDITLINK__" localSheetId="7">{"fdsup://IBCentral/FAT Viewer?action=UPDATE&amp;creator=factset&amp;DOC_NAME=fat:reuters_annual_source_window.fat&amp;display_string=Audit&amp;DYN_ARGS=TRUE&amp;VAR:ID1=38480210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__FDSAUDITLINK__" localSheetId="0">{"fdsup://IBCentral/FAT Viewer?action=UPDATE&amp;creator=factset&amp;DOC_NAME=fat:reuters_annual_source_window.fat&amp;display_string=Audit&amp;DYN_ARGS=TRUE&amp;VAR:ID1=38480210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__FDSAUDITLINK__" localSheetId="2">{"fdsup://IBCentral/FAT Viewer?action=UPDATE&amp;creator=factset&amp;DOC_NAME=fat:reuters_annual_source_window.fat&amp;display_string=Audit&amp;DYN_ARGS=TRUE&amp;VAR:ID1=38480210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__FDSAUDITLINK__" localSheetId="8">{"fdsup://IBCentral/FAT Viewer?action=UPDATE&amp;creator=factset&amp;DOC_NAME=fat:reuters_annual_source_window.fat&amp;display_string=Audit&amp;DYN_ARGS=TRUE&amp;VAR:ID1=38480210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__FDSAUDITLINK__" localSheetId="9">{"fdsup://IBCentral/FAT Viewer?action=UPDATE&amp;creator=factset&amp;DOC_NAME=fat:reuters_annual_source_window.fat&amp;display_string=Audit&amp;DYN_ARGS=TRUE&amp;VAR:ID1=38480210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__FDSAUDITLINK__" localSheetId="10">{"fdsup://IBCentral/FAT Viewer?action=UPDATE&amp;creator=factset&amp;DOC_NAME=fat:reuters_annual_source_window.fat&amp;display_string=Audit&amp;DYN_ARGS=TRUE&amp;VAR:ID1=38480210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7__FDSAUDITLINK__">{"fdsup://IBCentral/FAT Viewer?action=UPDATE&amp;creator=factset&amp;DOC_NAME=fat:reuters_annual_source_window.fat&amp;display_string=Audit&amp;DYN_ARGS=TRUE&amp;VAR:ID1=38480210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 localSheetId="7">{"fdsup://IBCentral/FAT Viewer?action=UPDATE&amp;creator=factset&amp;DOC_NAME=fat:reuters_annual_source_window.fat&amp;display_string=Audit&amp;DYN_ARGS=TRUE&amp;VAR:ID1=95082P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 localSheetId="0">{"fdsup://IBCentral/FAT Viewer?action=UPDATE&amp;creator=factset&amp;DOC_NAME=fat:reuters_annual_source_window.fat&amp;display_string=Audit&amp;DYN_ARGS=TRUE&amp;VAR:ID1=95082P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 localSheetId="2">{"fdsup://IBCentral/FAT Viewer?action=UPDATE&amp;creator=factset&amp;DOC_NAME=fat:reuters_annual_source_window.fat&amp;display_string=Audit&amp;DYN_ARGS=TRUE&amp;VAR:ID1=95082P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 localSheetId="8">{"fdsup://IBCentral/FAT Viewer?action=UPDATE&amp;creator=factset&amp;DOC_NAME=fat:reuters_annual_source_window.fat&amp;display_string=Audit&amp;DYN_ARGS=TRUE&amp;VAR:ID1=95082P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 localSheetId="9">{"fdsup://IBCentral/FAT Viewer?action=UPDATE&amp;creator=factset&amp;DOC_NAME=fat:reuters_annual_source_window.fat&amp;display_string=Audit&amp;DYN_ARGS=TRUE&amp;VAR:ID1=95082P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 localSheetId="10">{"fdsup://IBCentral/FAT Viewer?action=UPDATE&amp;creator=factset&amp;DOC_NAME=fat:reuters_annual_source_window.fat&amp;display_string=Audit&amp;DYN_ARGS=TRUE&amp;VAR:ID1=95082P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8__FDSAUDITLINK__">{"fdsup://IBCentral/FAT Viewer?action=UPDATE&amp;creator=factset&amp;DOC_NAME=fat:reuters_annual_source_window.fat&amp;display_string=Audit&amp;DYN_ARGS=TRUE&amp;VAR:ID1=95082P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19__FDSAUDITLINK__" localSheetId="7">{"fdsup://IBCentral/FAT Viewer?action=UPDATE&amp;creator=factset&amp;DOC_NAME=fat:reuters_annual_source_window.fat&amp;display_string=Audit&amp;DYN_ARGS=TRUE&amp;VAR:ID1=B1VP0K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9__FDSAUDITLINK__" localSheetId="0">{"fdsup://IBCentral/FAT Viewer?action=UPDATE&amp;creator=factset&amp;DOC_NAME=fat:reuters_annual_source_window.fat&amp;display_string=Audit&amp;DYN_ARGS=TRUE&amp;VAR:ID1=B1VP0K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9__FDSAUDITLINK__" localSheetId="2">{"fdsup://IBCentral/FAT Viewer?action=UPDATE&amp;creator=factset&amp;DOC_NAME=fat:reuters_annual_source_window.fat&amp;display_string=Audit&amp;DYN_ARGS=TRUE&amp;VAR:ID1=B1VP0K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9__FDSAUDITLINK__" localSheetId="8">{"fdsup://IBCentral/FAT Viewer?action=UPDATE&amp;creator=factset&amp;DOC_NAME=fat:reuters_annual_source_window.fat&amp;display_string=Audit&amp;DYN_ARGS=TRUE&amp;VAR:ID1=B1VP0K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9__FDSAUDITLINK__" localSheetId="9">{"fdsup://IBCentral/FAT Viewer?action=UPDATE&amp;creator=factset&amp;DOC_NAME=fat:reuters_annual_source_window.fat&amp;display_string=Audit&amp;DYN_ARGS=TRUE&amp;VAR:ID1=B1VP0K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9__FDSAUDITLINK__" localSheetId="10">{"fdsup://IBCentral/FAT Viewer?action=UPDATE&amp;creator=factset&amp;DOC_NAME=fat:reuters_annual_source_window.fat&amp;display_string=Audit&amp;DYN_ARGS=TRUE&amp;VAR:ID1=B1VP0K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9__FDSAUDITLINK__">{"fdsup://IBCentral/FAT Viewer?action=UPDATE&amp;creator=factset&amp;DOC_NAME=fat:reuters_annual_source_window.fat&amp;display_string=Audit&amp;DYN_ARGS=TRUE&amp;VAR:ID1=B1VP0K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7">{"fdsup://IBCentral/FAT Viewer?action=UPDATE&amp;creator=factset&amp;DOC_NAME=fat:reuters_annual_source_window.fat&amp;display_string=Audit&amp;DYN_ARGS=TRUE&amp;VAR:ID1=576947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0">{"fdsup://IBCentral/FAT Viewer?action=UPDATE&amp;creator=factset&amp;DOC_NAME=fat:reuters_annual_source_window.fat&amp;display_string=Audit&amp;DYN_ARGS=TRUE&amp;VAR:ID1=576947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2">{"fdsup://IBCentral/FAT Viewer?action=UPDATE&amp;creator=factset&amp;DOC_NAME=fat:reuters_annual_source_window.fat&amp;display_string=Audit&amp;DYN_ARGS=TRUE&amp;VAR:ID1=576947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8">{"fdsup://IBCentral/FAT Viewer?action=UPDATE&amp;creator=factset&amp;DOC_NAME=fat:reuters_annual_source_window.fat&amp;display_string=Audit&amp;DYN_ARGS=TRUE&amp;VAR:ID1=576947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9">{"fdsup://IBCentral/FAT Viewer?action=UPDATE&amp;creator=factset&amp;DOC_NAME=fat:reuters_annual_source_window.fat&amp;display_string=Audit&amp;DYN_ARGS=TRUE&amp;VAR:ID1=576947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 localSheetId="10">{"fdsup://IBCentral/FAT Viewer?action=UPDATE&amp;creator=factset&amp;DOC_NAME=fat:reuters_annual_source_window.fat&amp;display_string=Audit&amp;DYN_ARGS=TRUE&amp;VAR:ID1=576947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__FDSAUDITLINK__">{"fdsup://IBCentral/FAT Viewer?action=UPDATE&amp;creator=factset&amp;DOC_NAME=fat:reuters_annual_source_window.fat&amp;display_string=Audit&amp;DYN_ARGS=TRUE&amp;VAR:ID1=576947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FDSAUDITLINK__" localSheetId="7">{"fdsup://IBCentral/FAT Viewer?action=UPDATE&amp;creator=factset&amp;DOC_NAME=fat:reuters_annual_source_window.fat&amp;display_string=Audit&amp;DYN_ARGS=TRUE&amp;VAR:ID1=576947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FDSAUDITLINK__" localSheetId="0">{"fdsup://IBCentral/FAT Viewer?action=UPDATE&amp;creator=factset&amp;DOC_NAME=fat:reuters_annual_source_window.fat&amp;display_string=Audit&amp;DYN_ARGS=TRUE&amp;VAR:ID1=576947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FDSAUDITLINK__" localSheetId="2">{"fdsup://IBCentral/FAT Viewer?action=UPDATE&amp;creator=factset&amp;DOC_NAME=fat:reuters_annual_source_window.fat&amp;display_string=Audit&amp;DYN_ARGS=TRUE&amp;VAR:ID1=576947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FDSAUDITLINK__" localSheetId="8">{"fdsup://IBCentral/FAT Viewer?action=UPDATE&amp;creator=factset&amp;DOC_NAME=fat:reuters_annual_source_window.fat&amp;display_string=Audit&amp;DYN_ARGS=TRUE&amp;VAR:ID1=576947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FDSAUDITLINK__" localSheetId="9">{"fdsup://IBCentral/FAT Viewer?action=UPDATE&amp;creator=factset&amp;DOC_NAME=fat:reuters_annual_source_window.fat&amp;display_string=Audit&amp;DYN_ARGS=TRUE&amp;VAR:ID1=576947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FDSAUDITLINK__" localSheetId="10">{"fdsup://IBCentral/FAT Viewer?action=UPDATE&amp;creator=factset&amp;DOC_NAME=fat:reuters_annual_source_window.fat&amp;display_string=Audit&amp;DYN_ARGS=TRUE&amp;VAR:ID1=576947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0__FDSAUDITLINK__">{"fdsup://IBCentral/FAT Viewer?action=UPDATE&amp;creator=factset&amp;DOC_NAME=fat:reuters_annual_source_window.fat&amp;display_string=Audit&amp;DYN_ARGS=TRUE&amp;VAR:ID1=576947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 localSheetId="7">{"fdsup://IBCentral/FAT Viewer?action=UPDATE&amp;creator=factset&amp;DOC_NAME=fat:reuters_annual_source_window.fat&amp;display_string=Audit&amp;DYN_ARGS=TRUE&amp;VAR:ID1=482167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 localSheetId="0">{"fdsup://IBCentral/FAT Viewer?action=UPDATE&amp;creator=factset&amp;DOC_NAME=fat:reuters_annual_source_window.fat&amp;display_string=Audit&amp;DYN_ARGS=TRUE&amp;VAR:ID1=482167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 localSheetId="2">{"fdsup://IBCentral/FAT Viewer?action=UPDATE&amp;creator=factset&amp;DOC_NAME=fat:reuters_annual_source_window.fat&amp;display_string=Audit&amp;DYN_ARGS=TRUE&amp;VAR:ID1=482167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 localSheetId="8">{"fdsup://IBCentral/FAT Viewer?action=UPDATE&amp;creator=factset&amp;DOC_NAME=fat:reuters_annual_source_window.fat&amp;display_string=Audit&amp;DYN_ARGS=TRUE&amp;VAR:ID1=482167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 localSheetId="9">{"fdsup://IBCentral/FAT Viewer?action=UPDATE&amp;creator=factset&amp;DOC_NAME=fat:reuters_annual_source_window.fat&amp;display_string=Audit&amp;DYN_ARGS=TRUE&amp;VAR:ID1=482167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 localSheetId="10">{"fdsup://IBCentral/FAT Viewer?action=UPDATE&amp;creator=factset&amp;DOC_NAME=fat:reuters_annual_source_window.fat&amp;display_string=Audit&amp;DYN_ARGS=TRUE&amp;VAR:ID1=482167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1__FDSAUDITLINK__">{"fdsup://IBCentral/FAT Viewer?action=UPDATE&amp;creator=factset&amp;DOC_NAME=fat:reuters_annual_source_window.fat&amp;display_string=Audit&amp;DYN_ARGS=TRUE&amp;VAR:ID1=482167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22__FDSAUDITLINK__" localSheetId="7">{"fdsup://IBCentral/FAT Viewer?action=UPDATE&amp;creator=factset&amp;DOC_NAME=fat:reuters_annual_source_window.fat&amp;display_string=Audit&amp;DYN_ARGS=TRUE&amp;VAR:ID1=03529010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__FDSAUDITLINK__" localSheetId="0">{"fdsup://IBCentral/FAT Viewer?action=UPDATE&amp;creator=factset&amp;DOC_NAME=fat:reuters_annual_source_window.fat&amp;display_string=Audit&amp;DYN_ARGS=TRUE&amp;VAR:ID1=03529010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__FDSAUDITLINK__" localSheetId="2">{"fdsup://IBCentral/FAT Viewer?action=UPDATE&amp;creator=factset&amp;DOC_NAME=fat:reuters_annual_source_window.fat&amp;display_string=Audit&amp;DYN_ARGS=TRUE&amp;VAR:ID1=03529010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__FDSAUDITLINK__" localSheetId="8">{"fdsup://IBCentral/FAT Viewer?action=UPDATE&amp;creator=factset&amp;DOC_NAME=fat:reuters_annual_source_window.fat&amp;display_string=Audit&amp;DYN_ARGS=TRUE&amp;VAR:ID1=03529010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__FDSAUDITLINK__" localSheetId="9">{"fdsup://IBCentral/FAT Viewer?action=UPDATE&amp;creator=factset&amp;DOC_NAME=fat:reuters_annual_source_window.fat&amp;display_string=Audit&amp;DYN_ARGS=TRUE&amp;VAR:ID1=03529010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__FDSAUDITLINK__" localSheetId="10">{"fdsup://IBCentral/FAT Viewer?action=UPDATE&amp;creator=factset&amp;DOC_NAME=fat:reuters_annual_source_window.fat&amp;display_string=Audit&amp;DYN_ARGS=TRUE&amp;VAR:ID1=03529010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2__FDSAUDITLINK__">{"fdsup://IBCentral/FAT Viewer?action=UPDATE&amp;creator=factset&amp;DOC_NAME=fat:reuters_annual_source_window.fat&amp;display_string=Audit&amp;DYN_ARGS=TRUE&amp;VAR:ID1=03529010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23__FDSAUDITLINK__" localSheetId="7">{"fdsup://IBCentral/FAT Viewer?action=UPDATE&amp;creator=factset&amp;DOC_NAME=fat:reuters_annual_source_window.fat&amp;display_string=Audit&amp;DYN_ARGS=TRUE&amp;VAR:ID1=B0744B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3__FDSAUDITLINK__" localSheetId="0">{"fdsup://IBCentral/FAT Viewer?action=UPDATE&amp;creator=factset&amp;DOC_NAME=fat:reuters_annual_source_window.fat&amp;display_string=Audit&amp;DYN_ARGS=TRUE&amp;VAR:ID1=B0744B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3__FDSAUDITLINK__" localSheetId="2">{"fdsup://IBCentral/FAT Viewer?action=UPDATE&amp;creator=factset&amp;DOC_NAME=fat:reuters_annual_source_window.fat&amp;display_string=Audit&amp;DYN_ARGS=TRUE&amp;VAR:ID1=B0744B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3__FDSAUDITLINK__" localSheetId="8">{"fdsup://IBCentral/FAT Viewer?action=UPDATE&amp;creator=factset&amp;DOC_NAME=fat:reuters_annual_source_window.fat&amp;display_string=Audit&amp;DYN_ARGS=TRUE&amp;VAR:ID1=B0744B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3__FDSAUDITLINK__" localSheetId="9">{"fdsup://IBCentral/FAT Viewer?action=UPDATE&amp;creator=factset&amp;DOC_NAME=fat:reuters_annual_source_window.fat&amp;display_string=Audit&amp;DYN_ARGS=TRUE&amp;VAR:ID1=B0744B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3__FDSAUDITLINK__" localSheetId="10">{"fdsup://IBCentral/FAT Viewer?action=UPDATE&amp;creator=factset&amp;DOC_NAME=fat:reuters_annual_source_window.fat&amp;display_string=Audit&amp;DYN_ARGS=TRUE&amp;VAR:ID1=B0744B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3__FDSAUDITLINK__">{"fdsup://IBCentral/FAT Viewer?action=UPDATE&amp;creator=factset&amp;DOC_NAME=fat:reuters_annual_source_window.fat&amp;display_string=Audit&amp;DYN_ARGS=TRUE&amp;VAR:ID1=B0744B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__FDSAUDITLINK__" localSheetId="7">{"fdsup://IBCentral/FAT Viewer?action=UPDATE&amp;creator=factset&amp;DOC_NAME=fat:reuters_annual_source_window.fat&amp;display_string=Audit&amp;DYN_ARGS=TRUE&amp;VAR:ID1=030964&amp;VAR:RCODE=FDSCASHTOTAL&amp;VAR:SDATE=20090399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__FDSAUDITLINK__" localSheetId="0">{"fdsup://IBCentral/FAT Viewer?action=UPDATE&amp;creator=factset&amp;DOC_NAME=fat:reuters_annual_source_window.fat&amp;display_string=Audit&amp;DYN_ARGS=TRUE&amp;VAR:ID1=030964&amp;VAR:RCODE=FDSCASHTOTAL&amp;VAR:SDATE=20090399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__FDSAUDITLINK__" localSheetId="2">{"fdsup://IBCentral/FAT Viewer?action=UPDATE&amp;creator=factset&amp;DOC_NAME=fat:reuters_annual_source_window.fat&amp;display_string=Audit&amp;DYN_ARGS=TRUE&amp;VAR:ID1=030964&amp;VAR:RCODE=FDSCASHTOTAL&amp;VAR:SDATE=20090399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__FDSAUDITLINK__" localSheetId="8">{"fdsup://IBCentral/FAT Viewer?action=UPDATE&amp;creator=factset&amp;DOC_NAME=fat:reuters_annual_source_window.fat&amp;display_string=Audit&amp;DYN_ARGS=TRUE&amp;VAR:ID1=030964&amp;VAR:RCODE=FDSCASHTOTAL&amp;VAR:SDATE=20090399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__FDSAUDITLINK__" localSheetId="9">{"fdsup://IBCentral/FAT Viewer?action=UPDATE&amp;creator=factset&amp;DOC_NAME=fat:reuters_annual_source_window.fat&amp;display_string=Audit&amp;DYN_ARGS=TRUE&amp;VAR:ID1=030964&amp;VAR:RCODE=FDSCASHTOTAL&amp;VAR:SDATE=20090399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__FDSAUDITLINK__" localSheetId="10">{"fdsup://IBCentral/FAT Viewer?action=UPDATE&amp;creator=factset&amp;DOC_NAME=fat:reuters_annual_source_window.fat&amp;display_string=Audit&amp;DYN_ARGS=TRUE&amp;VAR:ID1=030964&amp;VAR:RCODE=FDSCASHTOTAL&amp;VAR:SDATE=20090399&amp;VAR:FREQ=Y&amp;VAR:RELITEM=RP&amp;VAR:CURRENCY=&amp;VAR:CURRSOURCE=EXS","HARE&amp;VAR:NATFREQ=ANNUAL&amp;VAR:RFIELD=FINALIZED&amp;VAR:DB_TYPE=&amp;VAR:UNITS=M&amp;window=popup&amp;width=450&amp;height=300&amp;START_MAXIMIZED=FALSE"}</definedName>
    <definedName name="_24__FDSAUDITLINK__">{"fdsup://IBCentral/FAT Viewer?action=UPDATE&amp;creator=factset&amp;DOC_NAME=fat:reuters_annual_source_window.fat&amp;display_string=Audit&amp;DYN_ARGS=TRUE&amp;VAR:ID1=030964&amp;VAR:RCODE=FDSCASHTOTAL&amp;VAR:SDATE=20090399&amp;VAR:FREQ=Y&amp;VAR:RELITEM=RP&amp;VAR:CURRENCY=&amp;VAR:CURRSOURCE=EXS","HARE&amp;VAR:NATFREQ=ANNUAL&amp;VAR:RFIELD=FINALIZED&amp;VAR:DB_TYPE=&amp;VAR:UNITS=M&amp;window=popup&amp;width=450&amp;height=300&amp;START_MAXIMIZED=FALSE"}</definedName>
    <definedName name="_25__FDSAUDITLINK__" localSheetId="7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localSheetId="0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localSheetId="2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localSheetId="8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localSheetId="9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 localSheetId="10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25__FDSAUDITLINK__">{"fdsup://IBCentral/FAT Viewer?action=UPDATE&amp;creator=factset&amp;DOC_NAME=fat:reuters_annual_source_window.fat&amp;display_string=Audit&amp;DYN_ARGS=TRUE&amp;VAR:ID1=&amp;VAR:RCODE=FDSCASHTOTAL&amp;VAR:SDATE=6/30/2009&amp;VAR:FREQ=Y&amp;VAR:RELITEM=RP&amp;VAR:CURRENCY=&amp;VAR:CURRSOURCE=EXSHARE&amp;","VAR:NATFREQ=ANNUAL&amp;VAR:RFIELD=FINALIZED&amp;VAR:DB_TYPE=&amp;VAR:UNITS=M&amp;window=popup&amp;width=450&amp;height=300&amp;START_MAXIMIZED=FALSE"}</definedName>
    <definedName name="_26__FDSAUDITLINK__" localSheetId="7">{"fdsup://IBCentral/FAT Viewer?action=UPDATE&amp;creator=factset&amp;DOC_NAME=fat:reuters_annual_source_window.fat&amp;display_string=Audit&amp;DYN_ARGS=TRUE&amp;VAR:ID1=38480210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6__FDSAUDITLINK__" localSheetId="0">{"fdsup://IBCentral/FAT Viewer?action=UPDATE&amp;creator=factset&amp;DOC_NAME=fat:reuters_annual_source_window.fat&amp;display_string=Audit&amp;DYN_ARGS=TRUE&amp;VAR:ID1=38480210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6__FDSAUDITLINK__" localSheetId="2">{"fdsup://IBCentral/FAT Viewer?action=UPDATE&amp;creator=factset&amp;DOC_NAME=fat:reuters_annual_source_window.fat&amp;display_string=Audit&amp;DYN_ARGS=TRUE&amp;VAR:ID1=38480210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6__FDSAUDITLINK__" localSheetId="8">{"fdsup://IBCentral/FAT Viewer?action=UPDATE&amp;creator=factset&amp;DOC_NAME=fat:reuters_annual_source_window.fat&amp;display_string=Audit&amp;DYN_ARGS=TRUE&amp;VAR:ID1=38480210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6__FDSAUDITLINK__" localSheetId="9">{"fdsup://IBCentral/FAT Viewer?action=UPDATE&amp;creator=factset&amp;DOC_NAME=fat:reuters_annual_source_window.fat&amp;display_string=Audit&amp;DYN_ARGS=TRUE&amp;VAR:ID1=38480210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6__FDSAUDITLINK__" localSheetId="10">{"fdsup://IBCentral/FAT Viewer?action=UPDATE&amp;creator=factset&amp;DOC_NAME=fat:reuters_annual_source_window.fat&amp;display_string=Audit&amp;DYN_ARGS=TRUE&amp;VAR:ID1=38480210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6__FDSAUDITLINK__">{"fdsup://IBCentral/FAT Viewer?action=UPDATE&amp;creator=factset&amp;DOC_NAME=fat:reuters_annual_source_window.fat&amp;display_string=Audit&amp;DYN_ARGS=TRUE&amp;VAR:ID1=38480210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__FDSAUDITLINK__" localSheetId="7">{"fdsup://IBCentral/FAT Viewer?action=UPDATE&amp;creator=factset&amp;DOC_NAME=fat:reuters_annual_source_window.fat&amp;display_string=Audit&amp;DYN_ARGS=TRUE&amp;VAR:ID1=95082P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__FDSAUDITLINK__" localSheetId="0">{"fdsup://IBCentral/FAT Viewer?action=UPDATE&amp;creator=factset&amp;DOC_NAME=fat:reuters_annual_source_window.fat&amp;display_string=Audit&amp;DYN_ARGS=TRUE&amp;VAR:ID1=95082P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__FDSAUDITLINK__" localSheetId="2">{"fdsup://IBCentral/FAT Viewer?action=UPDATE&amp;creator=factset&amp;DOC_NAME=fat:reuters_annual_source_window.fat&amp;display_string=Audit&amp;DYN_ARGS=TRUE&amp;VAR:ID1=95082P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__FDSAUDITLINK__" localSheetId="8">{"fdsup://IBCentral/FAT Viewer?action=UPDATE&amp;creator=factset&amp;DOC_NAME=fat:reuters_annual_source_window.fat&amp;display_string=Audit&amp;DYN_ARGS=TRUE&amp;VAR:ID1=95082P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__FDSAUDITLINK__" localSheetId="9">{"fdsup://IBCentral/FAT Viewer?action=UPDATE&amp;creator=factset&amp;DOC_NAME=fat:reuters_annual_source_window.fat&amp;display_string=Audit&amp;DYN_ARGS=TRUE&amp;VAR:ID1=95082P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__FDSAUDITLINK__" localSheetId="10">{"fdsup://IBCentral/FAT Viewer?action=UPDATE&amp;creator=factset&amp;DOC_NAME=fat:reuters_annual_source_window.fat&amp;display_string=Audit&amp;DYN_ARGS=TRUE&amp;VAR:ID1=95082P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__FDSAUDITLINK__">{"fdsup://IBCentral/FAT Viewer?action=UPDATE&amp;creator=factset&amp;DOC_NAME=fat:reuters_annual_source_window.fat&amp;display_string=Audit&amp;DYN_ARGS=TRUE&amp;VAR:ID1=95082P10&amp;VAR:RCODE=FDSCASHTOTAL&amp;VAR:SDATE=20081299&amp;VAR:FREQ=Y&amp;VAR:RELITEM=RP&amp;VAR:CURRENCY=&amp;VAR:CURRSOURCE=E","XSHARE&amp;VAR:NATFREQ=ANNUAL&amp;VAR:RFIELD=FINALIZED&amp;VAR:DB_TYPE=&amp;VAR:UNITS=M&amp;window=popup&amp;width=450&amp;height=300&amp;START_MAXIMIZED=FALSE"}</definedName>
    <definedName name="_28__FDSAUDITLINK__" localSheetId="7">{"fdsup://IBCentral/FAT Viewer?action=UPDATE&amp;creator=factset&amp;DOC_NAME=fat:reuters_annual_source_window.fat&amp;display_string=Audit&amp;DYN_ARGS=TRUE&amp;VAR:ID1=B1VP0K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8__FDSAUDITLINK__" localSheetId="0">{"fdsup://IBCentral/FAT Viewer?action=UPDATE&amp;creator=factset&amp;DOC_NAME=fat:reuters_annual_source_window.fat&amp;display_string=Audit&amp;DYN_ARGS=TRUE&amp;VAR:ID1=B1VP0K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8__FDSAUDITLINK__" localSheetId="2">{"fdsup://IBCentral/FAT Viewer?action=UPDATE&amp;creator=factset&amp;DOC_NAME=fat:reuters_annual_source_window.fat&amp;display_string=Audit&amp;DYN_ARGS=TRUE&amp;VAR:ID1=B1VP0K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8__FDSAUDITLINK__" localSheetId="8">{"fdsup://IBCentral/FAT Viewer?action=UPDATE&amp;creator=factset&amp;DOC_NAME=fat:reuters_annual_source_window.fat&amp;display_string=Audit&amp;DYN_ARGS=TRUE&amp;VAR:ID1=B1VP0K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8__FDSAUDITLINK__" localSheetId="9">{"fdsup://IBCentral/FAT Viewer?action=UPDATE&amp;creator=factset&amp;DOC_NAME=fat:reuters_annual_source_window.fat&amp;display_string=Audit&amp;DYN_ARGS=TRUE&amp;VAR:ID1=B1VP0K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8__FDSAUDITLINK__" localSheetId="10">{"fdsup://IBCentral/FAT Viewer?action=UPDATE&amp;creator=factset&amp;DOC_NAME=fat:reuters_annual_source_window.fat&amp;display_string=Audit&amp;DYN_ARGS=TRUE&amp;VAR:ID1=B1VP0K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28__FDSAUDITLINK__">{"fdsup://IBCentral/FAT Viewer?action=UPDATE&amp;creator=factset&amp;DOC_NAME=fat:reuters_annual_source_window.fat&amp;display_string=Audit&amp;DYN_ARGS=TRUE&amp;VAR:ID1=B1VP0K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3__FDSAUDITLINK__" localSheetId="7">{"fdsup://IBCentral/FAT Viewer?action=UPDATE&amp;creator=factset&amp;DOC_NAME=fat:reuters_annual_source_window.fat&amp;display_string=Audit&amp;DYN_ARGS=TRUE&amp;VAR:ID1=482167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localSheetId="0">{"fdsup://IBCentral/FAT Viewer?action=UPDATE&amp;creator=factset&amp;DOC_NAME=fat:reuters_annual_source_window.fat&amp;display_string=Audit&amp;DYN_ARGS=TRUE&amp;VAR:ID1=482167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localSheetId="2">{"fdsup://IBCentral/FAT Viewer?action=UPDATE&amp;creator=factset&amp;DOC_NAME=fat:reuters_annual_source_window.fat&amp;display_string=Audit&amp;DYN_ARGS=TRUE&amp;VAR:ID1=482167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localSheetId="8">{"fdsup://IBCentral/FAT Viewer?action=UPDATE&amp;creator=factset&amp;DOC_NAME=fat:reuters_annual_source_window.fat&amp;display_string=Audit&amp;DYN_ARGS=TRUE&amp;VAR:ID1=482167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localSheetId="9">{"fdsup://IBCentral/FAT Viewer?action=UPDATE&amp;creator=factset&amp;DOC_NAME=fat:reuters_annual_source_window.fat&amp;display_string=Audit&amp;DYN_ARGS=TRUE&amp;VAR:ID1=482167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localSheetId="10">{"fdsup://IBCentral/FAT Viewer?action=UPDATE&amp;creator=factset&amp;DOC_NAME=fat:reuters_annual_source_window.fat&amp;display_string=Audit&amp;DYN_ARGS=TRUE&amp;VAR:ID1=482167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>{"fdsup://IBCentral/FAT Viewer?action=UPDATE&amp;creator=factset&amp;DOC_NAME=fat:reuters_annual_source_window.fat&amp;display_string=Audit&amp;DYN_ARGS=TRUE&amp;VAR:ID1=482167&amp;VAR:RCODE=LTTD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4__FDSAUDITLINK__" localSheetId="7">{"fdsup://IBCentral/FAT Viewer?action=UPDATE&amp;creator=factset&amp;DOC_NAME=fat:reuters_annual_source_window.fat&amp;display_string=Audit&amp;DYN_ARGS=TRUE&amp;VAR:ID1=03529010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__FDSAUDITLINK__" localSheetId="0">{"fdsup://IBCentral/FAT Viewer?action=UPDATE&amp;creator=factset&amp;DOC_NAME=fat:reuters_annual_source_window.fat&amp;display_string=Audit&amp;DYN_ARGS=TRUE&amp;VAR:ID1=03529010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__FDSAUDITLINK__" localSheetId="2">{"fdsup://IBCentral/FAT Viewer?action=UPDATE&amp;creator=factset&amp;DOC_NAME=fat:reuters_annual_source_window.fat&amp;display_string=Audit&amp;DYN_ARGS=TRUE&amp;VAR:ID1=03529010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__FDSAUDITLINK__" localSheetId="8">{"fdsup://IBCentral/FAT Viewer?action=UPDATE&amp;creator=factset&amp;DOC_NAME=fat:reuters_annual_source_window.fat&amp;display_string=Audit&amp;DYN_ARGS=TRUE&amp;VAR:ID1=03529010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__FDSAUDITLINK__" localSheetId="9">{"fdsup://IBCentral/FAT Viewer?action=UPDATE&amp;creator=factset&amp;DOC_NAME=fat:reuters_annual_source_window.fat&amp;display_string=Audit&amp;DYN_ARGS=TRUE&amp;VAR:ID1=03529010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__FDSAUDITLINK__" localSheetId="10">{"fdsup://IBCentral/FAT Viewer?action=UPDATE&amp;creator=factset&amp;DOC_NAME=fat:reuters_annual_source_window.fat&amp;display_string=Audit&amp;DYN_ARGS=TRUE&amp;VAR:ID1=03529010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4__FDSAUDITLINK__">{"fdsup://IBCentral/FAT Viewer?action=UPDATE&amp;creator=factset&amp;DOC_NAME=fat:reuters_annual_source_window.fat&amp;display_string=Audit&amp;DYN_ARGS=TRUE&amp;VAR:ID1=03529010&amp;VAR:RCODE=LTTD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5__FDSAUDITLINK__" localSheetId="7">{"fdsup://IBCentral/FAT Viewer?action=UPDATE&amp;creator=factset&amp;DOC_NAME=fat:reuters_annual_source_window.fat&amp;display_string=Audit&amp;DYN_ARGS=TRUE&amp;VAR:ID1=B0744B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 localSheetId="0">{"fdsup://IBCentral/FAT Viewer?action=UPDATE&amp;creator=factset&amp;DOC_NAME=fat:reuters_annual_source_window.fat&amp;display_string=Audit&amp;DYN_ARGS=TRUE&amp;VAR:ID1=B0744B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 localSheetId="2">{"fdsup://IBCentral/FAT Viewer?action=UPDATE&amp;creator=factset&amp;DOC_NAME=fat:reuters_annual_source_window.fat&amp;display_string=Audit&amp;DYN_ARGS=TRUE&amp;VAR:ID1=B0744B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 localSheetId="8">{"fdsup://IBCentral/FAT Viewer?action=UPDATE&amp;creator=factset&amp;DOC_NAME=fat:reuters_annual_source_window.fat&amp;display_string=Audit&amp;DYN_ARGS=TRUE&amp;VAR:ID1=B0744B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 localSheetId="9">{"fdsup://IBCentral/FAT Viewer?action=UPDATE&amp;creator=factset&amp;DOC_NAME=fat:reuters_annual_source_window.fat&amp;display_string=Audit&amp;DYN_ARGS=TRUE&amp;VAR:ID1=B0744B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 localSheetId="10">{"fdsup://IBCentral/FAT Viewer?action=UPDATE&amp;creator=factset&amp;DOC_NAME=fat:reuters_annual_source_window.fat&amp;display_string=Audit&amp;DYN_ARGS=TRUE&amp;VAR:ID1=B0744B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>{"fdsup://IBCentral/FAT Viewer?action=UPDATE&amp;creator=factset&amp;DOC_NAME=fat:reuters_annual_source_window.fat&amp;display_string=Audit&amp;DYN_ARGS=TRUE&amp;VAR:ID1=B0744B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6__FDSAUDITLINK__" localSheetId="7">{"fdsup://IBCentral/FAT Viewer?action=UPDATE&amp;creator=factset&amp;DOC_NAME=fat:reuters_annual_source_window.fat&amp;display_string=Audit&amp;DYN_ARGS=TRUE&amp;VAR:ID1=38480210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__FDSAUDITLINK__" localSheetId="0">{"fdsup://IBCentral/FAT Viewer?action=UPDATE&amp;creator=factset&amp;DOC_NAME=fat:reuters_annual_source_window.fat&amp;display_string=Audit&amp;DYN_ARGS=TRUE&amp;VAR:ID1=38480210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__FDSAUDITLINK__" localSheetId="2">{"fdsup://IBCentral/FAT Viewer?action=UPDATE&amp;creator=factset&amp;DOC_NAME=fat:reuters_annual_source_window.fat&amp;display_string=Audit&amp;DYN_ARGS=TRUE&amp;VAR:ID1=38480210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__FDSAUDITLINK__" localSheetId="8">{"fdsup://IBCentral/FAT Viewer?action=UPDATE&amp;creator=factset&amp;DOC_NAME=fat:reuters_annual_source_window.fat&amp;display_string=Audit&amp;DYN_ARGS=TRUE&amp;VAR:ID1=38480210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__FDSAUDITLINK__" localSheetId="9">{"fdsup://IBCentral/FAT Viewer?action=UPDATE&amp;creator=factset&amp;DOC_NAME=fat:reuters_annual_source_window.fat&amp;display_string=Audit&amp;DYN_ARGS=TRUE&amp;VAR:ID1=38480210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__FDSAUDITLINK__" localSheetId="10">{"fdsup://IBCentral/FAT Viewer?action=UPDATE&amp;creator=factset&amp;DOC_NAME=fat:reuters_annual_source_window.fat&amp;display_string=Audit&amp;DYN_ARGS=TRUE&amp;VAR:ID1=38480210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6__FDSAUDITLINK__">{"fdsup://IBCentral/FAT Viewer?action=UPDATE&amp;creator=factset&amp;DOC_NAME=fat:reuters_annual_source_window.fat&amp;display_string=Audit&amp;DYN_ARGS=TRUE&amp;VAR:ID1=38480210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__FDSAUDITLINK__" localSheetId="7">{"fdsup://IBCentral/FAT Viewer?action=UPDATE&amp;creator=factset&amp;DOC_NAME=fat:reuters_annual_source_window.fat&amp;display_string=Audit&amp;DYN_ARGS=TRUE&amp;VAR:ID1=95082P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__FDSAUDITLINK__" localSheetId="0">{"fdsup://IBCentral/FAT Viewer?action=UPDATE&amp;creator=factset&amp;DOC_NAME=fat:reuters_annual_source_window.fat&amp;display_string=Audit&amp;DYN_ARGS=TRUE&amp;VAR:ID1=95082P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__FDSAUDITLINK__" localSheetId="2">{"fdsup://IBCentral/FAT Viewer?action=UPDATE&amp;creator=factset&amp;DOC_NAME=fat:reuters_annual_source_window.fat&amp;display_string=Audit&amp;DYN_ARGS=TRUE&amp;VAR:ID1=95082P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__FDSAUDITLINK__" localSheetId="8">{"fdsup://IBCentral/FAT Viewer?action=UPDATE&amp;creator=factset&amp;DOC_NAME=fat:reuters_annual_source_window.fat&amp;display_string=Audit&amp;DYN_ARGS=TRUE&amp;VAR:ID1=95082P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__FDSAUDITLINK__" localSheetId="9">{"fdsup://IBCentral/FAT Viewer?action=UPDATE&amp;creator=factset&amp;DOC_NAME=fat:reuters_annual_source_window.fat&amp;display_string=Audit&amp;DYN_ARGS=TRUE&amp;VAR:ID1=95082P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__FDSAUDITLINK__" localSheetId="10">{"fdsup://IBCentral/FAT Viewer?action=UPDATE&amp;creator=factset&amp;DOC_NAME=fat:reuters_annual_source_window.fat&amp;display_string=Audit&amp;DYN_ARGS=TRUE&amp;VAR:ID1=95082P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7__FDSAUDITLINK__">{"fdsup://IBCentral/FAT Viewer?action=UPDATE&amp;creator=factset&amp;DOC_NAME=fat:reuters_annual_source_window.fat&amp;display_string=Audit&amp;DYN_ARGS=TRUE&amp;VAR:ID1=95082P10&amp;VAR:RCODE=DSTT&amp;VAR:SDATE=20081299&amp;VAR:FREQ=Y&amp;VAR:RELITEM=RP&amp;VAR:CURRENCY=&amp;VAR:CURRSOURCE=EXSHARE&amp;V","AR:NATFREQ=ANNUAL&amp;VAR:RFIELD=FINALIZED&amp;VAR:DB_TYPE=&amp;VAR:UNITS=M&amp;window=popup&amp;width=450&amp;height=300&amp;START_MAXIMIZED=FALSE"}</definedName>
    <definedName name="_8__FDSAUDITLINK__" localSheetId="7">{"fdsup://IBCentral/FAT Viewer?action=UPDATE&amp;creator=factset&amp;DOC_NAME=fat:reuters_annual_source_window.fat&amp;display_string=Audit&amp;DYN_ARGS=TRUE&amp;VAR:ID1=B1VP0K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8__FDSAUDITLINK__" localSheetId="0">{"fdsup://IBCentral/FAT Viewer?action=UPDATE&amp;creator=factset&amp;DOC_NAME=fat:reuters_annual_source_window.fat&amp;display_string=Audit&amp;DYN_ARGS=TRUE&amp;VAR:ID1=B1VP0K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8__FDSAUDITLINK__" localSheetId="2">{"fdsup://IBCentral/FAT Viewer?action=UPDATE&amp;creator=factset&amp;DOC_NAME=fat:reuters_annual_source_window.fat&amp;display_string=Audit&amp;DYN_ARGS=TRUE&amp;VAR:ID1=B1VP0K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8__FDSAUDITLINK__" localSheetId="8">{"fdsup://IBCentral/FAT Viewer?action=UPDATE&amp;creator=factset&amp;DOC_NAME=fat:reuters_annual_source_window.fat&amp;display_string=Audit&amp;DYN_ARGS=TRUE&amp;VAR:ID1=B1VP0K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8__FDSAUDITLINK__" localSheetId="9">{"fdsup://IBCentral/FAT Viewer?action=UPDATE&amp;creator=factset&amp;DOC_NAME=fat:reuters_annual_source_window.fat&amp;display_string=Audit&amp;DYN_ARGS=TRUE&amp;VAR:ID1=B1VP0K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8__FDSAUDITLINK__" localSheetId="10">{"fdsup://IBCentral/FAT Viewer?action=UPDATE&amp;creator=factset&amp;DOC_NAME=fat:reuters_annual_source_window.fat&amp;display_string=Audit&amp;DYN_ARGS=TRUE&amp;VAR:ID1=B1VP0K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8__FDSAUDITLINK__">{"fdsup://IBCentral/FAT Viewer?action=UPDATE&amp;creator=factset&amp;DOC_NAME=fat:reuters_annual_source_window.fat&amp;display_string=Audit&amp;DYN_ARGS=TRUE&amp;VAR:ID1=B1VP0K&amp;VAR:RCODE=DSTT&amp;VAR:SDATE=20081299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9__FDSAUDITLINK__" localSheetId="7">{"fdsup://IBCentral/FAT Viewer?action=UPDATE&amp;creator=factset&amp;DOC_NAME=fat:reuters_annual_source_window.fat&amp;display_string=Audit&amp;DYN_ARGS=TRUE&amp;VAR:ID1=576947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9__FDSAUDITLINK__" localSheetId="0">{"fdsup://IBCentral/FAT Viewer?action=UPDATE&amp;creator=factset&amp;DOC_NAME=fat:reuters_annual_source_window.fat&amp;display_string=Audit&amp;DYN_ARGS=TRUE&amp;VAR:ID1=576947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9__FDSAUDITLINK__" localSheetId="2">{"fdsup://IBCentral/FAT Viewer?action=UPDATE&amp;creator=factset&amp;DOC_NAME=fat:reuters_annual_source_window.fat&amp;display_string=Audit&amp;DYN_ARGS=TRUE&amp;VAR:ID1=576947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9__FDSAUDITLINK__" localSheetId="8">{"fdsup://IBCentral/FAT Viewer?action=UPDATE&amp;creator=factset&amp;DOC_NAME=fat:reuters_annual_source_window.fat&amp;display_string=Audit&amp;DYN_ARGS=TRUE&amp;VAR:ID1=576947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9__FDSAUDITLINK__" localSheetId="9">{"fdsup://IBCentral/FAT Viewer?action=UPDATE&amp;creator=factset&amp;DOC_NAME=fat:reuters_annual_source_window.fat&amp;display_string=Audit&amp;DYN_ARGS=TRUE&amp;VAR:ID1=576947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9__FDSAUDITLINK__" localSheetId="10">{"fdsup://IBCentral/FAT Viewer?action=UPDATE&amp;creator=factset&amp;DOC_NAME=fat:reuters_annual_source_window.fat&amp;display_string=Audit&amp;DYN_ARGS=TRUE&amp;VAR:ID1=576947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9__FDSAUDITLINK__">{"fdsup://IBCentral/FAT Viewer?action=UPDATE&amp;creator=factset&amp;DOC_NAME=fat:reuters_annual_source_window.fat&amp;display_string=Audit&amp;DYN_ARGS=TRUE&amp;VAR:ID1=576947&amp;VAR:RCODE=FDSCASHTOTAL&amp;VAR:SDATE=20081299&amp;VAR:FREQ=Y&amp;VAR:RELITEM=RP&amp;VAR:CURRENCY=&amp;VAR:CURRSOURCE=EXS","HARE&amp;VAR:NATFREQ=ANNUAL&amp;VAR:RFIELD=FINALIZED&amp;VAR:DB_TYPE=&amp;VAR:UNITS=M&amp;window=popup&amp;width=450&amp;height=300&amp;START_MAXIMIZED=FALSE"}</definedName>
    <definedName name="_a2" localSheetId="7">#REF!</definedName>
    <definedName name="_a2" localSheetId="2">#REF!</definedName>
    <definedName name="_a2" localSheetId="8">#REF!</definedName>
    <definedName name="_a2" localSheetId="9">#REF!</definedName>
    <definedName name="_a2" localSheetId="10">#REF!</definedName>
    <definedName name="_a2">#REF!</definedName>
    <definedName name="_BQ4.1" localSheetId="7">#REF!</definedName>
    <definedName name="_BQ4.1" localSheetId="8">#REF!</definedName>
    <definedName name="_BQ4.1" localSheetId="9">#REF!</definedName>
    <definedName name="_BQ4.1" localSheetId="10">#REF!</definedName>
    <definedName name="_BQ4.1">#REF!</definedName>
    <definedName name="_dd2" localSheetId="7">#REF!</definedName>
    <definedName name="_dd2" localSheetId="2">#REF!</definedName>
    <definedName name="_dd2" localSheetId="8">#REF!</definedName>
    <definedName name="_dd2" localSheetId="9">#REF!</definedName>
    <definedName name="_dd2" localSheetId="10">#REF!</definedName>
    <definedName name="_dd2">#REF!</definedName>
    <definedName name="_ddc2" localSheetId="7">#REF!</definedName>
    <definedName name="_ddc2" localSheetId="2">#REF!</definedName>
    <definedName name="_ddc2" localSheetId="8">#REF!</definedName>
    <definedName name="_ddc2" localSheetId="9">#REF!</definedName>
    <definedName name="_ddc2" localSheetId="10">#REF!</definedName>
    <definedName name="_ddc2">#REF!</definedName>
    <definedName name="_df2" localSheetId="7">#REF!</definedName>
    <definedName name="_df2" localSheetId="2">#REF!</definedName>
    <definedName name="_df2" localSheetId="8">#REF!</definedName>
    <definedName name="_df2" localSheetId="9">#REF!</definedName>
    <definedName name="_df2" localSheetId="10">#REF!</definedName>
    <definedName name="_df2">#REF!</definedName>
    <definedName name="_fa2" localSheetId="7">#REF!</definedName>
    <definedName name="_fa2" localSheetId="2">#REF!</definedName>
    <definedName name="_fa2" localSheetId="8">#REF!</definedName>
    <definedName name="_fa2" localSheetId="9">#REF!</definedName>
    <definedName name="_fa2" localSheetId="10">#REF!</definedName>
    <definedName name="_fa2">#REF!</definedName>
    <definedName name="_Fill" localSheetId="7">#REF!</definedName>
    <definedName name="_Fill" localSheetId="8">#REF!</definedName>
    <definedName name="_Fill" localSheetId="9">#REF!</definedName>
    <definedName name="_Fill" localSheetId="10">#REF!</definedName>
    <definedName name="_Fill">#REF!</definedName>
    <definedName name="_xlnm._FilterDatabase" localSheetId="7" hidden="1">'Allocation Template'!$B$5:$N$140</definedName>
    <definedName name="_xlnm._FilterDatabase" localSheetId="1" hidden="1">'KPS #48'!$A$5:$AC$100</definedName>
    <definedName name="_xlnm._FilterDatabase" localSheetId="5" hidden="1">Mapping!$A$1:$Q$725</definedName>
    <definedName name="_xlnm._FilterDatabase" localSheetId="2" hidden="1">'PL Reader'!$B$5:$N$142</definedName>
    <definedName name="_xlnm._FilterDatabase" localSheetId="8" hidden="1">'SLT12'!$B$5:$N$140</definedName>
    <definedName name="_xlnm._FilterDatabase" localSheetId="9" hidden="1">'SLT16'!$B$5:$N$140</definedName>
    <definedName name="_xlnm._FilterDatabase" localSheetId="10" hidden="1">'SLT20'!$B$5:$N$140</definedName>
    <definedName name="_ID33303" localSheetId="7">{"labour",#N/A,FALSE,"PRODHEAD"}</definedName>
    <definedName name="_ID33303" localSheetId="0">{"labour",#N/A,FALSE,"PRODHEAD"}</definedName>
    <definedName name="_ID33303" localSheetId="2">{"labour",#N/A,FALSE,"PRODHEAD"}</definedName>
    <definedName name="_ID33303" localSheetId="8">{"labour",#N/A,FALSE,"PRODHEAD"}</definedName>
    <definedName name="_ID33303" localSheetId="9">{"labour",#N/A,FALSE,"PRODHEAD"}</definedName>
    <definedName name="_ID33303" localSheetId="10">{"labour",#N/A,FALSE,"PRODHEAD"}</definedName>
    <definedName name="_ID33303">{"labour",#N/A,FALSE,"PRODHEAD"}</definedName>
    <definedName name="_ID33304" localSheetId="7">{"US DOLLARS",#N/A,FALSE,"FMEOB96"}</definedName>
    <definedName name="_ID33304" localSheetId="0">{"US DOLLARS",#N/A,FALSE,"FMEOB96"}</definedName>
    <definedName name="_ID33304" localSheetId="2">{"US DOLLARS",#N/A,FALSE,"FMEOB96"}</definedName>
    <definedName name="_ID33304" localSheetId="8">{"US DOLLARS",#N/A,FALSE,"FMEOB96"}</definedName>
    <definedName name="_ID33304" localSheetId="9">{"US DOLLARS",#N/A,FALSE,"FMEOB96"}</definedName>
    <definedName name="_ID33304" localSheetId="10">{"US DOLLARS",#N/A,FALSE,"FMEOB96"}</definedName>
    <definedName name="_ID33304">{"US DOLLARS",#N/A,FALSE,"FMEOB96"}</definedName>
    <definedName name="_KA2" localSheetId="7">#REF!</definedName>
    <definedName name="_KA2" localSheetId="2">#REF!</definedName>
    <definedName name="_KA2" localSheetId="8">#REF!</definedName>
    <definedName name="_KA2" localSheetId="9">#REF!</definedName>
    <definedName name="_KA2" localSheetId="10">#REF!</definedName>
    <definedName name="_KA2">#REF!</definedName>
    <definedName name="_KAA2" localSheetId="7">#REF!</definedName>
    <definedName name="_KAA2" localSheetId="2">#REF!</definedName>
    <definedName name="_KAA2" localSheetId="8">#REF!</definedName>
    <definedName name="_KAA2" localSheetId="9">#REF!</definedName>
    <definedName name="_KAA2" localSheetId="10">#REF!</definedName>
    <definedName name="_KAA2">#REF!</definedName>
    <definedName name="_Key1" localSheetId="7">#REF!</definedName>
    <definedName name="_Key1" localSheetId="8">#REF!</definedName>
    <definedName name="_Key1" localSheetId="9">#REF!</definedName>
    <definedName name="_Key1" localSheetId="10">#REF!</definedName>
    <definedName name="_Key1">#REF!</definedName>
    <definedName name="_Key2" localSheetId="7">#REF!</definedName>
    <definedName name="_Key2" localSheetId="8">#REF!</definedName>
    <definedName name="_Key2" localSheetId="9">#REF!</definedName>
    <definedName name="_Key2" localSheetId="10">#REF!</definedName>
    <definedName name="_Key2">#REF!</definedName>
    <definedName name="_NEW2" localSheetId="7">#REF!</definedName>
    <definedName name="_NEW2" localSheetId="2">#REF!</definedName>
    <definedName name="_NEW2" localSheetId="8">#REF!</definedName>
    <definedName name="_NEW2" localSheetId="9">#REF!</definedName>
    <definedName name="_NEW2" localSheetId="10">#REF!</definedName>
    <definedName name="_NEW2">#REF!</definedName>
    <definedName name="_NSO2" localSheetId="7">{"'Sheet1'!$L$16"}</definedName>
    <definedName name="_NSO2" localSheetId="0">{"'Sheet1'!$L$16"}</definedName>
    <definedName name="_NSO2" localSheetId="2">{"'Sheet1'!$L$16"}</definedName>
    <definedName name="_NSO2" localSheetId="8">{"'Sheet1'!$L$16"}</definedName>
    <definedName name="_NSO2" localSheetId="9">{"'Sheet1'!$L$16"}</definedName>
    <definedName name="_NSO2" localSheetId="10">{"'Sheet1'!$L$16"}</definedName>
    <definedName name="_NSO2">{"'Sheet1'!$L$16"}</definedName>
    <definedName name="_Order1">255</definedName>
    <definedName name="_Order2">0</definedName>
    <definedName name="_qwq2" localSheetId="7">#REF!</definedName>
    <definedName name="_qwq2" localSheetId="2">#REF!</definedName>
    <definedName name="_qwq2" localSheetId="8">#REF!</definedName>
    <definedName name="_qwq2" localSheetId="9">#REF!</definedName>
    <definedName name="_qwq2" localSheetId="10">#REF!</definedName>
    <definedName name="_qwq2">#REF!</definedName>
    <definedName name="_Regression_Int">1</definedName>
    <definedName name="_rre1" localSheetId="7">#REF!</definedName>
    <definedName name="_rre1" localSheetId="8">#REF!</definedName>
    <definedName name="_rre1" localSheetId="9">#REF!</definedName>
    <definedName name="_rre1" localSheetId="10">#REF!</definedName>
    <definedName name="_rre1">#REF!</definedName>
    <definedName name="_rt5678" localSheetId="7">#REF!</definedName>
    <definedName name="_rt5678" localSheetId="2">#REF!</definedName>
    <definedName name="_rt5678" localSheetId="8">#REF!</definedName>
    <definedName name="_rt5678" localSheetId="9">#REF!</definedName>
    <definedName name="_rt5678" localSheetId="10">#REF!</definedName>
    <definedName name="_rt5678">#REF!</definedName>
    <definedName name="_SE2" localSheetId="7">#REF!</definedName>
    <definedName name="_SE2" localSheetId="2">#REF!</definedName>
    <definedName name="_SE2" localSheetId="8">#REF!</definedName>
    <definedName name="_SE2" localSheetId="9">#REF!</definedName>
    <definedName name="_SE2" localSheetId="10">#REF!</definedName>
    <definedName name="_SE2">#REF!</definedName>
    <definedName name="_sec3" localSheetId="7">#REF!</definedName>
    <definedName name="_sec3" localSheetId="2">#REF!</definedName>
    <definedName name="_sec3" localSheetId="8">#REF!</definedName>
    <definedName name="_sec3" localSheetId="9">#REF!</definedName>
    <definedName name="_sec3" localSheetId="10">#REF!</definedName>
    <definedName name="_sec3">#REF!</definedName>
    <definedName name="_Sort" localSheetId="7">#REF!</definedName>
    <definedName name="_Sort" localSheetId="8">#REF!</definedName>
    <definedName name="_Sort" localSheetId="9">#REF!</definedName>
    <definedName name="_Sort" localSheetId="10">#REF!</definedName>
    <definedName name="_Sort">#REF!</definedName>
    <definedName name="_ws2" localSheetId="7">#REF!</definedName>
    <definedName name="_ws2" localSheetId="2">#REF!</definedName>
    <definedName name="_ws2" localSheetId="8">#REF!</definedName>
    <definedName name="_ws2" localSheetId="9">#REF!</definedName>
    <definedName name="_ws2" localSheetId="10">#REF!</definedName>
    <definedName name="_ws2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>#REF!</definedName>
    <definedName name="aa" localSheetId="7">{"approvedIER",#N/A,TRUE,"MAANDRAPPORT"}</definedName>
    <definedName name="aa" localSheetId="0">{"approvedIER",#N/A,TRUE,"MAANDRAPPORT"}</definedName>
    <definedName name="aa" localSheetId="2">{"approvedIER",#N/A,TRUE,"MAANDRAPPORT"}</definedName>
    <definedName name="aa" localSheetId="8">{"approvedIER",#N/A,TRUE,"MAANDRAPPORT"}</definedName>
    <definedName name="aa" localSheetId="9">{"approvedIER",#N/A,TRUE,"MAANDRAPPORT"}</definedName>
    <definedName name="aa" localSheetId="10">{"approvedIER",#N/A,TRUE,"MAANDRAPPORT"}</definedName>
    <definedName name="aa">{"approvedIER",#N/A,TRUE,"MAANDRAPPORT"}</definedName>
    <definedName name="aaa" localSheetId="7">{#N/A,"OBB",FALSE,"vol";#N/A,#N/A,FALSE,"Memo";#N/A,#N/A,FALSE,"sum";#N/A,#N/A,FALSE,"CY95";#N/A,#N/A,FALSE,"JFY95";#N/A,#N/A,FALSE,"Asmp97 pre";#N/A,#N/A,FALSE,"CY97calR"}</definedName>
    <definedName name="aaa" localSheetId="0">{#N/A,"OBB",FALSE,"vol";#N/A,#N/A,FALSE,"Memo";#N/A,#N/A,FALSE,"sum";#N/A,#N/A,FALSE,"CY95";#N/A,#N/A,FALSE,"JFY95";#N/A,#N/A,FALSE,"Asmp97 pre";#N/A,#N/A,FALSE,"CY97calR"}</definedName>
    <definedName name="aaa" localSheetId="2">{#N/A,"OBB",FALSE,"vol";#N/A,#N/A,FALSE,"Memo";#N/A,#N/A,FALSE,"sum";#N/A,#N/A,FALSE,"CY95";#N/A,#N/A,FALSE,"JFY95";#N/A,#N/A,FALSE,"Asmp97 pre";#N/A,#N/A,FALSE,"CY97calR"}</definedName>
    <definedName name="aaa" localSheetId="8">{#N/A,"OBB",FALSE,"vol";#N/A,#N/A,FALSE,"Memo";#N/A,#N/A,FALSE,"sum";#N/A,#N/A,FALSE,"CY95";#N/A,#N/A,FALSE,"JFY95";#N/A,#N/A,FALSE,"Asmp97 pre";#N/A,#N/A,FALSE,"CY97calR"}</definedName>
    <definedName name="aaa" localSheetId="9">{#N/A,"OBB",FALSE,"vol";#N/A,#N/A,FALSE,"Memo";#N/A,#N/A,FALSE,"sum";#N/A,#N/A,FALSE,"CY95";#N/A,#N/A,FALSE,"JFY95";#N/A,#N/A,FALSE,"Asmp97 pre";#N/A,#N/A,FALSE,"CY97calR"}</definedName>
    <definedName name="aaa" localSheetId="10">{#N/A,"OBB",FALSE,"vol";#N/A,#N/A,FALSE,"Memo";#N/A,#N/A,FALSE,"sum";#N/A,#N/A,FALSE,"CY95";#N/A,#N/A,FALSE,"JFY95";#N/A,#N/A,FALSE,"Asmp97 pre";#N/A,#N/A,FALSE,"CY97calR"}</definedName>
    <definedName name="aaa">{#N/A,"OBB",FALSE,"vol";#N/A,#N/A,FALSE,"Memo";#N/A,#N/A,FALSE,"sum";#N/A,#N/A,FALSE,"CY95";#N/A,#N/A,FALSE,"JFY95";#N/A,#N/A,FALSE,"Asmp97 pre";#N/A,#N/A,FALSE,"CY97calR"}</definedName>
    <definedName name="AAAAAAAAAAAAA">#REF!</definedName>
    <definedName name="absenteeisma" localSheetId="7">{"FME HEADCOUNT",#N/A,FALSE,"PRODHEAD"}</definedName>
    <definedName name="absenteeisma" localSheetId="0">{"FME HEADCOUNT",#N/A,FALSE,"PRODHEAD"}</definedName>
    <definedName name="absenteeisma" localSheetId="2">{"FME HEADCOUNT",#N/A,FALSE,"PRODHEAD"}</definedName>
    <definedName name="absenteeisma" localSheetId="8">{"FME HEADCOUNT",#N/A,FALSE,"PRODHEAD"}</definedName>
    <definedName name="absenteeisma" localSheetId="9">{"FME HEADCOUNT",#N/A,FALSE,"PRODHEAD"}</definedName>
    <definedName name="absenteeisma" localSheetId="10">{"FME HEADCOUNT",#N/A,FALSE,"PRODHEAD"}</definedName>
    <definedName name="absenteeisma">{"FME HEADCOUNT",#N/A,FALSE,"PRODHEAD"}</definedName>
    <definedName name="Access_Button">"X1997OBBE_Detail_List"</definedName>
    <definedName name="AccessDatabase">"G:\Budgeting\Mgt. Reports\Monthly Mgt. Rep. Final\2001\2001 Sep\Shipments  Trade Margin by Channel YTD Aug1.mdb"</definedName>
    <definedName name="achille" localSheetId="7">{"FME HEADCOUNT",#N/A,FALSE,"PRODHEAD"}</definedName>
    <definedName name="achille" localSheetId="0">{"FME HEADCOUNT",#N/A,FALSE,"PRODHEAD"}</definedName>
    <definedName name="achille" localSheetId="2">{"FME HEADCOUNT",#N/A,FALSE,"PRODHEAD"}</definedName>
    <definedName name="achille" localSheetId="8">{"FME HEADCOUNT",#N/A,FALSE,"PRODHEAD"}</definedName>
    <definedName name="achille" localSheetId="9">{"FME HEADCOUNT",#N/A,FALSE,"PRODHEAD"}</definedName>
    <definedName name="achille" localSheetId="10">{"FME HEADCOUNT",#N/A,FALSE,"PRODHEAD"}</definedName>
    <definedName name="achille">{"FME HEADCOUNT",#N/A,FALSE,"PRODHEAD"}</definedName>
    <definedName name="ad" localSheetId="7">{#N/A,#N/A,FALSE,"Aging Summary";#N/A,#N/A,FALSE,"Ratio Analysis";#N/A,#N/A,FALSE,"Test 120 Day Accts";#N/A,#N/A,FALSE,"Tickmarks"}</definedName>
    <definedName name="ad" localSheetId="0">{#N/A,#N/A,FALSE,"Aging Summary";#N/A,#N/A,FALSE,"Ratio Analysis";#N/A,#N/A,FALSE,"Test 120 Day Accts";#N/A,#N/A,FALSE,"Tickmarks"}</definedName>
    <definedName name="ad" localSheetId="2">{#N/A,#N/A,FALSE,"Aging Summary";#N/A,#N/A,FALSE,"Ratio Analysis";#N/A,#N/A,FALSE,"Test 120 Day Accts";#N/A,#N/A,FALSE,"Tickmarks"}</definedName>
    <definedName name="ad" localSheetId="8">{#N/A,#N/A,FALSE,"Aging Summary";#N/A,#N/A,FALSE,"Ratio Analysis";#N/A,#N/A,FALSE,"Test 120 Day Accts";#N/A,#N/A,FALSE,"Tickmarks"}</definedName>
    <definedName name="ad" localSheetId="9">{#N/A,#N/A,FALSE,"Aging Summary";#N/A,#N/A,FALSE,"Ratio Analysis";#N/A,#N/A,FALSE,"Test 120 Day Accts";#N/A,#N/A,FALSE,"Tickmarks"}</definedName>
    <definedName name="ad" localSheetId="10">{#N/A,#N/A,FALSE,"Aging Summary";#N/A,#N/A,FALSE,"Ratio Analysis";#N/A,#N/A,FALSE,"Test 120 Day Accts";#N/A,#N/A,FALSE,"Tickmarks"}</definedName>
    <definedName name="ad">{#N/A,#N/A,FALSE,"Aging Summary";#N/A,#N/A,FALSE,"Ratio Analysis";#N/A,#N/A,FALSE,"Test 120 Day Accts";#N/A,#N/A,FALSE,"Tickmarks"}</definedName>
    <definedName name="adfgdfghh" localSheetId="7">{"labour",#N/A,FALSE,"PRODHEAD"}</definedName>
    <definedName name="adfgdfghh" localSheetId="0">{"labour",#N/A,FALSE,"PRODHEAD"}</definedName>
    <definedName name="adfgdfghh" localSheetId="2">{"labour",#N/A,FALSE,"PRODHEAD"}</definedName>
    <definedName name="adfgdfghh" localSheetId="8">{"labour",#N/A,FALSE,"PRODHEAD"}</definedName>
    <definedName name="adfgdfghh" localSheetId="9">{"labour",#N/A,FALSE,"PRODHEAD"}</definedName>
    <definedName name="adfgdfghh" localSheetId="10">{"labour",#N/A,FALSE,"PRODHEAD"}</definedName>
    <definedName name="adfgdfghh">{"labour",#N/A,FALSE,"PRODHEAD"}</definedName>
    <definedName name="adfgsdfgsdfgdfgdf" localSheetId="7">{"US DOLLARS",#N/A,FALSE,"FMEOB96"}</definedName>
    <definedName name="adfgsdfgsdfgdfgdf" localSheetId="0">{"US DOLLARS",#N/A,FALSE,"FMEOB96"}</definedName>
    <definedName name="adfgsdfgsdfgdfgdf" localSheetId="2">{"US DOLLARS",#N/A,FALSE,"FMEOB96"}</definedName>
    <definedName name="adfgsdfgsdfgdfgdf" localSheetId="8">{"US DOLLARS",#N/A,FALSE,"FMEOB96"}</definedName>
    <definedName name="adfgsdfgsdfgdfgdf" localSheetId="9">{"US DOLLARS",#N/A,FALSE,"FMEOB96"}</definedName>
    <definedName name="adfgsdfgsdfgdfgdf" localSheetId="10">{"US DOLLARS",#N/A,FALSE,"FMEOB96"}</definedName>
    <definedName name="adfgsdfgsdfgdfgdf">{"US DOLLARS",#N/A,FALSE,"FMEOB96"}</definedName>
    <definedName name="ADGRQWERGG" localSheetId="7">{"US DOLLARS",#N/A,FALSE,"FMEOB96"}</definedName>
    <definedName name="ADGRQWERGG" localSheetId="0">{"US DOLLARS",#N/A,FALSE,"FMEOB96"}</definedName>
    <definedName name="ADGRQWERGG" localSheetId="2">{"US DOLLARS",#N/A,FALSE,"FMEOB96"}</definedName>
    <definedName name="ADGRQWERGG" localSheetId="8">{"US DOLLARS",#N/A,FALSE,"FMEOB96"}</definedName>
    <definedName name="ADGRQWERGG" localSheetId="9">{"US DOLLARS",#N/A,FALSE,"FMEOB96"}</definedName>
    <definedName name="ADGRQWERGG" localSheetId="10">{"US DOLLARS",#N/A,FALSE,"FMEOB96"}</definedName>
    <definedName name="ADGRQWERGG">{"US DOLLARS",#N/A,FALSE,"FMEOB96"}</definedName>
    <definedName name="Affordab_New" localSheetId="7">#REF!</definedName>
    <definedName name="Affordab_New" localSheetId="2">#REF!</definedName>
    <definedName name="Affordab_New" localSheetId="8">#REF!</definedName>
    <definedName name="Affordab_New" localSheetId="9">#REF!</definedName>
    <definedName name="Affordab_New" localSheetId="10">#REF!</definedName>
    <definedName name="Affordab_New">#REF!</definedName>
    <definedName name="Affordab_New2" localSheetId="7">#REF!</definedName>
    <definedName name="Affordab_New2" localSheetId="2">#REF!</definedName>
    <definedName name="Affordab_New2" localSheetId="8">#REF!</definedName>
    <definedName name="Affordab_New2" localSheetId="9">#REF!</definedName>
    <definedName name="Affordab_New2" localSheetId="10">#REF!</definedName>
    <definedName name="Affordab_New2">#REF!</definedName>
    <definedName name="agagaagagsdh" localSheetId="7">{#N/A,#N/A,FALSE,"Aging Summary";#N/A,#N/A,FALSE,"Ratio Analysis";#N/A,#N/A,FALSE,"Test 120 Day Accts";#N/A,#N/A,FALSE,"Tickmarks"}</definedName>
    <definedName name="agagaagagsdh" localSheetId="0">{#N/A,#N/A,FALSE,"Aging Summary";#N/A,#N/A,FALSE,"Ratio Analysis";#N/A,#N/A,FALSE,"Test 120 Day Accts";#N/A,#N/A,FALSE,"Tickmarks"}</definedName>
    <definedName name="agagaagagsdh" localSheetId="2">{#N/A,#N/A,FALSE,"Aging Summary";#N/A,#N/A,FALSE,"Ratio Analysis";#N/A,#N/A,FALSE,"Test 120 Day Accts";#N/A,#N/A,FALSE,"Tickmarks"}</definedName>
    <definedName name="agagaagagsdh" localSheetId="8">{#N/A,#N/A,FALSE,"Aging Summary";#N/A,#N/A,FALSE,"Ratio Analysis";#N/A,#N/A,FALSE,"Test 120 Day Accts";#N/A,#N/A,FALSE,"Tickmarks"}</definedName>
    <definedName name="agagaagagsdh" localSheetId="9">{#N/A,#N/A,FALSE,"Aging Summary";#N/A,#N/A,FALSE,"Ratio Analysis";#N/A,#N/A,FALSE,"Test 120 Day Accts";#N/A,#N/A,FALSE,"Tickmarks"}</definedName>
    <definedName name="agagaagagsdh" localSheetId="10">{#N/A,#N/A,FALSE,"Aging Summary";#N/A,#N/A,FALSE,"Ratio Analysis";#N/A,#N/A,FALSE,"Test 120 Day Accts";#N/A,#N/A,FALSE,"Tickmarks"}</definedName>
    <definedName name="agagaagagsdh">{#N/A,#N/A,FALSE,"Aging Summary";#N/A,#N/A,FALSE,"Ratio Analysis";#N/A,#N/A,FALSE,"Test 120 Day Accts";#N/A,#N/A,FALSE,"Tickmarks"}</definedName>
    <definedName name="AGRO_LMJ" localSheetId="7">{"FME HEADCOUNT",#N/A,FALSE,"PRODHEAD"}</definedName>
    <definedName name="AGRO_LMJ" localSheetId="0">{"FME HEADCOUNT",#N/A,FALSE,"PRODHEAD"}</definedName>
    <definedName name="AGRO_LMJ" localSheetId="2">{"FME HEADCOUNT",#N/A,FALSE,"PRODHEAD"}</definedName>
    <definedName name="AGRO_LMJ" localSheetId="8">{"FME HEADCOUNT",#N/A,FALSE,"PRODHEAD"}</definedName>
    <definedName name="AGRO_LMJ" localSheetId="9">{"FME HEADCOUNT",#N/A,FALSE,"PRODHEAD"}</definedName>
    <definedName name="AGRO_LMJ" localSheetId="10">{"FME HEADCOUNT",#N/A,FALSE,"PRODHEAD"}</definedName>
    <definedName name="AGRO_LMJ">{"FME HEADCOUNT",#N/A,FALSE,"PRODHEAD"}</definedName>
    <definedName name="All_Report1" localSheetId="7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8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9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7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8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9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2" localSheetId="7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2" localSheetId="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2" localSheetId="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2" localSheetId="8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2" localSheetId="9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2" localSheetId="1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2" localSheetId="7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2" localSheetId="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2" localSheetId="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2" localSheetId="8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2" localSheetId="9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2" localSheetId="1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nscount">1</definedName>
    <definedName name="as" localSheetId="7">{#N/A,#N/A,FALSE,"I.C.S.";#N/A,#N/A,FALSE,"I.C.S."}</definedName>
    <definedName name="as" localSheetId="0">{#N/A,#N/A,FALSE,"I.C.S.";#N/A,#N/A,FALSE,"I.C.S."}</definedName>
    <definedName name="as" localSheetId="2">{#N/A,#N/A,FALSE,"I.C.S.";#N/A,#N/A,FALSE,"I.C.S."}</definedName>
    <definedName name="as" localSheetId="8">{#N/A,#N/A,FALSE,"I.C.S.";#N/A,#N/A,FALSE,"I.C.S."}</definedName>
    <definedName name="as" localSheetId="9">{#N/A,#N/A,FALSE,"I.C.S.";#N/A,#N/A,FALSE,"I.C.S."}</definedName>
    <definedName name="as" localSheetId="10">{#N/A,#N/A,FALSE,"I.C.S.";#N/A,#N/A,FALSE,"I.C.S."}</definedName>
    <definedName name="as">{#N/A,#N/A,FALSE,"I.C.S.";#N/A,#N/A,FALSE,"I.C.S."}</definedName>
    <definedName name="AS2DocOpenMode">"AS2DocumentEdit"</definedName>
    <definedName name="asd" localSheetId="7">{"'TOB-Vol'!$L$2:$AD$40"}</definedName>
    <definedName name="asd" localSheetId="0">{"'TOB-Vol'!$L$2:$AD$40"}</definedName>
    <definedName name="asd" localSheetId="2">{"'TOB-Vol'!$L$2:$AD$40"}</definedName>
    <definedName name="asd" localSheetId="8">{"'TOB-Vol'!$L$2:$AD$40"}</definedName>
    <definedName name="asd" localSheetId="9">{"'TOB-Vol'!$L$2:$AD$40"}</definedName>
    <definedName name="asd" localSheetId="10">{"'TOB-Vol'!$L$2:$AD$40"}</definedName>
    <definedName name="asd">{"'TOB-Vol'!$L$2:$AD$40"}</definedName>
    <definedName name="asdf" localSheetId="7">{#N/A,#N/A,FALSE,"Exist";#N/A,#N/A,FALSE,"Option 1";#N/A,#N/A,FALSE,"Option 2"}</definedName>
    <definedName name="asdf" localSheetId="0">{#N/A,#N/A,FALSE,"Exist";#N/A,#N/A,FALSE,"Option 1";#N/A,#N/A,FALSE,"Option 2"}</definedName>
    <definedName name="asdf" localSheetId="2">{#N/A,#N/A,FALSE,"Exist";#N/A,#N/A,FALSE,"Option 1";#N/A,#N/A,FALSE,"Option 2"}</definedName>
    <definedName name="asdf" localSheetId="8">{#N/A,#N/A,FALSE,"Exist";#N/A,#N/A,FALSE,"Option 1";#N/A,#N/A,FALSE,"Option 2"}</definedName>
    <definedName name="asdf" localSheetId="9">{#N/A,#N/A,FALSE,"Exist";#N/A,#N/A,FALSE,"Option 1";#N/A,#N/A,FALSE,"Option 2"}</definedName>
    <definedName name="asdf" localSheetId="10">{#N/A,#N/A,FALSE,"Exist";#N/A,#N/A,FALSE,"Option 1";#N/A,#N/A,FALSE,"Option 2"}</definedName>
    <definedName name="asdf">{#N/A,#N/A,FALSE,"Exist";#N/A,#N/A,FALSE,"Option 1";#N/A,#N/A,FALSE,"Option 2"}</definedName>
    <definedName name="b" localSheetId="7">{#N/A,#N/A,TRUE,"A-site";#N/A,#N/A,TRUE,"B-Buildings";#N/A,#N/A,TRUE,"c-out-of-fence";#N/A,#N/A,TRUE,"d-proj.infr.";#N/A,#N/A,TRUE,"e- land"}</definedName>
    <definedName name="b" localSheetId="0">{#N/A,#N/A,TRUE,"A-site";#N/A,#N/A,TRUE,"B-Buildings";#N/A,#N/A,TRUE,"c-out-of-fence";#N/A,#N/A,TRUE,"d-proj.infr.";#N/A,#N/A,TRUE,"e- land"}</definedName>
    <definedName name="b" localSheetId="2">{#N/A,#N/A,TRUE,"A-site";#N/A,#N/A,TRUE,"B-Buildings";#N/A,#N/A,TRUE,"c-out-of-fence";#N/A,#N/A,TRUE,"d-proj.infr.";#N/A,#N/A,TRUE,"e- land"}</definedName>
    <definedName name="b" localSheetId="8">{#N/A,#N/A,TRUE,"A-site";#N/A,#N/A,TRUE,"B-Buildings";#N/A,#N/A,TRUE,"c-out-of-fence";#N/A,#N/A,TRUE,"d-proj.infr.";#N/A,#N/A,TRUE,"e- land"}</definedName>
    <definedName name="b" localSheetId="9">{#N/A,#N/A,TRUE,"A-site";#N/A,#N/A,TRUE,"B-Buildings";#N/A,#N/A,TRUE,"c-out-of-fence";#N/A,#N/A,TRUE,"d-proj.infr.";#N/A,#N/A,TRUE,"e- land"}</definedName>
    <definedName name="b" localSheetId="10">{#N/A,#N/A,TRUE,"A-site";#N/A,#N/A,TRUE,"B-Buildings";#N/A,#N/A,TRUE,"c-out-of-fence";#N/A,#N/A,TRUE,"d-proj.infr.";#N/A,#N/A,TRUE,"e- land"}</definedName>
    <definedName name="b">{#N/A,#N/A,TRUE,"A-site";#N/A,#N/A,TRUE,"B-Buildings";#N/A,#N/A,TRUE,"c-out-of-fence";#N/A,#N/A,TRUE,"d-proj.infr.";#N/A,#N/A,TRUE,"e- land"}</definedName>
    <definedName name="ba" localSheetId="7">{#N/A,#N/A,FALSE,"Aging Summary";#N/A,#N/A,FALSE,"Ratio Analysis";#N/A,#N/A,FALSE,"Test 120 Day Accts";#N/A,#N/A,FALSE,"Tickmarks"}</definedName>
    <definedName name="ba" localSheetId="0">{#N/A,#N/A,FALSE,"Aging Summary";#N/A,#N/A,FALSE,"Ratio Analysis";#N/A,#N/A,FALSE,"Test 120 Day Accts";#N/A,#N/A,FALSE,"Tickmarks"}</definedName>
    <definedName name="ba" localSheetId="2">{#N/A,#N/A,FALSE,"Aging Summary";#N/A,#N/A,FALSE,"Ratio Analysis";#N/A,#N/A,FALSE,"Test 120 Day Accts";#N/A,#N/A,FALSE,"Tickmarks"}</definedName>
    <definedName name="ba" localSheetId="8">{#N/A,#N/A,FALSE,"Aging Summary";#N/A,#N/A,FALSE,"Ratio Analysis";#N/A,#N/A,FALSE,"Test 120 Day Accts";#N/A,#N/A,FALSE,"Tickmarks"}</definedName>
    <definedName name="ba" localSheetId="9">{#N/A,#N/A,FALSE,"Aging Summary";#N/A,#N/A,FALSE,"Ratio Analysis";#N/A,#N/A,FALSE,"Test 120 Day Accts";#N/A,#N/A,FALSE,"Tickmarks"}</definedName>
    <definedName name="ba" localSheetId="10">{#N/A,#N/A,FALSE,"Aging Summary";#N/A,#N/A,FALSE,"Ratio Analysis";#N/A,#N/A,FALSE,"Test 120 Day Accts";#N/A,#N/A,FALSE,"Tickmarks"}</definedName>
    <definedName name="ba">{#N/A,#N/A,FALSE,"Aging Summary";#N/A,#N/A,FALSE,"Ratio Analysis";#N/A,#N/A,FALSE,"Test 120 Day Accts";#N/A,#N/A,FALSE,"Tickmarks"}</definedName>
    <definedName name="bb" localSheetId="7">{#N/A,#N/A,FALSE,"Aging Summary";#N/A,#N/A,FALSE,"Ratio Analysis";#N/A,#N/A,FALSE,"Test 120 Day Accts";#N/A,#N/A,FALSE,"Tickmarks"}</definedName>
    <definedName name="bb" localSheetId="0">{#N/A,#N/A,FALSE,"Aging Summary";#N/A,#N/A,FALSE,"Ratio Analysis";#N/A,#N/A,FALSE,"Test 120 Day Accts";#N/A,#N/A,FALSE,"Tickmarks"}</definedName>
    <definedName name="bb" localSheetId="2">{#N/A,#N/A,FALSE,"Aging Summary";#N/A,#N/A,FALSE,"Ratio Analysis";#N/A,#N/A,FALSE,"Test 120 Day Accts";#N/A,#N/A,FALSE,"Tickmarks"}</definedName>
    <definedName name="bb" localSheetId="8">{#N/A,#N/A,FALSE,"Aging Summary";#N/A,#N/A,FALSE,"Ratio Analysis";#N/A,#N/A,FALSE,"Test 120 Day Accts";#N/A,#N/A,FALSE,"Tickmarks"}</definedName>
    <definedName name="bb" localSheetId="9">{#N/A,#N/A,FALSE,"Aging Summary";#N/A,#N/A,FALSE,"Ratio Analysis";#N/A,#N/A,FALSE,"Test 120 Day Accts";#N/A,#N/A,FALSE,"Tickmarks"}</definedName>
    <definedName name="bb" localSheetId="10">{#N/A,#N/A,FALSE,"Aging Summary";#N/A,#N/A,FALSE,"Ratio Analysis";#N/A,#N/A,FALSE,"Test 120 Day Accts";#N/A,#N/A,FALSE,"Tickmarks"}</definedName>
    <definedName name="bb">{#N/A,#N/A,FALSE,"Aging Summary";#N/A,#N/A,FALSE,"Ratio Analysis";#N/A,#N/A,FALSE,"Test 120 Day Accts";#N/A,#N/A,FALSE,"Tickmarks"}</definedName>
    <definedName name="bbb" localSheetId="7">{#N/A,#N/A,TRUE,"A-site";#N/A,#N/A,TRUE,"B-Buildings";#N/A,#N/A,TRUE,"c-out-of-fence";#N/A,#N/A,TRUE,"d-proj.infr.";#N/A,#N/A,TRUE,"e- land"}</definedName>
    <definedName name="bbb" localSheetId="0">{#N/A,#N/A,TRUE,"A-site";#N/A,#N/A,TRUE,"B-Buildings";#N/A,#N/A,TRUE,"c-out-of-fence";#N/A,#N/A,TRUE,"d-proj.infr.";#N/A,#N/A,TRUE,"e- land"}</definedName>
    <definedName name="bbb" localSheetId="2">{#N/A,#N/A,TRUE,"A-site";#N/A,#N/A,TRUE,"B-Buildings";#N/A,#N/A,TRUE,"c-out-of-fence";#N/A,#N/A,TRUE,"d-proj.infr.";#N/A,#N/A,TRUE,"e- land"}</definedName>
    <definedName name="bbb" localSheetId="8">{#N/A,#N/A,TRUE,"A-site";#N/A,#N/A,TRUE,"B-Buildings";#N/A,#N/A,TRUE,"c-out-of-fence";#N/A,#N/A,TRUE,"d-proj.infr.";#N/A,#N/A,TRUE,"e- land"}</definedName>
    <definedName name="bbb" localSheetId="9">{#N/A,#N/A,TRUE,"A-site";#N/A,#N/A,TRUE,"B-Buildings";#N/A,#N/A,TRUE,"c-out-of-fence";#N/A,#N/A,TRUE,"d-proj.infr.";#N/A,#N/A,TRUE,"e- land"}</definedName>
    <definedName name="bbb" localSheetId="10">{#N/A,#N/A,TRUE,"A-site";#N/A,#N/A,TRUE,"B-Buildings";#N/A,#N/A,TRUE,"c-out-of-fence";#N/A,#N/A,TRUE,"d-proj.infr.";#N/A,#N/A,TRUE,"e- land"}</definedName>
    <definedName name="bbb">{#N/A,#N/A,TRUE,"A-site";#N/A,#N/A,TRUE,"B-Buildings";#N/A,#N/A,TRUE,"c-out-of-fence";#N/A,#N/A,TRUE,"d-proj.infr.";#N/A,#N/A,TRUE,"e- land"}</definedName>
    <definedName name="bnb" localSheetId="7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bnb" localSheetId="0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bnb" localSheetId="2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bnb" localSheetId="8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bnb" localSheetId="9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bnb" localSheetId="10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bnb">{"fdsup://IBCentral/FAT Viewer?action=UPDATE&amp;creator=factset&amp;DOC_NAME=fat:reuters_annual_source_window.fat&amp;display_string=Audit&amp;DYN_ARGS=TRUE&amp;VAR:ID1=030964&amp;VAR:RCODE=LTTD&amp;VAR:SDATE=20090399&amp;VAR:FREQ=Y&amp;VAR:RELITEM=RP&amp;VAR:CURRENCY=&amp;VAR:CURRSOURCE=EXSHARE&amp;VAR",":NATFREQ=ANNUAL&amp;VAR:RFIELD=FINALIZED&amp;VAR:DB_TYPE=&amp;VAR:UNITS=M&amp;window=popup&amp;width=450&amp;height=300&amp;START_MAXIMIZED=FALSE"}</definedName>
    <definedName name="BreakByWorksheet">"disabled"</definedName>
    <definedName name="bruub" localSheetId="7">#REF!</definedName>
    <definedName name="bruub" localSheetId="2">#REF!</definedName>
    <definedName name="bruub" localSheetId="8">#REF!</definedName>
    <definedName name="bruub" localSheetId="9">#REF!</definedName>
    <definedName name="bruub" localSheetId="10">#REF!</definedName>
    <definedName name="bruub">#REF!</definedName>
    <definedName name="bs" localSheetId="7">#REF!</definedName>
    <definedName name="bs" localSheetId="2">#REF!</definedName>
    <definedName name="bs" localSheetId="8">#REF!</definedName>
    <definedName name="bs" localSheetId="9">#REF!</definedName>
    <definedName name="bs" localSheetId="10">#REF!</definedName>
    <definedName name="bs">#REF!</definedName>
    <definedName name="BUM" localSheetId="7">#REF!</definedName>
    <definedName name="BUM" localSheetId="2">#REF!</definedName>
    <definedName name="BUM" localSheetId="8">#REF!</definedName>
    <definedName name="BUM" localSheetId="9">#REF!</definedName>
    <definedName name="BUM" localSheetId="10">#REF!</definedName>
    <definedName name="BUM">#REF!</definedName>
    <definedName name="Capital" localSheetId="7">#REF!</definedName>
    <definedName name="Capital" localSheetId="2">#REF!</definedName>
    <definedName name="Capital" localSheetId="8">#REF!</definedName>
    <definedName name="Capital" localSheetId="9">#REF!</definedName>
    <definedName name="Capital" localSheetId="10">#REF!</definedName>
    <definedName name="Capital">#REF!</definedName>
    <definedName name="ccirs">#REF!</definedName>
    <definedName name="Chart" localSheetId="7">{#N/A,"OBBB",FALSE,"vol";#N/A,#N/A,FALSE,"Memo";#N/A,#N/A,FALSE,"sum";#N/A,#N/A,FALSE,"CY95";#N/A,#N/A,FALSE,"JFY95";#N/A,#N/A,FALSE,"Asmp97 pre";#N/A,#N/A,FALSE,"CY97calR"}</definedName>
    <definedName name="Chart" localSheetId="0">{#N/A,"OBBB",FALSE,"vol";#N/A,#N/A,FALSE,"Memo";#N/A,#N/A,FALSE,"sum";#N/A,#N/A,FALSE,"CY95";#N/A,#N/A,FALSE,"JFY95";#N/A,#N/A,FALSE,"Asmp97 pre";#N/A,#N/A,FALSE,"CY97calR"}</definedName>
    <definedName name="Chart" localSheetId="2">{#N/A,"OBBB",FALSE,"vol";#N/A,#N/A,FALSE,"Memo";#N/A,#N/A,FALSE,"sum";#N/A,#N/A,FALSE,"CY95";#N/A,#N/A,FALSE,"JFY95";#N/A,#N/A,FALSE,"Asmp97 pre";#N/A,#N/A,FALSE,"CY97calR"}</definedName>
    <definedName name="Chart" localSheetId="8">{#N/A,"OBBB",FALSE,"vol";#N/A,#N/A,FALSE,"Memo";#N/A,#N/A,FALSE,"sum";#N/A,#N/A,FALSE,"CY95";#N/A,#N/A,FALSE,"JFY95";#N/A,#N/A,FALSE,"Asmp97 pre";#N/A,#N/A,FALSE,"CY97calR"}</definedName>
    <definedName name="Chart" localSheetId="9">{#N/A,"OBBB",FALSE,"vol";#N/A,#N/A,FALSE,"Memo";#N/A,#N/A,FALSE,"sum";#N/A,#N/A,FALSE,"CY95";#N/A,#N/A,FALSE,"JFY95";#N/A,#N/A,FALSE,"Asmp97 pre";#N/A,#N/A,FALSE,"CY97calR"}</definedName>
    <definedName name="Chart" localSheetId="10">{#N/A,"OBBB",FALSE,"vol";#N/A,#N/A,FALSE,"Memo";#N/A,#N/A,FALSE,"sum";#N/A,#N/A,FALSE,"CY95";#N/A,#N/A,FALSE,"JFY95";#N/A,#N/A,FALSE,"Asmp97 pre";#N/A,#N/A,FALSE,"CY97calR"}</definedName>
    <definedName name="Chart">{#N/A,"OBBB",FALSE,"vol";#N/A,#N/A,FALSE,"Memo";#N/A,#N/A,FALSE,"sum";#N/A,#N/A,FALSE,"CY95";#N/A,#N/A,FALSE,"JFY95";#N/A,#N/A,FALSE,"Asmp97 pre";#N/A,#N/A,FALSE,"CY97calR"}</definedName>
    <definedName name="cnbvhnm" localSheetId="7">{"FME HEADCOUNT",#N/A,FALSE,"PRODHEAD"}</definedName>
    <definedName name="cnbvhnm" localSheetId="0">{"FME HEADCOUNT",#N/A,FALSE,"PRODHEAD"}</definedName>
    <definedName name="cnbvhnm" localSheetId="2">{"FME HEADCOUNT",#N/A,FALSE,"PRODHEAD"}</definedName>
    <definedName name="cnbvhnm" localSheetId="8">{"FME HEADCOUNT",#N/A,FALSE,"PRODHEAD"}</definedName>
    <definedName name="cnbvhnm" localSheetId="9">{"FME HEADCOUNT",#N/A,FALSE,"PRODHEAD"}</definedName>
    <definedName name="cnbvhnm" localSheetId="10">{"FME HEADCOUNT",#N/A,FALSE,"PRODHEAD"}</definedName>
    <definedName name="cnbvhnm">{"FME HEADCOUNT",#N/A,FALSE,"PRODHEAD"}</definedName>
    <definedName name="cons" localSheetId="7">{"Growth Presentation",#N/A,FALSE,"Consolidated IFO";"Variance Presentation",#N/A,FALSE,"Consolidated IFO";"Backup",#N/A,FALSE,"Consolidated IFO"}</definedName>
    <definedName name="cons" localSheetId="0">{"Growth Presentation",#N/A,FALSE,"Consolidated IFO";"Variance Presentation",#N/A,FALSE,"Consolidated IFO";"Backup",#N/A,FALSE,"Consolidated IFO"}</definedName>
    <definedName name="cons" localSheetId="2">{"Growth Presentation",#N/A,FALSE,"Consolidated IFO";"Variance Presentation",#N/A,FALSE,"Consolidated IFO";"Backup",#N/A,FALSE,"Consolidated IFO"}</definedName>
    <definedName name="cons" localSheetId="8">{"Growth Presentation",#N/A,FALSE,"Consolidated IFO";"Variance Presentation",#N/A,FALSE,"Consolidated IFO";"Backup",#N/A,FALSE,"Consolidated IFO"}</definedName>
    <definedName name="cons" localSheetId="9">{"Growth Presentation",#N/A,FALSE,"Consolidated IFO";"Variance Presentation",#N/A,FALSE,"Consolidated IFO";"Backup",#N/A,FALSE,"Consolidated IFO"}</definedName>
    <definedName name="cons" localSheetId="10">{"Growth Presentation",#N/A,FALSE,"Consolidated IFO";"Variance Presentation",#N/A,FALSE,"Consolidated IFO";"Backup",#N/A,FALSE,"Consolidated IFO"}</definedName>
    <definedName name="cons">{"Growth Presentation",#N/A,FALSE,"Consolidated IFO";"Variance Presentation",#N/A,FALSE,"Consolidated IFO";"Backup",#N/A,FALSE,"Consolidated IFO"}</definedName>
    <definedName name="cu" localSheetId="7">{#N/A,#N/A,FALSE,"I.C.S.";#N/A,#N/A,FALSE,"I.C.S."}</definedName>
    <definedName name="cu" localSheetId="0">{#N/A,#N/A,FALSE,"I.C.S.";#N/A,#N/A,FALSE,"I.C.S."}</definedName>
    <definedName name="cu" localSheetId="2">{#N/A,#N/A,FALSE,"I.C.S.";#N/A,#N/A,FALSE,"I.C.S."}</definedName>
    <definedName name="cu" localSheetId="8">{#N/A,#N/A,FALSE,"I.C.S.";#N/A,#N/A,FALSE,"I.C.S."}</definedName>
    <definedName name="cu" localSheetId="9">{#N/A,#N/A,FALSE,"I.C.S.";#N/A,#N/A,FALSE,"I.C.S."}</definedName>
    <definedName name="cu" localSheetId="10">{#N/A,#N/A,FALSE,"I.C.S.";#N/A,#N/A,FALSE,"I.C.S."}</definedName>
    <definedName name="cu">{#N/A,#N/A,FALSE,"I.C.S.";#N/A,#N/A,FALSE,"I.C.S."}</definedName>
    <definedName name="d" localSheetId="7">{#N/A,#N/A,TRUE,"A-site";#N/A,#N/A,TRUE,"B-Buildings";#N/A,#N/A,TRUE,"c-out-of-fence";#N/A,#N/A,TRUE,"d-proj.infr.";#N/A,#N/A,TRUE,"e- land"}</definedName>
    <definedName name="d" localSheetId="0">{#N/A,#N/A,TRUE,"A-site";#N/A,#N/A,TRUE,"B-Buildings";#N/A,#N/A,TRUE,"c-out-of-fence";#N/A,#N/A,TRUE,"d-proj.infr.";#N/A,#N/A,TRUE,"e- land"}</definedName>
    <definedName name="d" localSheetId="2">{#N/A,#N/A,TRUE,"A-site";#N/A,#N/A,TRUE,"B-Buildings";#N/A,#N/A,TRUE,"c-out-of-fence";#N/A,#N/A,TRUE,"d-proj.infr.";#N/A,#N/A,TRUE,"e- land"}</definedName>
    <definedName name="d" localSheetId="8">{#N/A,#N/A,TRUE,"A-site";#N/A,#N/A,TRUE,"B-Buildings";#N/A,#N/A,TRUE,"c-out-of-fence";#N/A,#N/A,TRUE,"d-proj.infr.";#N/A,#N/A,TRUE,"e- land"}</definedName>
    <definedName name="d" localSheetId="9">{#N/A,#N/A,TRUE,"A-site";#N/A,#N/A,TRUE,"B-Buildings";#N/A,#N/A,TRUE,"c-out-of-fence";#N/A,#N/A,TRUE,"d-proj.infr.";#N/A,#N/A,TRUE,"e- land"}</definedName>
    <definedName name="d" localSheetId="10">{#N/A,#N/A,TRUE,"A-site";#N/A,#N/A,TRUE,"B-Buildings";#N/A,#N/A,TRUE,"c-out-of-fence";#N/A,#N/A,TRUE,"d-proj.infr.";#N/A,#N/A,TRUE,"e- land"}</definedName>
    <definedName name="d">{#N/A,#N/A,TRUE,"A-site";#N/A,#N/A,TRUE,"B-Buildings";#N/A,#N/A,TRUE,"c-out-of-fence";#N/A,#N/A,TRUE,"d-proj.infr.";#N/A,#N/A,TRUE,"e- land"}</definedName>
    <definedName name="d_stock" localSheetId="7">{"US DOLLARS",#N/A,FALSE,"FMEOB96"}</definedName>
    <definedName name="d_stock" localSheetId="0">{"US DOLLARS",#N/A,FALSE,"FMEOB96"}</definedName>
    <definedName name="d_stock" localSheetId="2">{"US DOLLARS",#N/A,FALSE,"FMEOB96"}</definedName>
    <definedName name="d_stock" localSheetId="8">{"US DOLLARS",#N/A,FALSE,"FMEOB96"}</definedName>
    <definedName name="d_stock" localSheetId="9">{"US DOLLARS",#N/A,FALSE,"FMEOB96"}</definedName>
    <definedName name="d_stock" localSheetId="10">{"US DOLLARS",#N/A,FALSE,"FMEOB96"}</definedName>
    <definedName name="d_stock">{"US DOLLARS",#N/A,FALSE,"FMEOB96"}</definedName>
    <definedName name="DATA1" localSheetId="7">#REF!</definedName>
    <definedName name="DATA1" localSheetId="8">#REF!</definedName>
    <definedName name="DATA1" localSheetId="9">#REF!</definedName>
    <definedName name="DATA1" localSheetId="10">#REF!</definedName>
    <definedName name="DATA1">#REF!</definedName>
    <definedName name="DATA10" localSheetId="7">#REF!</definedName>
    <definedName name="DATA10" localSheetId="8">#REF!</definedName>
    <definedName name="DATA10" localSheetId="9">#REF!</definedName>
    <definedName name="DATA10" localSheetId="10">#REF!</definedName>
    <definedName name="DATA10">#REF!</definedName>
    <definedName name="DATA11" localSheetId="7">#REF!</definedName>
    <definedName name="DATA11" localSheetId="8">#REF!</definedName>
    <definedName name="DATA11" localSheetId="9">#REF!</definedName>
    <definedName name="DATA11" localSheetId="10">#REF!</definedName>
    <definedName name="DATA11">#REF!</definedName>
    <definedName name="DATA12" localSheetId="7">#REF!</definedName>
    <definedName name="DATA12" localSheetId="8">#REF!</definedName>
    <definedName name="DATA12" localSheetId="9">#REF!</definedName>
    <definedName name="DATA12" localSheetId="10">#REF!</definedName>
    <definedName name="DATA12">#REF!</definedName>
    <definedName name="DATA13" localSheetId="7">#REF!</definedName>
    <definedName name="DATA13" localSheetId="8">#REF!</definedName>
    <definedName name="DATA13" localSheetId="9">#REF!</definedName>
    <definedName name="DATA13" localSheetId="10">#REF!</definedName>
    <definedName name="DATA13">#REF!</definedName>
    <definedName name="DATA14" localSheetId="7">#REF!</definedName>
    <definedName name="DATA14" localSheetId="8">#REF!</definedName>
    <definedName name="DATA14" localSheetId="9">#REF!</definedName>
    <definedName name="DATA14" localSheetId="10">#REF!</definedName>
    <definedName name="DATA14">#REF!</definedName>
    <definedName name="DATA15" localSheetId="7">#REF!</definedName>
    <definedName name="DATA15" localSheetId="8">#REF!</definedName>
    <definedName name="DATA15" localSheetId="9">#REF!</definedName>
    <definedName name="DATA15" localSheetId="10">#REF!</definedName>
    <definedName name="DATA15">#REF!</definedName>
    <definedName name="DATA16" localSheetId="7">#REF!</definedName>
    <definedName name="DATA16" localSheetId="8">#REF!</definedName>
    <definedName name="DATA16" localSheetId="9">#REF!</definedName>
    <definedName name="DATA16" localSheetId="10">#REF!</definedName>
    <definedName name="DATA16">#REF!</definedName>
    <definedName name="DATA17" localSheetId="7">#REF!</definedName>
    <definedName name="DATA17" localSheetId="8">#REF!</definedName>
    <definedName name="DATA17" localSheetId="9">#REF!</definedName>
    <definedName name="DATA17" localSheetId="10">#REF!</definedName>
    <definedName name="DATA17">#REF!</definedName>
    <definedName name="DATA18" localSheetId="7">#REF!</definedName>
    <definedName name="DATA18" localSheetId="8">#REF!</definedName>
    <definedName name="DATA18" localSheetId="9">#REF!</definedName>
    <definedName name="DATA18" localSheetId="10">#REF!</definedName>
    <definedName name="DATA18">#REF!</definedName>
    <definedName name="DATA19" localSheetId="7">#REF!</definedName>
    <definedName name="DATA19" localSheetId="8">#REF!</definedName>
    <definedName name="DATA19" localSheetId="9">#REF!</definedName>
    <definedName name="DATA19" localSheetId="10">#REF!</definedName>
    <definedName name="DATA19">#REF!</definedName>
    <definedName name="DATA2" localSheetId="7">#REF!</definedName>
    <definedName name="DATA2" localSheetId="8">#REF!</definedName>
    <definedName name="DATA2" localSheetId="9">#REF!</definedName>
    <definedName name="DATA2" localSheetId="10">#REF!</definedName>
    <definedName name="DATA2">#REF!</definedName>
    <definedName name="DATA20" localSheetId="7">#REF!</definedName>
    <definedName name="DATA20" localSheetId="8">#REF!</definedName>
    <definedName name="DATA20" localSheetId="9">#REF!</definedName>
    <definedName name="DATA20" localSheetId="10">#REF!</definedName>
    <definedName name="DATA20">#REF!</definedName>
    <definedName name="DATA3" localSheetId="7">#REF!</definedName>
    <definedName name="DATA3" localSheetId="8">#REF!</definedName>
    <definedName name="DATA3" localSheetId="9">#REF!</definedName>
    <definedName name="DATA3" localSheetId="10">#REF!</definedName>
    <definedName name="DATA3">#REF!</definedName>
    <definedName name="DATA4" localSheetId="7">#REF!</definedName>
    <definedName name="DATA4" localSheetId="8">#REF!</definedName>
    <definedName name="DATA4" localSheetId="9">#REF!</definedName>
    <definedName name="DATA4" localSheetId="10">#REF!</definedName>
    <definedName name="DATA4">#REF!</definedName>
    <definedName name="DATA5" localSheetId="7">#REF!</definedName>
    <definedName name="DATA5" localSheetId="8">#REF!</definedName>
    <definedName name="DATA5" localSheetId="9">#REF!</definedName>
    <definedName name="DATA5" localSheetId="10">#REF!</definedName>
    <definedName name="DATA5">#REF!</definedName>
    <definedName name="DATA6" localSheetId="7">#REF!</definedName>
    <definedName name="DATA6" localSheetId="8">#REF!</definedName>
    <definedName name="DATA6" localSheetId="9">#REF!</definedName>
    <definedName name="DATA6" localSheetId="10">#REF!</definedName>
    <definedName name="DATA6">#REF!</definedName>
    <definedName name="DATA7" localSheetId="7">#REF!</definedName>
    <definedName name="DATA7" localSheetId="8">#REF!</definedName>
    <definedName name="DATA7" localSheetId="9">#REF!</definedName>
    <definedName name="DATA7" localSheetId="10">#REF!</definedName>
    <definedName name="DATA7">#REF!</definedName>
    <definedName name="DATA8" localSheetId="7">#REF!</definedName>
    <definedName name="DATA8" localSheetId="8">#REF!</definedName>
    <definedName name="DATA8" localSheetId="9">#REF!</definedName>
    <definedName name="DATA8" localSheetId="10">#REF!</definedName>
    <definedName name="DATA8">#REF!</definedName>
    <definedName name="DATA9" localSheetId="7">#REF!</definedName>
    <definedName name="DATA9" localSheetId="8">#REF!</definedName>
    <definedName name="DATA9" localSheetId="9">#REF!</definedName>
    <definedName name="DATA9" localSheetId="10">#REF!</definedName>
    <definedName name="DATA9">#REF!</definedName>
    <definedName name="dd" localSheetId="7">#REF!</definedName>
    <definedName name="dd" localSheetId="2">#REF!</definedName>
    <definedName name="dd" localSheetId="8">#REF!</definedName>
    <definedName name="dd" localSheetId="9">#REF!</definedName>
    <definedName name="dd" localSheetId="10">#REF!</definedName>
    <definedName name="dd">#REF!</definedName>
    <definedName name="ddc" localSheetId="7">#REF!</definedName>
    <definedName name="ddc" localSheetId="2">#REF!</definedName>
    <definedName name="ddc" localSheetId="8">#REF!</definedName>
    <definedName name="ddc" localSheetId="9">#REF!</definedName>
    <definedName name="ddc" localSheetId="10">#REF!</definedName>
    <definedName name="ddc">#REF!</definedName>
    <definedName name="ddd" localSheetId="7">{#N/A,#N/A,FALSE,"FMEOB96"}</definedName>
    <definedName name="ddd" localSheetId="0">{#N/A,#N/A,FALSE,"FMEOB96"}</definedName>
    <definedName name="ddd" localSheetId="2">{#N/A,#N/A,FALSE,"FMEOB96"}</definedName>
    <definedName name="ddd" localSheetId="8">{#N/A,#N/A,FALSE,"FMEOB96"}</definedName>
    <definedName name="ddd" localSheetId="9">{#N/A,#N/A,FALSE,"FMEOB96"}</definedName>
    <definedName name="ddd" localSheetId="10">{#N/A,#N/A,FALSE,"FMEOB96"}</definedName>
    <definedName name="ddd">{#N/A,#N/A,FALSE,"FMEOB96"}</definedName>
    <definedName name="dddd" localSheetId="7">{#N/A,#N/A,FALSE,"FMEOB96"}</definedName>
    <definedName name="dddd" localSheetId="0">{#N/A,#N/A,FALSE,"FMEOB96"}</definedName>
    <definedName name="dddd" localSheetId="2">{#N/A,#N/A,FALSE,"FMEOB96"}</definedName>
    <definedName name="dddd" localSheetId="8">{#N/A,#N/A,FALSE,"FMEOB96"}</definedName>
    <definedName name="dddd" localSheetId="9">{#N/A,#N/A,FALSE,"FMEOB96"}</definedName>
    <definedName name="dddd" localSheetId="10">{#N/A,#N/A,FALSE,"FMEOB96"}</definedName>
    <definedName name="dddd">{#N/A,#N/A,FALSE,"FMEOB96"}</definedName>
    <definedName name="ddee" localSheetId="7">{#N/A,#N/A,FALSE,"Exist";#N/A,#N/A,FALSE,"Option 1";#N/A,#N/A,FALSE,"Option 2"}</definedName>
    <definedName name="ddee" localSheetId="0">{#N/A,#N/A,FALSE,"Exist";#N/A,#N/A,FALSE,"Option 1";#N/A,#N/A,FALSE,"Option 2"}</definedName>
    <definedName name="ddee" localSheetId="2">{#N/A,#N/A,FALSE,"Exist";#N/A,#N/A,FALSE,"Option 1";#N/A,#N/A,FALSE,"Option 2"}</definedName>
    <definedName name="ddee" localSheetId="8">{#N/A,#N/A,FALSE,"Exist";#N/A,#N/A,FALSE,"Option 1";#N/A,#N/A,FALSE,"Option 2"}</definedName>
    <definedName name="ddee" localSheetId="9">{#N/A,#N/A,FALSE,"Exist";#N/A,#N/A,FALSE,"Option 1";#N/A,#N/A,FALSE,"Option 2"}</definedName>
    <definedName name="ddee" localSheetId="10">{#N/A,#N/A,FALSE,"Exist";#N/A,#N/A,FALSE,"Option 1";#N/A,#N/A,FALSE,"Option 2"}</definedName>
    <definedName name="ddee">{#N/A,#N/A,FALSE,"Exist";#N/A,#N/A,FALSE,"Option 1";#N/A,#N/A,FALSE,"Option 2"}</definedName>
    <definedName name="dds" localSheetId="7">{"FME HEADCOUNT",#N/A,FALSE,"PRODHEAD"}</definedName>
    <definedName name="dds" localSheetId="0">{"FME HEADCOUNT",#N/A,FALSE,"PRODHEAD"}</definedName>
    <definedName name="dds" localSheetId="2">{"FME HEADCOUNT",#N/A,FALSE,"PRODHEAD"}</definedName>
    <definedName name="dds" localSheetId="8">{"FME HEADCOUNT",#N/A,FALSE,"PRODHEAD"}</definedName>
    <definedName name="dds" localSheetId="9">{"FME HEADCOUNT",#N/A,FALSE,"PRODHEAD"}</definedName>
    <definedName name="dds" localSheetId="10">{"FME HEADCOUNT",#N/A,FALSE,"PRODHEAD"}</definedName>
    <definedName name="dds">{"FME HEADCOUNT",#N/A,FALSE,"PRODHEAD"}</definedName>
    <definedName name="df" localSheetId="7">#REF!</definedName>
    <definedName name="df" localSheetId="2">#REF!</definedName>
    <definedName name="df" localSheetId="8">#REF!</definedName>
    <definedName name="df" localSheetId="9">#REF!</definedName>
    <definedName name="df" localSheetId="10">#REF!</definedName>
    <definedName name="df">#REF!</definedName>
    <definedName name="dfjh" localSheetId="7">{"FME HEADCOUNT",#N/A,FALSE,"PRODHEAD"}</definedName>
    <definedName name="dfjh" localSheetId="0">{"FME HEADCOUNT",#N/A,FALSE,"PRODHEAD"}</definedName>
    <definedName name="dfjh" localSheetId="2">{"FME HEADCOUNT",#N/A,FALSE,"PRODHEAD"}</definedName>
    <definedName name="dfjh" localSheetId="8">{"FME HEADCOUNT",#N/A,FALSE,"PRODHEAD"}</definedName>
    <definedName name="dfjh" localSheetId="9">{"FME HEADCOUNT",#N/A,FALSE,"PRODHEAD"}</definedName>
    <definedName name="dfjh" localSheetId="10">{"FME HEADCOUNT",#N/A,FALSE,"PRODHEAD"}</definedName>
    <definedName name="dfjh">{"FME HEADCOUNT",#N/A,FALSE,"PRODHEAD"}</definedName>
    <definedName name="Discount">#REF!</definedName>
    <definedName name="display_area_2" localSheetId="7">#REF!</definedName>
    <definedName name="display_area_2" localSheetId="8">#REF!</definedName>
    <definedName name="display_area_2" localSheetId="9">#REF!</definedName>
    <definedName name="display_area_2" localSheetId="10">#REF!</definedName>
    <definedName name="display_area_2">#REF!</definedName>
    <definedName name="drjdrhjd55" localSheetId="7">{#N/A,#N/A,FALSE,"Aging Summary";#N/A,#N/A,FALSE,"Ratio Analysis";#N/A,#N/A,FALSE,"Test 120 Day Accts";#N/A,#N/A,FALSE,"Tickmarks"}</definedName>
    <definedName name="drjdrhjd55" localSheetId="0">{#N/A,#N/A,FALSE,"Aging Summary";#N/A,#N/A,FALSE,"Ratio Analysis";#N/A,#N/A,FALSE,"Test 120 Day Accts";#N/A,#N/A,FALSE,"Tickmarks"}</definedName>
    <definedName name="drjdrhjd55" localSheetId="2">{#N/A,#N/A,FALSE,"Aging Summary";#N/A,#N/A,FALSE,"Ratio Analysis";#N/A,#N/A,FALSE,"Test 120 Day Accts";#N/A,#N/A,FALSE,"Tickmarks"}</definedName>
    <definedName name="drjdrhjd55" localSheetId="8">{#N/A,#N/A,FALSE,"Aging Summary";#N/A,#N/A,FALSE,"Ratio Analysis";#N/A,#N/A,FALSE,"Test 120 Day Accts";#N/A,#N/A,FALSE,"Tickmarks"}</definedName>
    <definedName name="drjdrhjd55" localSheetId="9">{#N/A,#N/A,FALSE,"Aging Summary";#N/A,#N/A,FALSE,"Ratio Analysis";#N/A,#N/A,FALSE,"Test 120 Day Accts";#N/A,#N/A,FALSE,"Tickmarks"}</definedName>
    <definedName name="drjdrhjd55" localSheetId="10">{#N/A,#N/A,FALSE,"Aging Summary";#N/A,#N/A,FALSE,"Ratio Analysis";#N/A,#N/A,FALSE,"Test 120 Day Accts";#N/A,#N/A,FALSE,"Tickmarks"}</definedName>
    <definedName name="drjdrhjd55">{#N/A,#N/A,FALSE,"Aging Summary";#N/A,#N/A,FALSE,"Ratio Analysis";#N/A,#N/A,FALSE,"Test 120 Day Accts";#N/A,#N/A,FALSE,"Tickmarks"}</definedName>
    <definedName name="DynamicTree">"disabled"</definedName>
    <definedName name="ea" localSheetId="7">{#N/A,#N/A,FALSE,"Aging Summary";#N/A,#N/A,FALSE,"Ratio Analysis";#N/A,#N/A,FALSE,"Test 120 Day Accts";#N/A,#N/A,FALSE,"Tickmarks"}</definedName>
    <definedName name="ea" localSheetId="0">{#N/A,#N/A,FALSE,"Aging Summary";#N/A,#N/A,FALSE,"Ratio Analysis";#N/A,#N/A,FALSE,"Test 120 Day Accts";#N/A,#N/A,FALSE,"Tickmarks"}</definedName>
    <definedName name="ea" localSheetId="2">{#N/A,#N/A,FALSE,"Aging Summary";#N/A,#N/A,FALSE,"Ratio Analysis";#N/A,#N/A,FALSE,"Test 120 Day Accts";#N/A,#N/A,FALSE,"Tickmarks"}</definedName>
    <definedName name="ea" localSheetId="8">{#N/A,#N/A,FALSE,"Aging Summary";#N/A,#N/A,FALSE,"Ratio Analysis";#N/A,#N/A,FALSE,"Test 120 Day Accts";#N/A,#N/A,FALSE,"Tickmarks"}</definedName>
    <definedName name="ea" localSheetId="9">{#N/A,#N/A,FALSE,"Aging Summary";#N/A,#N/A,FALSE,"Ratio Analysis";#N/A,#N/A,FALSE,"Test 120 Day Accts";#N/A,#N/A,FALSE,"Tickmarks"}</definedName>
    <definedName name="ea" localSheetId="10">{#N/A,#N/A,FALSE,"Aging Summary";#N/A,#N/A,FALSE,"Ratio Analysis";#N/A,#N/A,FALSE,"Test 120 Day Accts";#N/A,#N/A,FALSE,"Tickmarks"}</definedName>
    <definedName name="ea">{#N/A,#N/A,FALSE,"Aging Summary";#N/A,#N/A,FALSE,"Ratio Analysis";#N/A,#N/A,FALSE,"Test 120 Day Accts";#N/A,#N/A,FALSE,"Tickmarks"}</definedName>
    <definedName name="eee" localSheetId="7">{#N/A,#N/A,FALSE,"Aging Summary";#N/A,#N/A,FALSE,"Ratio Analysis";#N/A,#N/A,FALSE,"Test 120 Day Accts";#N/A,#N/A,FALSE,"Tickmarks"}</definedName>
    <definedName name="eee" localSheetId="0">{#N/A,#N/A,FALSE,"Aging Summary";#N/A,#N/A,FALSE,"Ratio Analysis";#N/A,#N/A,FALSE,"Test 120 Day Accts";#N/A,#N/A,FALSE,"Tickmarks"}</definedName>
    <definedName name="eee" localSheetId="2">{#N/A,#N/A,FALSE,"Aging Summary";#N/A,#N/A,FALSE,"Ratio Analysis";#N/A,#N/A,FALSE,"Test 120 Day Accts";#N/A,#N/A,FALSE,"Tickmarks"}</definedName>
    <definedName name="eee" localSheetId="8">{#N/A,#N/A,FALSE,"Aging Summary";#N/A,#N/A,FALSE,"Ratio Analysis";#N/A,#N/A,FALSE,"Test 120 Day Accts";#N/A,#N/A,FALSE,"Tickmarks"}</definedName>
    <definedName name="eee" localSheetId="9">{#N/A,#N/A,FALSE,"Aging Summary";#N/A,#N/A,FALSE,"Ratio Analysis";#N/A,#N/A,FALSE,"Test 120 Day Accts";#N/A,#N/A,FALSE,"Tickmarks"}</definedName>
    <definedName name="eee" localSheetId="10">{#N/A,#N/A,FALSE,"Aging Summary";#N/A,#N/A,FALSE,"Ratio Analysis";#N/A,#N/A,FALSE,"Test 120 Day Accts";#N/A,#N/A,FALSE,"Tickmarks"}</definedName>
    <definedName name="eee">{#N/A,#N/A,FALSE,"Aging Summary";#N/A,#N/A,FALSE,"Ratio Analysis";#N/A,#N/A,FALSE,"Test 120 Day Accts";#N/A,#N/A,FALSE,"Tickmarks"}</definedName>
    <definedName name="eeee" localSheetId="7">{#N/A,#N/A,FALSE,"Exist";#N/A,#N/A,FALSE,"Option 1";#N/A,#N/A,FALSE,"Option 2"}</definedName>
    <definedName name="eeee" localSheetId="0">{#N/A,#N/A,FALSE,"Exist";#N/A,#N/A,FALSE,"Option 1";#N/A,#N/A,FALSE,"Option 2"}</definedName>
    <definedName name="eeee" localSheetId="2">{#N/A,#N/A,FALSE,"Exist";#N/A,#N/A,FALSE,"Option 1";#N/A,#N/A,FALSE,"Option 2"}</definedName>
    <definedName name="eeee" localSheetId="8">{#N/A,#N/A,FALSE,"Exist";#N/A,#N/A,FALSE,"Option 1";#N/A,#N/A,FALSE,"Option 2"}</definedName>
    <definedName name="eeee" localSheetId="9">{#N/A,#N/A,FALSE,"Exist";#N/A,#N/A,FALSE,"Option 1";#N/A,#N/A,FALSE,"Option 2"}</definedName>
    <definedName name="eeee" localSheetId="10">{#N/A,#N/A,FALSE,"Exist";#N/A,#N/A,FALSE,"Option 1";#N/A,#N/A,FALSE,"Option 2"}</definedName>
    <definedName name="eeee">{#N/A,#N/A,FALSE,"Exist";#N/A,#N/A,FALSE,"Option 1";#N/A,#N/A,FALSE,"Option 2"}</definedName>
    <definedName name="èèèèè" localSheetId="7">{#N/A,#N/A,FALSE,"FMEOB96"}</definedName>
    <definedName name="èèèèè" localSheetId="0">{#N/A,#N/A,FALSE,"FMEOB96"}</definedName>
    <definedName name="èèèèè" localSheetId="2">{#N/A,#N/A,FALSE,"FMEOB96"}</definedName>
    <definedName name="èèèèè" localSheetId="8">{#N/A,#N/A,FALSE,"FMEOB96"}</definedName>
    <definedName name="èèèèè" localSheetId="9">{#N/A,#N/A,FALSE,"FMEOB96"}</definedName>
    <definedName name="èèèèè" localSheetId="10">{#N/A,#N/A,FALSE,"FMEOB96"}</definedName>
    <definedName name="èèèèè">{#N/A,#N/A,FALSE,"FMEOB96"}</definedName>
    <definedName name="End_Column">50</definedName>
    <definedName name="End_Row">13</definedName>
    <definedName name="erd43edf5" localSheetId="7">#REF!</definedName>
    <definedName name="erd43edf5" localSheetId="2">#REF!</definedName>
    <definedName name="erd43edf5" localSheetId="8">#REF!</definedName>
    <definedName name="erd43edf5" localSheetId="9">#REF!</definedName>
    <definedName name="erd43edf5" localSheetId="10">#REF!</definedName>
    <definedName name="erd43edf5">#REF!</definedName>
    <definedName name="es" localSheetId="7">{#N/A,#N/A,FALSE,"Aging Summary";#N/A,#N/A,FALSE,"Ratio Analysis";#N/A,#N/A,FALSE,"Test 120 Day Accts";#N/A,#N/A,FALSE,"Tickmarks"}</definedName>
    <definedName name="es" localSheetId="0">{#N/A,#N/A,FALSE,"Aging Summary";#N/A,#N/A,FALSE,"Ratio Analysis";#N/A,#N/A,FALSE,"Test 120 Day Accts";#N/A,#N/A,FALSE,"Tickmarks"}</definedName>
    <definedName name="es" localSheetId="2">{#N/A,#N/A,FALSE,"Aging Summary";#N/A,#N/A,FALSE,"Ratio Analysis";#N/A,#N/A,FALSE,"Test 120 Day Accts";#N/A,#N/A,FALSE,"Tickmarks"}</definedName>
    <definedName name="es" localSheetId="8">{#N/A,#N/A,FALSE,"Aging Summary";#N/A,#N/A,FALSE,"Ratio Analysis";#N/A,#N/A,FALSE,"Test 120 Day Accts";#N/A,#N/A,FALSE,"Tickmarks"}</definedName>
    <definedName name="es" localSheetId="9">{#N/A,#N/A,FALSE,"Aging Summary";#N/A,#N/A,FALSE,"Ratio Analysis";#N/A,#N/A,FALSE,"Test 120 Day Accts";#N/A,#N/A,FALSE,"Tickmarks"}</definedName>
    <definedName name="es" localSheetId="10">{#N/A,#N/A,FALSE,"Aging Summary";#N/A,#N/A,FALSE,"Ratio Analysis";#N/A,#N/A,FALSE,"Test 120 Day Accts";#N/A,#N/A,FALSE,"Tickmarks"}</definedName>
    <definedName name="es">{#N/A,#N/A,FALSE,"Aging Summary";#N/A,#N/A,FALSE,"Ratio Analysis";#N/A,#N/A,FALSE,"Test 120 Day Accts";#N/A,#N/A,FALSE,"Tickmarks"}</definedName>
    <definedName name="Expense" localSheetId="7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Expense" localSheetId="0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Expense" localSheetId="2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Expense" localSheetId="8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Expense" localSheetId="9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Expense" localSheetId="10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Expense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eywwqq" localSheetId="7">{#N/A,#N/A,FALSE,"Aging Summary";#N/A,#N/A,FALSE,"Ratio Analysis";#N/A,#N/A,FALSE,"Test 120 Day Accts";#N/A,#N/A,FALSE,"Tickmarks"}</definedName>
    <definedName name="eywwqq" localSheetId="0">{#N/A,#N/A,FALSE,"Aging Summary";#N/A,#N/A,FALSE,"Ratio Analysis";#N/A,#N/A,FALSE,"Test 120 Day Accts";#N/A,#N/A,FALSE,"Tickmarks"}</definedName>
    <definedName name="eywwqq" localSheetId="2">{#N/A,#N/A,FALSE,"Aging Summary";#N/A,#N/A,FALSE,"Ratio Analysis";#N/A,#N/A,FALSE,"Test 120 Day Accts";#N/A,#N/A,FALSE,"Tickmarks"}</definedName>
    <definedName name="eywwqq" localSheetId="8">{#N/A,#N/A,FALSE,"Aging Summary";#N/A,#N/A,FALSE,"Ratio Analysis";#N/A,#N/A,FALSE,"Test 120 Day Accts";#N/A,#N/A,FALSE,"Tickmarks"}</definedName>
    <definedName name="eywwqq" localSheetId="9">{#N/A,#N/A,FALSE,"Aging Summary";#N/A,#N/A,FALSE,"Ratio Analysis";#N/A,#N/A,FALSE,"Test 120 Day Accts";#N/A,#N/A,FALSE,"Tickmarks"}</definedName>
    <definedName name="eywwqq" localSheetId="10">{#N/A,#N/A,FALSE,"Aging Summary";#N/A,#N/A,FALSE,"Ratio Analysis";#N/A,#N/A,FALSE,"Test 120 Day Accts";#N/A,#N/A,FALSE,"Tickmarks"}</definedName>
    <definedName name="eywwqq">{#N/A,#N/A,FALSE,"Aging Summary";#N/A,#N/A,FALSE,"Ratio Analysis";#N/A,#N/A,FALSE,"Test 120 Day Accts";#N/A,#N/A,FALSE,"Tickmarks"}</definedName>
    <definedName name="f" localSheetId="7">{"US DOLLARS",#N/A,FALSE,"FMEOB96"}</definedName>
    <definedName name="f" localSheetId="0">{"US DOLLARS",#N/A,FALSE,"FMEOB96"}</definedName>
    <definedName name="f" localSheetId="2">{"US DOLLARS",#N/A,FALSE,"FMEOB96"}</definedName>
    <definedName name="f" localSheetId="8">{"US DOLLARS",#N/A,FALSE,"FMEOB96"}</definedName>
    <definedName name="f" localSheetId="9">{"US DOLLARS",#N/A,FALSE,"FMEOB96"}</definedName>
    <definedName name="f" localSheetId="10">{"US DOLLARS",#N/A,FALSE,"FMEOB96"}</definedName>
    <definedName name="f">{"US DOLLARS",#N/A,FALSE,"FMEOB96"}</definedName>
    <definedName name="fa" localSheetId="7">#REF!</definedName>
    <definedName name="fa" localSheetId="2">#REF!</definedName>
    <definedName name="fa" localSheetId="8">#REF!</definedName>
    <definedName name="fa" localSheetId="9">#REF!</definedName>
    <definedName name="fa" localSheetId="10">#REF!</definedName>
    <definedName name="fa">#REF!</definedName>
    <definedName name="fasfasf" localSheetId="7">#REF!</definedName>
    <definedName name="fasfasf" localSheetId="8">#REF!</definedName>
    <definedName name="fasfasf" localSheetId="9">#REF!</definedName>
    <definedName name="fasfasf" localSheetId="10">#REF!</definedName>
    <definedName name="fasfasf">#REF!</definedName>
    <definedName name="FCode" localSheetId="7">#REF!</definedName>
    <definedName name="FCode" localSheetId="8">#REF!</definedName>
    <definedName name="FCode" localSheetId="9">#REF!</definedName>
    <definedName name="FCode" localSheetId="10">#REF!</definedName>
    <definedName name="FCode">#REF!</definedName>
    <definedName name="fdf" localSheetId="7">{"'TOB-Vol'!$L$2:$AD$40"}</definedName>
    <definedName name="fdf" localSheetId="0">{"'TOB-Vol'!$L$2:$AD$40"}</definedName>
    <definedName name="fdf" localSheetId="2">{"'TOB-Vol'!$L$2:$AD$40"}</definedName>
    <definedName name="fdf" localSheetId="8">{"'TOB-Vol'!$L$2:$AD$40"}</definedName>
    <definedName name="fdf" localSheetId="9">{"'TOB-Vol'!$L$2:$AD$40"}</definedName>
    <definedName name="fdf" localSheetId="10">{"'TOB-Vol'!$L$2:$AD$40"}</definedName>
    <definedName name="fdf">{"'TOB-Vol'!$L$2:$AD$40"}</definedName>
    <definedName name="feafea">#REF!</definedName>
    <definedName name="ff" localSheetId="7">{"FME HEADCOUNT",#N/A,FALSE,"PRODHEAD"}</definedName>
    <definedName name="ff" localSheetId="0">{"FME HEADCOUNT",#N/A,FALSE,"PRODHEAD"}</definedName>
    <definedName name="ff" localSheetId="2">{"FME HEADCOUNT",#N/A,FALSE,"PRODHEAD"}</definedName>
    <definedName name="ff" localSheetId="8">{"FME HEADCOUNT",#N/A,FALSE,"PRODHEAD"}</definedName>
    <definedName name="ff" localSheetId="9">{"FME HEADCOUNT",#N/A,FALSE,"PRODHEAD"}</definedName>
    <definedName name="ff" localSheetId="10">{"FME HEADCOUNT",#N/A,FALSE,"PRODHEAD"}</definedName>
    <definedName name="ff">{"FME HEADCOUNT",#N/A,FALSE,"PRODHEAD"}</definedName>
    <definedName name="ffdd" localSheetId="7">{#N/A,#N/A,FALSE,"Exist";#N/A,#N/A,FALSE,"Option 1";#N/A,#N/A,FALSE,"Option 2"}</definedName>
    <definedName name="ffdd" localSheetId="0">{#N/A,#N/A,FALSE,"Exist";#N/A,#N/A,FALSE,"Option 1";#N/A,#N/A,FALSE,"Option 2"}</definedName>
    <definedName name="ffdd" localSheetId="2">{#N/A,#N/A,FALSE,"Exist";#N/A,#N/A,FALSE,"Option 1";#N/A,#N/A,FALSE,"Option 2"}</definedName>
    <definedName name="ffdd" localSheetId="8">{#N/A,#N/A,FALSE,"Exist";#N/A,#N/A,FALSE,"Option 1";#N/A,#N/A,FALSE,"Option 2"}</definedName>
    <definedName name="ffdd" localSheetId="9">{#N/A,#N/A,FALSE,"Exist";#N/A,#N/A,FALSE,"Option 1";#N/A,#N/A,FALSE,"Option 2"}</definedName>
    <definedName name="ffdd" localSheetId="10">{#N/A,#N/A,FALSE,"Exist";#N/A,#N/A,FALSE,"Option 1";#N/A,#N/A,FALSE,"Option 2"}</definedName>
    <definedName name="ffdd">{#N/A,#N/A,FALSE,"Exist";#N/A,#N/A,FALSE,"Option 1";#N/A,#N/A,FALSE,"Option 2"}</definedName>
    <definedName name="fff" localSheetId="7">{#N/A,#N/A,FALSE,"I.C.S.";#N/A,#N/A,FALSE,"I.C.S."}</definedName>
    <definedName name="fff" localSheetId="0">{#N/A,#N/A,FALSE,"I.C.S.";#N/A,#N/A,FALSE,"I.C.S."}</definedName>
    <definedName name="fff" localSheetId="2">{#N/A,#N/A,FALSE,"I.C.S.";#N/A,#N/A,FALSE,"I.C.S."}</definedName>
    <definedName name="fff" localSheetId="8">{#N/A,#N/A,FALSE,"I.C.S.";#N/A,#N/A,FALSE,"I.C.S."}</definedName>
    <definedName name="fff" localSheetId="9">{#N/A,#N/A,FALSE,"I.C.S.";#N/A,#N/A,FALSE,"I.C.S."}</definedName>
    <definedName name="fff" localSheetId="10">{#N/A,#N/A,FALSE,"I.C.S.";#N/A,#N/A,FALSE,"I.C.S."}</definedName>
    <definedName name="fff">{#N/A,#N/A,FALSE,"I.C.S.";#N/A,#N/A,FALSE,"I.C.S."}</definedName>
    <definedName name="ffff" localSheetId="7">{"US DOLLARS",#N/A,FALSE,"FMEOB96"}</definedName>
    <definedName name="ffff" localSheetId="0">{"US DOLLARS",#N/A,FALSE,"FMEOB96"}</definedName>
    <definedName name="ffff" localSheetId="2">{"US DOLLARS",#N/A,FALSE,"FMEOB96"}</definedName>
    <definedName name="ffff" localSheetId="8">{"US DOLLARS",#N/A,FALSE,"FMEOB96"}</definedName>
    <definedName name="ffff" localSheetId="9">{"US DOLLARS",#N/A,FALSE,"FMEOB96"}</definedName>
    <definedName name="ffff" localSheetId="10">{"US DOLLARS",#N/A,FALSE,"FMEOB96"}</definedName>
    <definedName name="ffff">{"US DOLLARS",#N/A,FALSE,"FMEOB96"}</definedName>
    <definedName name="FGTGTUGFJ" localSheetId="7">{"FME HEADCOUNT",#N/A,FALSE,"PRODHEAD"}</definedName>
    <definedName name="FGTGTUGFJ" localSheetId="0">{"FME HEADCOUNT",#N/A,FALSE,"PRODHEAD"}</definedName>
    <definedName name="FGTGTUGFJ" localSheetId="2">{"FME HEADCOUNT",#N/A,FALSE,"PRODHEAD"}</definedName>
    <definedName name="FGTGTUGFJ" localSheetId="8">{"FME HEADCOUNT",#N/A,FALSE,"PRODHEAD"}</definedName>
    <definedName name="FGTGTUGFJ" localSheetId="9">{"FME HEADCOUNT",#N/A,FALSE,"PRODHEAD"}</definedName>
    <definedName name="FGTGTUGFJ" localSheetId="10">{"FME HEADCOUNT",#N/A,FALSE,"PRODHEAD"}</definedName>
    <definedName name="FGTGTUGFJ">{"FME HEADCOUNT",#N/A,FALSE,"PRODHEAD"}</definedName>
    <definedName name="fhuklyy" localSheetId="7">{"labour",#N/A,FALSE,"PRODHEAD"}</definedName>
    <definedName name="fhuklyy" localSheetId="0">{"labour",#N/A,FALSE,"PRODHEAD"}</definedName>
    <definedName name="fhuklyy" localSheetId="2">{"labour",#N/A,FALSE,"PRODHEAD"}</definedName>
    <definedName name="fhuklyy" localSheetId="8">{"labour",#N/A,FALSE,"PRODHEAD"}</definedName>
    <definedName name="fhuklyy" localSheetId="9">{"labour",#N/A,FALSE,"PRODHEAD"}</definedName>
    <definedName name="fhuklyy" localSheetId="10">{"labour",#N/A,FALSE,"PRODHEAD"}</definedName>
    <definedName name="fhuklyy">{"labour",#N/A,FALSE,"PRODHEAD"}</definedName>
    <definedName name="ga" localSheetId="7">{#N/A,#N/A,FALSE,"Aging Summary";#N/A,#N/A,FALSE,"Ratio Analysis";#N/A,#N/A,FALSE,"Test 120 Day Accts";#N/A,#N/A,FALSE,"Tickmarks"}</definedName>
    <definedName name="ga" localSheetId="0">{#N/A,#N/A,FALSE,"Aging Summary";#N/A,#N/A,FALSE,"Ratio Analysis";#N/A,#N/A,FALSE,"Test 120 Day Accts";#N/A,#N/A,FALSE,"Tickmarks"}</definedName>
    <definedName name="ga" localSheetId="2">{#N/A,#N/A,FALSE,"Aging Summary";#N/A,#N/A,FALSE,"Ratio Analysis";#N/A,#N/A,FALSE,"Test 120 Day Accts";#N/A,#N/A,FALSE,"Tickmarks"}</definedName>
    <definedName name="ga" localSheetId="8">{#N/A,#N/A,FALSE,"Aging Summary";#N/A,#N/A,FALSE,"Ratio Analysis";#N/A,#N/A,FALSE,"Test 120 Day Accts";#N/A,#N/A,FALSE,"Tickmarks"}</definedName>
    <definedName name="ga" localSheetId="9">{#N/A,#N/A,FALSE,"Aging Summary";#N/A,#N/A,FALSE,"Ratio Analysis";#N/A,#N/A,FALSE,"Test 120 Day Accts";#N/A,#N/A,FALSE,"Tickmarks"}</definedName>
    <definedName name="ga" localSheetId="10">{#N/A,#N/A,FALSE,"Aging Summary";#N/A,#N/A,FALSE,"Ratio Analysis";#N/A,#N/A,FALSE,"Test 120 Day Accts";#N/A,#N/A,FALSE,"Tickmarks"}</definedName>
    <definedName name="ga">{#N/A,#N/A,FALSE,"Aging Summary";#N/A,#N/A,FALSE,"Ratio Analysis";#N/A,#N/A,FALSE,"Test 120 Day Accts";#N/A,#N/A,FALSE,"Tickmarks"}</definedName>
    <definedName name="GAFSSIMSProjection1118">#REF!</definedName>
    <definedName name="gf" localSheetId="7">{#N/A,#N/A,FALSE,"Aging Summary";#N/A,#N/A,FALSE,"Ratio Analysis";#N/A,#N/A,FALSE,"Test 120 Day Accts";#N/A,#N/A,FALSE,"Tickmarks"}</definedName>
    <definedName name="gf" localSheetId="0">{#N/A,#N/A,FALSE,"Aging Summary";#N/A,#N/A,FALSE,"Ratio Analysis";#N/A,#N/A,FALSE,"Test 120 Day Accts";#N/A,#N/A,FALSE,"Tickmarks"}</definedName>
    <definedName name="gf" localSheetId="2">{#N/A,#N/A,FALSE,"Aging Summary";#N/A,#N/A,FALSE,"Ratio Analysis";#N/A,#N/A,FALSE,"Test 120 Day Accts";#N/A,#N/A,FALSE,"Tickmarks"}</definedName>
    <definedName name="gf" localSheetId="8">{#N/A,#N/A,FALSE,"Aging Summary";#N/A,#N/A,FALSE,"Ratio Analysis";#N/A,#N/A,FALSE,"Test 120 Day Accts";#N/A,#N/A,FALSE,"Tickmarks"}</definedName>
    <definedName name="gf" localSheetId="9">{#N/A,#N/A,FALSE,"Aging Summary";#N/A,#N/A,FALSE,"Ratio Analysis";#N/A,#N/A,FALSE,"Test 120 Day Accts";#N/A,#N/A,FALSE,"Tickmarks"}</definedName>
    <definedName name="gf" localSheetId="10">{#N/A,#N/A,FALSE,"Aging Summary";#N/A,#N/A,FALSE,"Ratio Analysis";#N/A,#N/A,FALSE,"Test 120 Day Accts";#N/A,#N/A,FALSE,"Tickmarks"}</definedName>
    <definedName name="gf">{#N/A,#N/A,FALSE,"Aging Summary";#N/A,#N/A,FALSE,"Ratio Analysis";#N/A,#N/A,FALSE,"Test 120 Day Accts";#N/A,#N/A,FALSE,"Tickmarks"}</definedName>
    <definedName name="ggg" localSheetId="7">{#N/A,#N/A,FALSE,"Exist";#N/A,#N/A,FALSE,"Option 1";#N/A,#N/A,FALSE,"Option 2"}</definedName>
    <definedName name="ggg" localSheetId="0">{#N/A,#N/A,FALSE,"Exist";#N/A,#N/A,FALSE,"Option 1";#N/A,#N/A,FALSE,"Option 2"}</definedName>
    <definedName name="ggg" localSheetId="2">{#N/A,#N/A,FALSE,"Exist";#N/A,#N/A,FALSE,"Option 1";#N/A,#N/A,FALSE,"Option 2"}</definedName>
    <definedName name="ggg" localSheetId="8">{#N/A,#N/A,FALSE,"Exist";#N/A,#N/A,FALSE,"Option 1";#N/A,#N/A,FALSE,"Option 2"}</definedName>
    <definedName name="ggg" localSheetId="9">{#N/A,#N/A,FALSE,"Exist";#N/A,#N/A,FALSE,"Option 1";#N/A,#N/A,FALSE,"Option 2"}</definedName>
    <definedName name="ggg" localSheetId="10">{#N/A,#N/A,FALSE,"Exist";#N/A,#N/A,FALSE,"Option 1";#N/A,#N/A,FALSE,"Option 2"}</definedName>
    <definedName name="ggg">{#N/A,#N/A,FALSE,"Exist";#N/A,#N/A,FALSE,"Option 1";#N/A,#N/A,FALSE,"Option 2"}</definedName>
    <definedName name="gggg" localSheetId="7">#REF!</definedName>
    <definedName name="gggg" localSheetId="2">#REF!</definedName>
    <definedName name="gggg" localSheetId="8">#REF!</definedName>
    <definedName name="gggg" localSheetId="9">#REF!</definedName>
    <definedName name="gggg" localSheetId="10">#REF!</definedName>
    <definedName name="gggg">#REF!</definedName>
    <definedName name="ggggg" localSheetId="7">{"labour",#N/A,FALSE,"PRODHEAD"}</definedName>
    <definedName name="ggggg" localSheetId="0">{"labour",#N/A,FALSE,"PRODHEAD"}</definedName>
    <definedName name="ggggg" localSheetId="2">{"labour",#N/A,FALSE,"PRODHEAD"}</definedName>
    <definedName name="ggggg" localSheetId="8">{"labour",#N/A,FALSE,"PRODHEAD"}</definedName>
    <definedName name="ggggg" localSheetId="9">{"labour",#N/A,FALSE,"PRODHEAD"}</definedName>
    <definedName name="ggggg" localSheetId="10">{"labour",#N/A,FALSE,"PRODHEAD"}</definedName>
    <definedName name="ggggg">{"labour",#N/A,FALSE,"PRODHEAD"}</definedName>
    <definedName name="gggt" localSheetId="7">#REF!</definedName>
    <definedName name="gggt" localSheetId="8">#REF!</definedName>
    <definedName name="gggt" localSheetId="9">#REF!</definedName>
    <definedName name="gggt" localSheetId="10">#REF!</definedName>
    <definedName name="gggt">#REF!</definedName>
    <definedName name="gjxfgj" localSheetId="7">{#N/A,#N/A,FALSE,"FMEOB96"}</definedName>
    <definedName name="gjxfgj" localSheetId="0">{#N/A,#N/A,FALSE,"FMEOB96"}</definedName>
    <definedName name="gjxfgj" localSheetId="2">{#N/A,#N/A,FALSE,"FMEOB96"}</definedName>
    <definedName name="gjxfgj" localSheetId="8">{#N/A,#N/A,FALSE,"FMEOB96"}</definedName>
    <definedName name="gjxfgj" localSheetId="9">{#N/A,#N/A,FALSE,"FMEOB96"}</definedName>
    <definedName name="gjxfgj" localSheetId="10">{#N/A,#N/A,FALSE,"FMEOB96"}</definedName>
    <definedName name="gjxfgj">{#N/A,#N/A,FALSE,"FMEOB96"}</definedName>
    <definedName name="GMRB_unit" localSheetId="7">#REF!</definedName>
    <definedName name="GMRB_unit" localSheetId="8">#REF!</definedName>
    <definedName name="GMRB_unit" localSheetId="9">#REF!</definedName>
    <definedName name="GMRB_unit" localSheetId="10">#REF!</definedName>
    <definedName name="GMRB_unit">#REF!</definedName>
    <definedName name="Green" localSheetId="7">{"FME HEADCOUNT",#N/A,FALSE,"PRODHEAD"}</definedName>
    <definedName name="Green" localSheetId="0">{"FME HEADCOUNT",#N/A,FALSE,"PRODHEAD"}</definedName>
    <definedName name="Green" localSheetId="2">{"FME HEADCOUNT",#N/A,FALSE,"PRODHEAD"}</definedName>
    <definedName name="Green" localSheetId="8">{"FME HEADCOUNT",#N/A,FALSE,"PRODHEAD"}</definedName>
    <definedName name="Green" localSheetId="9">{"FME HEADCOUNT",#N/A,FALSE,"PRODHEAD"}</definedName>
    <definedName name="Green" localSheetId="10">{"FME HEADCOUNT",#N/A,FALSE,"PRODHEAD"}</definedName>
    <definedName name="Green">{"FME HEADCOUNT",#N/A,FALSE,"PRODHEAD"}</definedName>
    <definedName name="GSPR_unit" localSheetId="7">#REF!</definedName>
    <definedName name="GSPR_unit" localSheetId="8">#REF!</definedName>
    <definedName name="GSPR_unit" localSheetId="9">#REF!</definedName>
    <definedName name="GSPR_unit" localSheetId="10">#REF!</definedName>
    <definedName name="GSPR_unit">#REF!</definedName>
    <definedName name="h" localSheetId="7">{#N/A,#N/A,TRUE,"A-site";#N/A,#N/A,TRUE,"B-Buildings";#N/A,#N/A,TRUE,"c-out-of-fence";#N/A,#N/A,TRUE,"d-proj.infr.";#N/A,#N/A,TRUE,"e- land"}</definedName>
    <definedName name="h" localSheetId="0">{#N/A,#N/A,TRUE,"A-site";#N/A,#N/A,TRUE,"B-Buildings";#N/A,#N/A,TRUE,"c-out-of-fence";#N/A,#N/A,TRUE,"d-proj.infr.";#N/A,#N/A,TRUE,"e- land"}</definedName>
    <definedName name="h" localSheetId="2">{#N/A,#N/A,TRUE,"A-site";#N/A,#N/A,TRUE,"B-Buildings";#N/A,#N/A,TRUE,"c-out-of-fence";#N/A,#N/A,TRUE,"d-proj.infr.";#N/A,#N/A,TRUE,"e- land"}</definedName>
    <definedName name="h" localSheetId="8">{#N/A,#N/A,TRUE,"A-site";#N/A,#N/A,TRUE,"B-Buildings";#N/A,#N/A,TRUE,"c-out-of-fence";#N/A,#N/A,TRUE,"d-proj.infr.";#N/A,#N/A,TRUE,"e- land"}</definedName>
    <definedName name="h" localSheetId="9">{#N/A,#N/A,TRUE,"A-site";#N/A,#N/A,TRUE,"B-Buildings";#N/A,#N/A,TRUE,"c-out-of-fence";#N/A,#N/A,TRUE,"d-proj.infr.";#N/A,#N/A,TRUE,"e- land"}</definedName>
    <definedName name="h" localSheetId="10">{#N/A,#N/A,TRUE,"A-site";#N/A,#N/A,TRUE,"B-Buildings";#N/A,#N/A,TRUE,"c-out-of-fence";#N/A,#N/A,TRUE,"d-proj.infr.";#N/A,#N/A,TRUE,"e- land"}</definedName>
    <definedName name="h">{#N/A,#N/A,TRUE,"A-site";#N/A,#N/A,TRUE,"B-Buildings";#N/A,#N/A,TRUE,"c-out-of-fence";#N/A,#N/A,TRUE,"d-proj.infr.";#N/A,#N/A,TRUE,"e- land"}</definedName>
    <definedName name="Hdb">1</definedName>
    <definedName name="Headcount" localSheetId="7">{"FME HEADCOUNT",#N/A,FALSE,"PRODHEAD"}</definedName>
    <definedName name="Headcount" localSheetId="0">{"FME HEADCOUNT",#N/A,FALSE,"PRODHEAD"}</definedName>
    <definedName name="Headcount" localSheetId="2">{"FME HEADCOUNT",#N/A,FALSE,"PRODHEAD"}</definedName>
    <definedName name="Headcount" localSheetId="8">{"FME HEADCOUNT",#N/A,FALSE,"PRODHEAD"}</definedName>
    <definedName name="Headcount" localSheetId="9">{"FME HEADCOUNT",#N/A,FALSE,"PRODHEAD"}</definedName>
    <definedName name="Headcount" localSheetId="10">{"FME HEADCOUNT",#N/A,FALSE,"PRODHEAD"}</definedName>
    <definedName name="Headcount">{"FME HEADCOUNT",#N/A,FALSE,"PRODHEAD"}</definedName>
    <definedName name="hhh" localSheetId="7">#REF!</definedName>
    <definedName name="hhh" localSheetId="8">#REF!</definedName>
    <definedName name="hhh" localSheetId="9">#REF!</definedName>
    <definedName name="hhh" localSheetId="10">#REF!</definedName>
    <definedName name="hhh">#REF!</definedName>
    <definedName name="hhhhh" localSheetId="7">#REF!</definedName>
    <definedName name="hhhhh" localSheetId="8">#REF!</definedName>
    <definedName name="hhhhh" localSheetId="9">#REF!</definedName>
    <definedName name="hhhhh" localSheetId="10">#REF!</definedName>
    <definedName name="hhhhh">#REF!</definedName>
    <definedName name="hhhhhhh" localSheetId="7">#REF!</definedName>
    <definedName name="hhhhhhh" localSheetId="8">#REF!</definedName>
    <definedName name="hhhhhhh" localSheetId="9">#REF!</definedName>
    <definedName name="hhhhhhh" localSheetId="10">#REF!</definedName>
    <definedName name="hhhhhhh">#REF!</definedName>
    <definedName name="hhuyuh" localSheetId="7">#REF!</definedName>
    <definedName name="hhuyuh" localSheetId="8">#REF!</definedName>
    <definedName name="hhuyuh" localSheetId="9">#REF!</definedName>
    <definedName name="hhuyuh" localSheetId="10">#REF!</definedName>
    <definedName name="hhuyuh">#REF!</definedName>
    <definedName name="HiddenRows">#REF!</definedName>
    <definedName name="HideParameterForm">"disabled"</definedName>
    <definedName name="HideParameterSheet">"disabled"</definedName>
    <definedName name="HJGJK" localSheetId="7">{#N/A,#N/A,FALSE,"FMEOB96"}</definedName>
    <definedName name="HJGJK" localSheetId="0">{#N/A,#N/A,FALSE,"FMEOB96"}</definedName>
    <definedName name="HJGJK" localSheetId="2">{#N/A,#N/A,FALSE,"FMEOB96"}</definedName>
    <definedName name="HJGJK" localSheetId="8">{#N/A,#N/A,FALSE,"FMEOB96"}</definedName>
    <definedName name="HJGJK" localSheetId="9">{#N/A,#N/A,FALSE,"FMEOB96"}</definedName>
    <definedName name="HJGJK" localSheetId="10">{#N/A,#N/A,FALSE,"FMEOB96"}</definedName>
    <definedName name="HJGJK">{#N/A,#N/A,FALSE,"FMEOB96"}</definedName>
    <definedName name="hjiuhilhl" localSheetId="7">{"'TOB-Vol'!$L$2:$AD$40"}</definedName>
    <definedName name="hjiuhilhl" localSheetId="0">{"'TOB-Vol'!$L$2:$AD$40"}</definedName>
    <definedName name="hjiuhilhl" localSheetId="2">{"'TOB-Vol'!$L$2:$AD$40"}</definedName>
    <definedName name="hjiuhilhl" localSheetId="8">{"'TOB-Vol'!$L$2:$AD$40"}</definedName>
    <definedName name="hjiuhilhl" localSheetId="9">{"'TOB-Vol'!$L$2:$AD$40"}</definedName>
    <definedName name="hjiuhilhl" localSheetId="10">{"'TOB-Vol'!$L$2:$AD$40"}</definedName>
    <definedName name="hjiuhilhl">{"'TOB-Vol'!$L$2:$AD$40"}</definedName>
    <definedName name="HJYGHJ" localSheetId="7">{"labour",#N/A,FALSE,"PRODHEAD"}</definedName>
    <definedName name="HJYGHJ" localSheetId="0">{"labour",#N/A,FALSE,"PRODHEAD"}</definedName>
    <definedName name="HJYGHJ" localSheetId="2">{"labour",#N/A,FALSE,"PRODHEAD"}</definedName>
    <definedName name="HJYGHJ" localSheetId="8">{"labour",#N/A,FALSE,"PRODHEAD"}</definedName>
    <definedName name="HJYGHJ" localSheetId="9">{"labour",#N/A,FALSE,"PRODHEAD"}</definedName>
    <definedName name="HJYGHJ" localSheetId="10">{"labour",#N/A,FALSE,"PRODHEAD"}</definedName>
    <definedName name="HJYGHJ">{"labour",#N/A,FALSE,"PRODHEAD"}</definedName>
    <definedName name="hklftgi5784jd" localSheetId="7">{"'매출'!$A$1:$I$22"}</definedName>
    <definedName name="hklftgi5784jd" localSheetId="0">{"'매출'!$A$1:$I$22"}</definedName>
    <definedName name="hklftgi5784jd" localSheetId="2">{"'매출'!$A$1:$I$22"}</definedName>
    <definedName name="hklftgi5784jd" localSheetId="8">{"'매출'!$A$1:$I$22"}</definedName>
    <definedName name="hklftgi5784jd" localSheetId="9">{"'매출'!$A$1:$I$22"}</definedName>
    <definedName name="hklftgi5784jd" localSheetId="10">{"'매출'!$A$1:$I$22"}</definedName>
    <definedName name="hklftgi5784jd">{"'매출'!$A$1:$I$22"}</definedName>
    <definedName name="hryubr" localSheetId="7">#REF!</definedName>
    <definedName name="hryubr" localSheetId="2">#REF!</definedName>
    <definedName name="hryubr" localSheetId="8">#REF!</definedName>
    <definedName name="hryubr" localSheetId="9">#REF!</definedName>
    <definedName name="hryubr" localSheetId="10">#REF!</definedName>
    <definedName name="hryubr">#REF!</definedName>
    <definedName name="hryuh">#REF!</definedName>
    <definedName name="hseueu47ru" localSheetId="7">{#N/A,#N/A,FALSE,"Aging Summary";#N/A,#N/A,FALSE,"Ratio Analysis";#N/A,#N/A,FALSE,"Test 120 Day Accts";#N/A,#N/A,FALSE,"Tickmarks"}</definedName>
    <definedName name="hseueu47ru" localSheetId="0">{#N/A,#N/A,FALSE,"Aging Summary";#N/A,#N/A,FALSE,"Ratio Analysis";#N/A,#N/A,FALSE,"Test 120 Day Accts";#N/A,#N/A,FALSE,"Tickmarks"}</definedName>
    <definedName name="hseueu47ru" localSheetId="2">{#N/A,#N/A,FALSE,"Aging Summary";#N/A,#N/A,FALSE,"Ratio Analysis";#N/A,#N/A,FALSE,"Test 120 Day Accts";#N/A,#N/A,FALSE,"Tickmarks"}</definedName>
    <definedName name="hseueu47ru" localSheetId="8">{#N/A,#N/A,FALSE,"Aging Summary";#N/A,#N/A,FALSE,"Ratio Analysis";#N/A,#N/A,FALSE,"Test 120 Day Accts";#N/A,#N/A,FALSE,"Tickmarks"}</definedName>
    <definedName name="hseueu47ru" localSheetId="9">{#N/A,#N/A,FALSE,"Aging Summary";#N/A,#N/A,FALSE,"Ratio Analysis";#N/A,#N/A,FALSE,"Test 120 Day Accts";#N/A,#N/A,FALSE,"Tickmarks"}</definedName>
    <definedName name="hseueu47ru" localSheetId="10">{#N/A,#N/A,FALSE,"Aging Summary";#N/A,#N/A,FALSE,"Ratio Analysis";#N/A,#N/A,FALSE,"Test 120 Day Accts";#N/A,#N/A,FALSE,"Tickmarks"}</definedName>
    <definedName name="hseueu47ru">{#N/A,#N/A,FALSE,"Aging Summary";#N/A,#N/A,FALSE,"Ratio Analysis";#N/A,#N/A,FALSE,"Test 120 Day Accts";#N/A,#N/A,FALSE,"Tickmarks"}</definedName>
    <definedName name="HTML_CodePage">1252</definedName>
    <definedName name="HTML_Control" localSheetId="7">{"'TOB-Vol'!$L$2:$AD$40"}</definedName>
    <definedName name="HTML_Control" localSheetId="0">{"'TOB-Vol'!$L$2:$AD$40"}</definedName>
    <definedName name="HTML_Control" localSheetId="2">{"'TOB-Vol'!$L$2:$AD$40"}</definedName>
    <definedName name="HTML_Control" localSheetId="8">{"'TOB-Vol'!$L$2:$AD$40"}</definedName>
    <definedName name="HTML_Control" localSheetId="9">{"'TOB-Vol'!$L$2:$AD$40"}</definedName>
    <definedName name="HTML_Control" localSheetId="10">{"'TOB-Vol'!$L$2:$AD$40"}</definedName>
    <definedName name="HTML_Control">{"'TOB-Vol'!$L$2:$AD$40"}</definedName>
    <definedName name="HTML_Control2" localSheetId="7">{"'TOB-Vol'!$L$2:$AD$40"}</definedName>
    <definedName name="HTML_Control2" localSheetId="0">{"'TOB-Vol'!$L$2:$AD$40"}</definedName>
    <definedName name="HTML_Control2" localSheetId="2">{"'TOB-Vol'!$L$2:$AD$40"}</definedName>
    <definedName name="HTML_Control2" localSheetId="8">{"'TOB-Vol'!$L$2:$AD$40"}</definedName>
    <definedName name="HTML_Control2" localSheetId="9">{"'TOB-Vol'!$L$2:$AD$40"}</definedName>
    <definedName name="HTML_Control2" localSheetId="10">{"'TOB-Vol'!$L$2:$AD$40"}</definedName>
    <definedName name="HTML_Control2">{"'TOB-Vol'!$L$2:$AD$40"}</definedName>
    <definedName name="HTML_Description">""</definedName>
    <definedName name="HTML_Email">"glew"</definedName>
    <definedName name="HTML_Header">"Preliminary99OB(3) - TOBACCO VOLUME (Bio. Units)"</definedName>
    <definedName name="HTML_LastUpdate">"12/16/1998"</definedName>
    <definedName name="HTML_LineAfter">FALSE</definedName>
    <definedName name="HTML_LineBefore">FALSE</definedName>
    <definedName name="HTML_Name">"Gregory Lew"</definedName>
    <definedName name="HTML_OBDlg2">TRUE</definedName>
    <definedName name="HTML_OBDlg4">TRUE</definedName>
    <definedName name="HTML_OS">0</definedName>
    <definedName name="HTML_PathFile">"S:\SHARE\Key Performance Indicators\Financials &amp; Volume\1999\PlanVol.htm"</definedName>
    <definedName name="HTML_Title">"Preliminary99OB(3)"</definedName>
    <definedName name="huy" localSheetId="7">{"'Sheet1'!$L$16"}</definedName>
    <definedName name="huy" localSheetId="0">{"'Sheet1'!$L$16"}</definedName>
    <definedName name="huy" localSheetId="2">{"'Sheet1'!$L$16"}</definedName>
    <definedName name="huy" localSheetId="8">{"'Sheet1'!$L$16"}</definedName>
    <definedName name="huy" localSheetId="9">{"'Sheet1'!$L$16"}</definedName>
    <definedName name="huy" localSheetId="10">{"'Sheet1'!$L$16"}</definedName>
    <definedName name="huy">{"'Sheet1'!$L$16"}</definedName>
    <definedName name="i" localSheetId="7">#REF!</definedName>
    <definedName name="i" localSheetId="2">#REF!</definedName>
    <definedName name="i" localSheetId="8">#REF!</definedName>
    <definedName name="i" localSheetId="9">#REF!</definedName>
    <definedName name="i" localSheetId="10">#REF!</definedName>
    <definedName name="i">#REF!</definedName>
    <definedName name="ia" localSheetId="7">{#N/A,#N/A,FALSE,"Aging Summary";#N/A,#N/A,FALSE,"Ratio Analysis";#N/A,#N/A,FALSE,"Test 120 Day Accts";#N/A,#N/A,FALSE,"Tickmarks"}</definedName>
    <definedName name="ia" localSheetId="0">{#N/A,#N/A,FALSE,"Aging Summary";#N/A,#N/A,FALSE,"Ratio Analysis";#N/A,#N/A,FALSE,"Test 120 Day Accts";#N/A,#N/A,FALSE,"Tickmarks"}</definedName>
    <definedName name="ia" localSheetId="2">{#N/A,#N/A,FALSE,"Aging Summary";#N/A,#N/A,FALSE,"Ratio Analysis";#N/A,#N/A,FALSE,"Test 120 Day Accts";#N/A,#N/A,FALSE,"Tickmarks"}</definedName>
    <definedName name="ia" localSheetId="8">{#N/A,#N/A,FALSE,"Aging Summary";#N/A,#N/A,FALSE,"Ratio Analysis";#N/A,#N/A,FALSE,"Test 120 Day Accts";#N/A,#N/A,FALSE,"Tickmarks"}</definedName>
    <definedName name="ia" localSheetId="9">{#N/A,#N/A,FALSE,"Aging Summary";#N/A,#N/A,FALSE,"Ratio Analysis";#N/A,#N/A,FALSE,"Test 120 Day Accts";#N/A,#N/A,FALSE,"Tickmarks"}</definedName>
    <definedName name="ia" localSheetId="10">{#N/A,#N/A,FALSE,"Aging Summary";#N/A,#N/A,FALSE,"Ratio Analysis";#N/A,#N/A,FALSE,"Test 120 Day Accts";#N/A,#N/A,FALSE,"Tickmarks"}</definedName>
    <definedName name="ia">{#N/A,#N/A,FALSE,"Aging Summary";#N/A,#N/A,FALSE,"Ratio Analysis";#N/A,#N/A,FALSE,"Test 120 Day Accts";#N/A,#N/A,FALSE,"Tickmarks"}</definedName>
    <definedName name="iii" localSheetId="7">{#N/A,#N/A,FALSE,"FMEOB96"}</definedName>
    <definedName name="iii" localSheetId="0">{#N/A,#N/A,FALSE,"FMEOB96"}</definedName>
    <definedName name="iii" localSheetId="2">{#N/A,#N/A,FALSE,"FMEOB96"}</definedName>
    <definedName name="iii" localSheetId="8">{#N/A,#N/A,FALSE,"FMEOB96"}</definedName>
    <definedName name="iii" localSheetId="9">{#N/A,#N/A,FALSE,"FMEOB96"}</definedName>
    <definedName name="iii" localSheetId="10">{#N/A,#N/A,FALSE,"FMEOB96"}</definedName>
    <definedName name="iii">{#N/A,#N/A,FALSE,"FMEOB96"}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DNTM">700000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MTD">800000</definedName>
    <definedName name="IQ_NAMES_REVISION_DATE_">40057.4836689815</definedName>
    <definedName name="IQ_NTM">6000</definedName>
    <definedName name="IQ_QTD">750000</definedName>
    <definedName name="IQ_TODAY">0</definedName>
    <definedName name="IQ_WEEK">50000</definedName>
    <definedName name="IQ_YTD">3000</definedName>
    <definedName name="IQ_YTDMONTH">130000</definedName>
    <definedName name="Japan_Volume_Summary" localSheetId="7">{"'TOB-Vol'!$L$2:$AD$40"}</definedName>
    <definedName name="Japan_Volume_Summary" localSheetId="0">{"'TOB-Vol'!$L$2:$AD$40"}</definedName>
    <definedName name="Japan_Volume_Summary" localSheetId="2">{"'TOB-Vol'!$L$2:$AD$40"}</definedName>
    <definedName name="Japan_Volume_Summary" localSheetId="8">{"'TOB-Vol'!$L$2:$AD$40"}</definedName>
    <definedName name="Japan_Volume_Summary" localSheetId="9">{"'TOB-Vol'!$L$2:$AD$40"}</definedName>
    <definedName name="Japan_Volume_Summary" localSheetId="10">{"'TOB-Vol'!$L$2:$AD$40"}</definedName>
    <definedName name="Japan_Volume_Summary">{"'TOB-Vol'!$L$2:$AD$40"}</definedName>
    <definedName name="jj" localSheetId="7">#REF!</definedName>
    <definedName name="jj" localSheetId="2">#REF!</definedName>
    <definedName name="jj" localSheetId="8">#REF!</definedName>
    <definedName name="jj" localSheetId="9">#REF!</definedName>
    <definedName name="jj" localSheetId="10">#REF!</definedName>
    <definedName name="jj">#REF!</definedName>
    <definedName name="jl" localSheetId="7">{#N/A,#N/A,TRUE,"A-site";#N/A,#N/A,TRUE,"B-Buildings";#N/A,#N/A,TRUE,"c-out-of-fence";#N/A,#N/A,TRUE,"d-proj.infr.";#N/A,#N/A,TRUE,"e- land"}</definedName>
    <definedName name="jl" localSheetId="0">{#N/A,#N/A,TRUE,"A-site";#N/A,#N/A,TRUE,"B-Buildings";#N/A,#N/A,TRUE,"c-out-of-fence";#N/A,#N/A,TRUE,"d-proj.infr.";#N/A,#N/A,TRUE,"e- land"}</definedName>
    <definedName name="jl" localSheetId="2">{#N/A,#N/A,TRUE,"A-site";#N/A,#N/A,TRUE,"B-Buildings";#N/A,#N/A,TRUE,"c-out-of-fence";#N/A,#N/A,TRUE,"d-proj.infr.";#N/A,#N/A,TRUE,"e- land"}</definedName>
    <definedName name="jl" localSheetId="8">{#N/A,#N/A,TRUE,"A-site";#N/A,#N/A,TRUE,"B-Buildings";#N/A,#N/A,TRUE,"c-out-of-fence";#N/A,#N/A,TRUE,"d-proj.infr.";#N/A,#N/A,TRUE,"e- land"}</definedName>
    <definedName name="jl" localSheetId="9">{#N/A,#N/A,TRUE,"A-site";#N/A,#N/A,TRUE,"B-Buildings";#N/A,#N/A,TRUE,"c-out-of-fence";#N/A,#N/A,TRUE,"d-proj.infr.";#N/A,#N/A,TRUE,"e- land"}</definedName>
    <definedName name="jl" localSheetId="10">{#N/A,#N/A,TRUE,"A-site";#N/A,#N/A,TRUE,"B-Buildings";#N/A,#N/A,TRUE,"c-out-of-fence";#N/A,#N/A,TRUE,"d-proj.infr.";#N/A,#N/A,TRUE,"e- land"}</definedName>
    <definedName name="jl">{#N/A,#N/A,TRUE,"A-site";#N/A,#N/A,TRUE,"B-Buildings";#N/A,#N/A,TRUE,"c-out-of-fence";#N/A,#N/A,TRUE,"d-proj.infr.";#N/A,#N/A,TRUE,"e- land"}</definedName>
    <definedName name="jrjruruwrw" localSheetId="7">{#N/A,#N/A,FALSE,"Aging Summary";#N/A,#N/A,FALSE,"Ratio Analysis";#N/A,#N/A,FALSE,"Test 120 Day Accts";#N/A,#N/A,FALSE,"Tickmarks"}</definedName>
    <definedName name="jrjruruwrw" localSheetId="0">{#N/A,#N/A,FALSE,"Aging Summary";#N/A,#N/A,FALSE,"Ratio Analysis";#N/A,#N/A,FALSE,"Test 120 Day Accts";#N/A,#N/A,FALSE,"Tickmarks"}</definedName>
    <definedName name="jrjruruwrw" localSheetId="2">{#N/A,#N/A,FALSE,"Aging Summary";#N/A,#N/A,FALSE,"Ratio Analysis";#N/A,#N/A,FALSE,"Test 120 Day Accts";#N/A,#N/A,FALSE,"Tickmarks"}</definedName>
    <definedName name="jrjruruwrw" localSheetId="8">{#N/A,#N/A,FALSE,"Aging Summary";#N/A,#N/A,FALSE,"Ratio Analysis";#N/A,#N/A,FALSE,"Test 120 Day Accts";#N/A,#N/A,FALSE,"Tickmarks"}</definedName>
    <definedName name="jrjruruwrw" localSheetId="9">{#N/A,#N/A,FALSE,"Aging Summary";#N/A,#N/A,FALSE,"Ratio Analysis";#N/A,#N/A,FALSE,"Test 120 Day Accts";#N/A,#N/A,FALSE,"Tickmarks"}</definedName>
    <definedName name="jrjruruwrw" localSheetId="10">{#N/A,#N/A,FALSE,"Aging Summary";#N/A,#N/A,FALSE,"Ratio Analysis";#N/A,#N/A,FALSE,"Test 120 Day Accts";#N/A,#N/A,FALSE,"Tickmarks"}</definedName>
    <definedName name="jrjruruwrw">{#N/A,#N/A,FALSE,"Aging Summary";#N/A,#N/A,FALSE,"Ratio Analysis";#N/A,#N/A,FALSE,"Test 120 Day Accts";#N/A,#N/A,FALSE,"Tickmarks"}</definedName>
    <definedName name="JUYJ" localSheetId="7">{"US DOLLARS",#N/A,FALSE,"FMEOB96"}</definedName>
    <definedName name="JUYJ" localSheetId="0">{"US DOLLARS",#N/A,FALSE,"FMEOB96"}</definedName>
    <definedName name="JUYJ" localSheetId="2">{"US DOLLARS",#N/A,FALSE,"FMEOB96"}</definedName>
    <definedName name="JUYJ" localSheetId="8">{"US DOLLARS",#N/A,FALSE,"FMEOB96"}</definedName>
    <definedName name="JUYJ" localSheetId="9">{"US DOLLARS",#N/A,FALSE,"FMEOB96"}</definedName>
    <definedName name="JUYJ" localSheetId="10">{"US DOLLARS",#N/A,FALSE,"FMEOB96"}</definedName>
    <definedName name="JUYJ">{"US DOLLARS",#N/A,FALSE,"FMEOB96"}</definedName>
    <definedName name="k" localSheetId="7">{"FME HEADCOUNT",#N/A,FALSE,"PRODHEAD"}</definedName>
    <definedName name="k" localSheetId="0">{"FME HEADCOUNT",#N/A,FALSE,"PRODHEAD"}</definedName>
    <definedName name="k" localSheetId="2">{"FME HEADCOUNT",#N/A,FALSE,"PRODHEAD"}</definedName>
    <definedName name="k" localSheetId="8">{"FME HEADCOUNT",#N/A,FALSE,"PRODHEAD"}</definedName>
    <definedName name="k" localSheetId="9">{"FME HEADCOUNT",#N/A,FALSE,"PRODHEAD"}</definedName>
    <definedName name="k" localSheetId="10">{"FME HEADCOUNT",#N/A,FALSE,"PRODHEAD"}</definedName>
    <definedName name="k">{"FME HEADCOUNT",#N/A,FALSE,"PRODHEAD"}</definedName>
    <definedName name="KA" localSheetId="7">#REF!</definedName>
    <definedName name="KA" localSheetId="2">#REF!</definedName>
    <definedName name="KA" localSheetId="8">#REF!</definedName>
    <definedName name="KA" localSheetId="9">#REF!</definedName>
    <definedName name="KA" localSheetId="10">#REF!</definedName>
    <definedName name="KA">#REF!</definedName>
    <definedName name="KAA" localSheetId="7">#REF!</definedName>
    <definedName name="KAA" localSheetId="2">#REF!</definedName>
    <definedName name="KAA" localSheetId="8">#REF!</definedName>
    <definedName name="KAA" localSheetId="9">#REF!</definedName>
    <definedName name="KAA" localSheetId="10">#REF!</definedName>
    <definedName name="KAA">#REF!</definedName>
    <definedName name="KAIMSProjection1118" localSheetId="7">#REF!</definedName>
    <definedName name="KAIMSProjection1118" localSheetId="8">#REF!</definedName>
    <definedName name="KAIMSProjection1118" localSheetId="9">#REF!</definedName>
    <definedName name="KAIMSProjection1118" localSheetId="10">#REF!</definedName>
    <definedName name="KAIMSProjection1118">#REF!</definedName>
    <definedName name="Krasnodar" localSheetId="7">#REF!</definedName>
    <definedName name="Krasnodar" localSheetId="2">#REF!</definedName>
    <definedName name="Krasnodar" localSheetId="8">#REF!</definedName>
    <definedName name="Krasnodar" localSheetId="9">#REF!</definedName>
    <definedName name="Krasnodar" localSheetId="10">#REF!</definedName>
    <definedName name="Krasnodar">#REF!</definedName>
    <definedName name="LAC" localSheetId="7">{"'TOB-Vol'!$L$2:$AD$40"}</definedName>
    <definedName name="LAC" localSheetId="0">{"'TOB-Vol'!$L$2:$AD$40"}</definedName>
    <definedName name="LAC" localSheetId="2">{"'TOB-Vol'!$L$2:$AD$40"}</definedName>
    <definedName name="LAC" localSheetId="8">{"'TOB-Vol'!$L$2:$AD$40"}</definedName>
    <definedName name="LAC" localSheetId="9">{"'TOB-Vol'!$L$2:$AD$40"}</definedName>
    <definedName name="LAC" localSheetId="10">{"'TOB-Vol'!$L$2:$AD$40"}</definedName>
    <definedName name="LAC">{"'TOB-Vol'!$L$2:$AD$40"}</definedName>
    <definedName name="lan" localSheetId="7">{#N/A,#N/A,TRUE,"BT M200 da 10x20"}</definedName>
    <definedName name="lan" localSheetId="0">{#N/A,#N/A,TRUE,"BT M200 da 10x20"}</definedName>
    <definedName name="lan" localSheetId="2">{#N/A,#N/A,TRUE,"BT M200 da 10x20"}</definedName>
    <definedName name="lan" localSheetId="8">{#N/A,#N/A,TRUE,"BT M200 da 10x20"}</definedName>
    <definedName name="lan" localSheetId="9">{#N/A,#N/A,TRUE,"BT M200 da 10x20"}</definedName>
    <definedName name="lan" localSheetId="10">{#N/A,#N/A,TRUE,"BT M200 da 10x20"}</definedName>
    <definedName name="lan">{#N/A,#N/A,TRUE,"BT M200 da 10x20"}</definedName>
    <definedName name="limcount">1</definedName>
    <definedName name="lkjh" localSheetId="7">{"US DOLLARS",#N/A,FALSE,"FMEOB96"}</definedName>
    <definedName name="lkjh" localSheetId="0">{"US DOLLARS",#N/A,FALSE,"FMEOB96"}</definedName>
    <definedName name="lkjh" localSheetId="2">{"US DOLLARS",#N/A,FALSE,"FMEOB96"}</definedName>
    <definedName name="lkjh" localSheetId="8">{"US DOLLARS",#N/A,FALSE,"FMEOB96"}</definedName>
    <definedName name="lkjh" localSheetId="9">{"US DOLLARS",#N/A,FALSE,"FMEOB96"}</definedName>
    <definedName name="lkjh" localSheetId="10">{"US DOLLARS",#N/A,FALSE,"FMEOB96"}</definedName>
    <definedName name="lkjh">{"US DOLLARS",#N/A,FALSE,"FMEOB96"}</definedName>
    <definedName name="lll" localSheetId="7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2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8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9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 localSheetId="1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lll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m" localSheetId="7">{#N/A,#N/A,FALSE,"FMEOB96"}</definedName>
    <definedName name="m" localSheetId="0">{#N/A,#N/A,FALSE,"FMEOB96"}</definedName>
    <definedName name="m" localSheetId="2">{#N/A,#N/A,FALSE,"FMEOB96"}</definedName>
    <definedName name="m" localSheetId="8">{#N/A,#N/A,FALSE,"FMEOB96"}</definedName>
    <definedName name="m" localSheetId="9">{#N/A,#N/A,FALSE,"FMEOB96"}</definedName>
    <definedName name="m" localSheetId="10">{#N/A,#N/A,FALSE,"FMEOB96"}</definedName>
    <definedName name="m">{#N/A,#N/A,FALSE,"FMEOB96"}</definedName>
    <definedName name="Mat_End_Column">15</definedName>
    <definedName name="Max_Column">1</definedName>
    <definedName name="mbmm" localSheetId="7">{"labour",#N/A,FALSE,"PRODHEAD"}</definedName>
    <definedName name="mbmm" localSheetId="0">{"labour",#N/A,FALSE,"PRODHEAD"}</definedName>
    <definedName name="mbmm" localSheetId="2">{"labour",#N/A,FALSE,"PRODHEAD"}</definedName>
    <definedName name="mbmm" localSheetId="8">{"labour",#N/A,FALSE,"PRODHEAD"}</definedName>
    <definedName name="mbmm" localSheetId="9">{"labour",#N/A,FALSE,"PRODHEAD"}</definedName>
    <definedName name="mbmm" localSheetId="10">{"labour",#N/A,FALSE,"PRODHEAD"}</definedName>
    <definedName name="mbmm">{"labour",#N/A,FALSE,"PRODHEAD"}</definedName>
    <definedName name="michal" localSheetId="7">#REF!</definedName>
    <definedName name="michal" localSheetId="2">#REF!</definedName>
    <definedName name="michal" localSheetId="8">#REF!</definedName>
    <definedName name="michal" localSheetId="9">#REF!</definedName>
    <definedName name="michal" localSheetId="10">#REF!</definedName>
    <definedName name="michal">#REF!</definedName>
    <definedName name="mmm" localSheetId="7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0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2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8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9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10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n" localSheetId="7">#REF!</definedName>
    <definedName name="n" localSheetId="2">#REF!</definedName>
    <definedName name="n" localSheetId="8">#REF!</definedName>
    <definedName name="n" localSheetId="9">#REF!</definedName>
    <definedName name="n" localSheetId="10">#REF!</definedName>
    <definedName name="n">#REF!</definedName>
    <definedName name="Nam" localSheetId="7">#REF!</definedName>
    <definedName name="Nam" localSheetId="8">#REF!</definedName>
    <definedName name="Nam" localSheetId="9">#REF!</definedName>
    <definedName name="Nam" localSheetId="10">#REF!</definedName>
    <definedName name="Nam">#REF!</definedName>
    <definedName name="nee">255</definedName>
    <definedName name="njklk" localSheetId="7">#REF!</definedName>
    <definedName name="njklk" localSheetId="2">#REF!</definedName>
    <definedName name="njklk" localSheetId="8">#REF!</definedName>
    <definedName name="njklk" localSheetId="9">#REF!</definedName>
    <definedName name="njklk" localSheetId="10">#REF!</definedName>
    <definedName name="njklk">#REF!</definedName>
    <definedName name="NoInflation" localSheetId="7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Inflation" localSheetId="0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Inflation" localSheetId="2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Inflation" localSheetId="8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Inflation" localSheetId="9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Inflation" localSheetId="10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oInflation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numcols">8</definedName>
    <definedName name="numrows">38</definedName>
    <definedName name="o" localSheetId="7">#REF!</definedName>
    <definedName name="o" localSheetId="2">#REF!</definedName>
    <definedName name="o" localSheetId="8">#REF!</definedName>
    <definedName name="o" localSheetId="9">#REF!</definedName>
    <definedName name="o" localSheetId="10">#REF!</definedName>
    <definedName name="o">#REF!</definedName>
    <definedName name="OrderTable" localSheetId="7">#REF!</definedName>
    <definedName name="OrderTable" localSheetId="8">#REF!</definedName>
    <definedName name="OrderTable" localSheetId="9">#REF!</definedName>
    <definedName name="OrderTable" localSheetId="10">#REF!</definedName>
    <definedName name="OrderTable">#REF!</definedName>
    <definedName name="Period" localSheetId="7">#REF!</definedName>
    <definedName name="Period" localSheetId="8">#REF!</definedName>
    <definedName name="Period" localSheetId="9">#REF!</definedName>
    <definedName name="Period" localSheetId="10">#REF!</definedName>
    <definedName name="Period">#REF!</definedName>
    <definedName name="ppp" localSheetId="7">#REF!</definedName>
    <definedName name="ppp" localSheetId="2">#REF!</definedName>
    <definedName name="ppp" localSheetId="8">#REF!</definedName>
    <definedName name="ppp" localSheetId="9">#REF!</definedName>
    <definedName name="ppp" localSheetId="10">#REF!</definedName>
    <definedName name="ppp">#REF!</definedName>
    <definedName name="ProdForm" localSheetId="7">#REF!</definedName>
    <definedName name="ProdForm" localSheetId="8">#REF!</definedName>
    <definedName name="ProdForm" localSheetId="9">#REF!</definedName>
    <definedName name="ProdForm" localSheetId="10">#REF!</definedName>
    <definedName name="ProdForm">#REF!</definedName>
    <definedName name="Product">#REF!</definedName>
    <definedName name="Profit">#REF!</definedName>
    <definedName name="prov" localSheetId="7">#REF!</definedName>
    <definedName name="prov" localSheetId="2">#REF!</definedName>
    <definedName name="prov" localSheetId="8">#REF!</definedName>
    <definedName name="prov" localSheetId="9">#REF!</definedName>
    <definedName name="prov" localSheetId="10">#REF!</definedName>
    <definedName name="prov">#REF!</definedName>
    <definedName name="q" localSheetId="7">#REF!</definedName>
    <definedName name="q" localSheetId="2">#REF!</definedName>
    <definedName name="q" localSheetId="8">#REF!</definedName>
    <definedName name="q" localSheetId="9">#REF!</definedName>
    <definedName name="q" localSheetId="10">#REF!</definedName>
    <definedName name="q">#REF!</definedName>
    <definedName name="qa" localSheetId="7">{#N/A,#N/A,FALSE,"Aging Summary";#N/A,#N/A,FALSE,"Ratio Analysis";#N/A,#N/A,FALSE,"Test 120 Day Accts";#N/A,#N/A,FALSE,"Tickmarks"}</definedName>
    <definedName name="qa" localSheetId="0">{#N/A,#N/A,FALSE,"Aging Summary";#N/A,#N/A,FALSE,"Ratio Analysis";#N/A,#N/A,FALSE,"Test 120 Day Accts";#N/A,#N/A,FALSE,"Tickmarks"}</definedName>
    <definedName name="qa" localSheetId="2">{#N/A,#N/A,FALSE,"Aging Summary";#N/A,#N/A,FALSE,"Ratio Analysis";#N/A,#N/A,FALSE,"Test 120 Day Accts";#N/A,#N/A,FALSE,"Tickmarks"}</definedName>
    <definedName name="qa" localSheetId="8">{#N/A,#N/A,FALSE,"Aging Summary";#N/A,#N/A,FALSE,"Ratio Analysis";#N/A,#N/A,FALSE,"Test 120 Day Accts";#N/A,#N/A,FALSE,"Tickmarks"}</definedName>
    <definedName name="qa" localSheetId="9">{#N/A,#N/A,FALSE,"Aging Summary";#N/A,#N/A,FALSE,"Ratio Analysis";#N/A,#N/A,FALSE,"Test 120 Day Accts";#N/A,#N/A,FALSE,"Tickmarks"}</definedName>
    <definedName name="qa" localSheetId="10">{#N/A,#N/A,FALSE,"Aging Summary";#N/A,#N/A,FALSE,"Ratio Analysis";#N/A,#N/A,FALSE,"Test 120 Day Accts";#N/A,#N/A,FALSE,"Tickmarks"}</definedName>
    <definedName name="qa">{#N/A,#N/A,FALSE,"Aging Summary";#N/A,#N/A,FALSE,"Ratio Analysis";#N/A,#N/A,FALSE,"Test 120 Day Accts";#N/A,#N/A,FALSE,"Tickmarks"}</definedName>
    <definedName name="qq" localSheetId="7">{#N/A,#N/A,FALSE,"Aging Summary";#N/A,#N/A,FALSE,"Ratio Analysis";#N/A,#N/A,FALSE,"Test 120 Day Accts";#N/A,#N/A,FALSE,"Tickmarks"}</definedName>
    <definedName name="qq" localSheetId="0">{#N/A,#N/A,FALSE,"Aging Summary";#N/A,#N/A,FALSE,"Ratio Analysis";#N/A,#N/A,FALSE,"Test 120 Day Accts";#N/A,#N/A,FALSE,"Tickmarks"}</definedName>
    <definedName name="qq" localSheetId="2">{#N/A,#N/A,FALSE,"Aging Summary";#N/A,#N/A,FALSE,"Ratio Analysis";#N/A,#N/A,FALSE,"Test 120 Day Accts";#N/A,#N/A,FALSE,"Tickmarks"}</definedName>
    <definedName name="qq" localSheetId="8">{#N/A,#N/A,FALSE,"Aging Summary";#N/A,#N/A,FALSE,"Ratio Analysis";#N/A,#N/A,FALSE,"Test 120 Day Accts";#N/A,#N/A,FALSE,"Tickmarks"}</definedName>
    <definedName name="qq" localSheetId="9">{#N/A,#N/A,FALSE,"Aging Summary";#N/A,#N/A,FALSE,"Ratio Analysis";#N/A,#N/A,FALSE,"Test 120 Day Accts";#N/A,#N/A,FALSE,"Tickmarks"}</definedName>
    <definedName name="qq" localSheetId="10">{#N/A,#N/A,FALSE,"Aging Summary";#N/A,#N/A,FALSE,"Ratio Analysis";#N/A,#N/A,FALSE,"Test 120 Day Accts";#N/A,#N/A,FALSE,"Tickmarks"}</definedName>
    <definedName name="qq">{#N/A,#N/A,FALSE,"Aging Summary";#N/A,#N/A,FALSE,"Ratio Analysis";#N/A,#N/A,FALSE,"Test 120 Day Accts";#N/A,#N/A,FALSE,"Tickmarks"}</definedName>
    <definedName name="qqq" localSheetId="7">{#N/A,#N/A,FALSE,"vol";#N/A,#N/A,FALSE,"sum";#N/A,#N/A,FALSE,"CY95";#N/A,#N/A,FALSE,"JFY95";#N/A,#N/A,FALSE,"Asmp97 pre";#N/A,#N/A,FALSE,"CY97calR"}</definedName>
    <definedName name="qqq" localSheetId="0">{#N/A,#N/A,FALSE,"vol";#N/A,#N/A,FALSE,"sum";#N/A,#N/A,FALSE,"CY95";#N/A,#N/A,FALSE,"JFY95";#N/A,#N/A,FALSE,"Asmp97 pre";#N/A,#N/A,FALSE,"CY97calR"}</definedName>
    <definedName name="qqq" localSheetId="2">{#N/A,#N/A,FALSE,"vol";#N/A,#N/A,FALSE,"sum";#N/A,#N/A,FALSE,"CY95";#N/A,#N/A,FALSE,"JFY95";#N/A,#N/A,FALSE,"Asmp97 pre";#N/A,#N/A,FALSE,"CY97calR"}</definedName>
    <definedName name="qqq" localSheetId="8">{#N/A,#N/A,FALSE,"vol";#N/A,#N/A,FALSE,"sum";#N/A,#N/A,FALSE,"CY95";#N/A,#N/A,FALSE,"JFY95";#N/A,#N/A,FALSE,"Asmp97 pre";#N/A,#N/A,FALSE,"CY97calR"}</definedName>
    <definedName name="qqq" localSheetId="9">{#N/A,#N/A,FALSE,"vol";#N/A,#N/A,FALSE,"sum";#N/A,#N/A,FALSE,"CY95";#N/A,#N/A,FALSE,"JFY95";#N/A,#N/A,FALSE,"Asmp97 pre";#N/A,#N/A,FALSE,"CY97calR"}</definedName>
    <definedName name="qqq" localSheetId="10">{#N/A,#N/A,FALSE,"vol";#N/A,#N/A,FALSE,"sum";#N/A,#N/A,FALSE,"CY95";#N/A,#N/A,FALSE,"JFY95";#N/A,#N/A,FALSE,"Asmp97 pre";#N/A,#N/A,FALSE,"CY97calR"}</definedName>
    <definedName name="qqq">{#N/A,#N/A,FALSE,"vol";#N/A,#N/A,FALSE,"sum";#N/A,#N/A,FALSE,"CY95";#N/A,#N/A,FALSE,"JFY95";#N/A,#N/A,FALSE,"Asmp97 pre";#N/A,#N/A,FALSE,"CY97calR"}</definedName>
    <definedName name="qqqqq" localSheetId="7">{#N/A,"OBAA",FALSE,"vol";#N/A,#N/A,FALSE,"Memo";#N/A,#N/A,FALSE,"sum";#N/A,#N/A,FALSE,"CY95";#N/A,#N/A,FALSE,"JFY95";#N/A,#N/A,FALSE,"Asmp97 pre";#N/A,#N/A,FALSE,"CY97calR"}</definedName>
    <definedName name="qqqqq" localSheetId="0">{#N/A,"OBAA",FALSE,"vol";#N/A,#N/A,FALSE,"Memo";#N/A,#N/A,FALSE,"sum";#N/A,#N/A,FALSE,"CY95";#N/A,#N/A,FALSE,"JFY95";#N/A,#N/A,FALSE,"Asmp97 pre";#N/A,#N/A,FALSE,"CY97calR"}</definedName>
    <definedName name="qqqqq" localSheetId="2">{#N/A,"OBAA",FALSE,"vol";#N/A,#N/A,FALSE,"Memo";#N/A,#N/A,FALSE,"sum";#N/A,#N/A,FALSE,"CY95";#N/A,#N/A,FALSE,"JFY95";#N/A,#N/A,FALSE,"Asmp97 pre";#N/A,#N/A,FALSE,"CY97calR"}</definedName>
    <definedName name="qqqqq" localSheetId="8">{#N/A,"OBAA",FALSE,"vol";#N/A,#N/A,FALSE,"Memo";#N/A,#N/A,FALSE,"sum";#N/A,#N/A,FALSE,"CY95";#N/A,#N/A,FALSE,"JFY95";#N/A,#N/A,FALSE,"Asmp97 pre";#N/A,#N/A,FALSE,"CY97calR"}</definedName>
    <definedName name="qqqqq" localSheetId="9">{#N/A,"OBAA",FALSE,"vol";#N/A,#N/A,FALSE,"Memo";#N/A,#N/A,FALSE,"sum";#N/A,#N/A,FALSE,"CY95";#N/A,#N/A,FALSE,"JFY95";#N/A,#N/A,FALSE,"Asmp97 pre";#N/A,#N/A,FALSE,"CY97calR"}</definedName>
    <definedName name="qqqqq" localSheetId="10">{#N/A,"OBAA",FALSE,"vol";#N/A,#N/A,FALSE,"Memo";#N/A,#N/A,FALSE,"sum";#N/A,#N/A,FALSE,"CY95";#N/A,#N/A,FALSE,"JFY95";#N/A,#N/A,FALSE,"Asmp97 pre";#N/A,#N/A,FALSE,"CY97calR"}</definedName>
    <definedName name="qqqqq">{#N/A,"OBAA",FALSE,"vol";#N/A,#N/A,FALSE,"Memo";#N/A,#N/A,FALSE,"sum";#N/A,#N/A,FALSE,"CY95";#N/A,#N/A,FALSE,"JFY95";#N/A,#N/A,FALSE,"Asmp97 pre";#N/A,#N/A,FALSE,"CY97calR"}</definedName>
    <definedName name="qqqqqq" localSheetId="7">{#N/A,"OBB",FALSE,"vol";#N/A,#N/A,FALSE,"Memo";#N/A,#N/A,FALSE,"sum";#N/A,#N/A,FALSE,"CY95";#N/A,#N/A,FALSE,"JFY95";#N/A,#N/A,FALSE,"Asmp97 pre";#N/A,#N/A,FALSE,"CY97calR"}</definedName>
    <definedName name="qqqqqq" localSheetId="0">{#N/A,"OBB",FALSE,"vol";#N/A,#N/A,FALSE,"Memo";#N/A,#N/A,FALSE,"sum";#N/A,#N/A,FALSE,"CY95";#N/A,#N/A,FALSE,"JFY95";#N/A,#N/A,FALSE,"Asmp97 pre";#N/A,#N/A,FALSE,"CY97calR"}</definedName>
    <definedName name="qqqqqq" localSheetId="2">{#N/A,"OBB",FALSE,"vol";#N/A,#N/A,FALSE,"Memo";#N/A,#N/A,FALSE,"sum";#N/A,#N/A,FALSE,"CY95";#N/A,#N/A,FALSE,"JFY95";#N/A,#N/A,FALSE,"Asmp97 pre";#N/A,#N/A,FALSE,"CY97calR"}</definedName>
    <definedName name="qqqqqq" localSheetId="8">{#N/A,"OBB",FALSE,"vol";#N/A,#N/A,FALSE,"Memo";#N/A,#N/A,FALSE,"sum";#N/A,#N/A,FALSE,"CY95";#N/A,#N/A,FALSE,"JFY95";#N/A,#N/A,FALSE,"Asmp97 pre";#N/A,#N/A,FALSE,"CY97calR"}</definedName>
    <definedName name="qqqqqq" localSheetId="9">{#N/A,"OBB",FALSE,"vol";#N/A,#N/A,FALSE,"Memo";#N/A,#N/A,FALSE,"sum";#N/A,#N/A,FALSE,"CY95";#N/A,#N/A,FALSE,"JFY95";#N/A,#N/A,FALSE,"Asmp97 pre";#N/A,#N/A,FALSE,"CY97calR"}</definedName>
    <definedName name="qqqqqq" localSheetId="10">{#N/A,"OBB",FALSE,"vol";#N/A,#N/A,FALSE,"Memo";#N/A,#N/A,FALSE,"sum";#N/A,#N/A,FALSE,"CY95";#N/A,#N/A,FALSE,"JFY95";#N/A,#N/A,FALSE,"Asmp97 pre";#N/A,#N/A,FALSE,"CY97calR"}</definedName>
    <definedName name="qqqqqq">{#N/A,"OBB",FALSE,"vol";#N/A,#N/A,FALSE,"Memo";#N/A,#N/A,FALSE,"sum";#N/A,#N/A,FALSE,"CY95";#N/A,#N/A,FALSE,"JFY95";#N/A,#N/A,FALSE,"Asmp97 pre";#N/A,#N/A,FALSE,"CY97calR"}</definedName>
    <definedName name="qqqqqqq" localSheetId="7">{#N/A,"OBBB",FALSE,"vol";#N/A,#N/A,FALSE,"Memo";#N/A,#N/A,FALSE,"sum";#N/A,#N/A,FALSE,"CY95";#N/A,#N/A,FALSE,"JFY95";#N/A,#N/A,FALSE,"Asmp97 pre";#N/A,#N/A,FALSE,"CY97calR"}</definedName>
    <definedName name="qqqqqqq" localSheetId="0">{#N/A,"OBBB",FALSE,"vol";#N/A,#N/A,FALSE,"Memo";#N/A,#N/A,FALSE,"sum";#N/A,#N/A,FALSE,"CY95";#N/A,#N/A,FALSE,"JFY95";#N/A,#N/A,FALSE,"Asmp97 pre";#N/A,#N/A,FALSE,"CY97calR"}</definedName>
    <definedName name="qqqqqqq" localSheetId="2">{#N/A,"OBBB",FALSE,"vol";#N/A,#N/A,FALSE,"Memo";#N/A,#N/A,FALSE,"sum";#N/A,#N/A,FALSE,"CY95";#N/A,#N/A,FALSE,"JFY95";#N/A,#N/A,FALSE,"Asmp97 pre";#N/A,#N/A,FALSE,"CY97calR"}</definedName>
    <definedName name="qqqqqqq" localSheetId="8">{#N/A,"OBBB",FALSE,"vol";#N/A,#N/A,FALSE,"Memo";#N/A,#N/A,FALSE,"sum";#N/A,#N/A,FALSE,"CY95";#N/A,#N/A,FALSE,"JFY95";#N/A,#N/A,FALSE,"Asmp97 pre";#N/A,#N/A,FALSE,"CY97calR"}</definedName>
    <definedName name="qqqqqqq" localSheetId="9">{#N/A,"OBBB",FALSE,"vol";#N/A,#N/A,FALSE,"Memo";#N/A,#N/A,FALSE,"sum";#N/A,#N/A,FALSE,"CY95";#N/A,#N/A,FALSE,"JFY95";#N/A,#N/A,FALSE,"Asmp97 pre";#N/A,#N/A,FALSE,"CY97calR"}</definedName>
    <definedName name="qqqqqqq" localSheetId="10">{#N/A,"OBBB",FALSE,"vol";#N/A,#N/A,FALSE,"Memo";#N/A,#N/A,FALSE,"sum";#N/A,#N/A,FALSE,"CY95";#N/A,#N/A,FALSE,"JFY95";#N/A,#N/A,FALSE,"Asmp97 pre";#N/A,#N/A,FALSE,"CY97calR"}</definedName>
    <definedName name="qqqqqqq">{#N/A,"OBBB",FALSE,"vol";#N/A,#N/A,FALSE,"Memo";#N/A,#N/A,FALSE,"sum";#N/A,#N/A,FALSE,"CY95";#N/A,#N/A,FALSE,"JFY95";#N/A,#N/A,FALSE,"Asmp97 pre";#N/A,#N/A,FALSE,"CY97calR"}</definedName>
    <definedName name="qw" localSheetId="7">#REF!</definedName>
    <definedName name="qw" localSheetId="2">#REF!</definedName>
    <definedName name="qw" localSheetId="8">#REF!</definedName>
    <definedName name="qw" localSheetId="9">#REF!</definedName>
    <definedName name="qw" localSheetId="10">#REF!</definedName>
    <definedName name="qw">#REF!</definedName>
    <definedName name="qwefqwef" localSheetId="7">{"US DOLLARS",#N/A,FALSE,"FMEOB96"}</definedName>
    <definedName name="qwefqwef" localSheetId="0">{"US DOLLARS",#N/A,FALSE,"FMEOB96"}</definedName>
    <definedName name="qwefqwef" localSheetId="2">{"US DOLLARS",#N/A,FALSE,"FMEOB96"}</definedName>
    <definedName name="qwefqwef" localSheetId="8">{"US DOLLARS",#N/A,FALSE,"FMEOB96"}</definedName>
    <definedName name="qwefqwef" localSheetId="9">{"US DOLLARS",#N/A,FALSE,"FMEOB96"}</definedName>
    <definedName name="qwefqwef" localSheetId="10">{"US DOLLARS",#N/A,FALSE,"FMEOB96"}</definedName>
    <definedName name="qwefqwef">{"US DOLLARS",#N/A,FALSE,"FMEOB96"}</definedName>
    <definedName name="qwefqwefq" localSheetId="7">{"FME HEADCOUNT",#N/A,FALSE,"PRODHEAD"}</definedName>
    <definedName name="qwefqwefq" localSheetId="0">{"FME HEADCOUNT",#N/A,FALSE,"PRODHEAD"}</definedName>
    <definedName name="qwefqwefq" localSheetId="2">{"FME HEADCOUNT",#N/A,FALSE,"PRODHEAD"}</definedName>
    <definedName name="qwefqwefq" localSheetId="8">{"FME HEADCOUNT",#N/A,FALSE,"PRODHEAD"}</definedName>
    <definedName name="qwefqwefq" localSheetId="9">{"FME HEADCOUNT",#N/A,FALSE,"PRODHEAD"}</definedName>
    <definedName name="qwefqwefq" localSheetId="10">{"FME HEADCOUNT",#N/A,FALSE,"PRODHEAD"}</definedName>
    <definedName name="qwefqwefq">{"FME HEADCOUNT",#N/A,FALSE,"PRODHEAD"}</definedName>
    <definedName name="QWERGFQWEGFW" localSheetId="7">{"FME HEADCOUNT",#N/A,FALSE,"PRODHEAD"}</definedName>
    <definedName name="QWERGFQWEGFW" localSheetId="0">{"FME HEADCOUNT",#N/A,FALSE,"PRODHEAD"}</definedName>
    <definedName name="QWERGFQWEGFW" localSheetId="2">{"FME HEADCOUNT",#N/A,FALSE,"PRODHEAD"}</definedName>
    <definedName name="QWERGFQWEGFW" localSheetId="8">{"FME HEADCOUNT",#N/A,FALSE,"PRODHEAD"}</definedName>
    <definedName name="QWERGFQWEGFW" localSheetId="9">{"FME HEADCOUNT",#N/A,FALSE,"PRODHEAD"}</definedName>
    <definedName name="QWERGFQWEGFW" localSheetId="10">{"FME HEADCOUNT",#N/A,FALSE,"PRODHEAD"}</definedName>
    <definedName name="QWERGFQWEGFW">{"FME HEADCOUNT",#N/A,FALSE,"PRODHEAD"}</definedName>
    <definedName name="qwert" localSheetId="7">#REF!</definedName>
    <definedName name="qwert" localSheetId="2">#REF!</definedName>
    <definedName name="qwert" localSheetId="8">#REF!</definedName>
    <definedName name="qwert" localSheetId="9">#REF!</definedName>
    <definedName name="qwert" localSheetId="10">#REF!</definedName>
    <definedName name="qwert">#REF!</definedName>
    <definedName name="QWERWERW" localSheetId="7">{#N/A,#N/A,FALSE,"FMEOB96"}</definedName>
    <definedName name="QWERWERW" localSheetId="0">{#N/A,#N/A,FALSE,"FMEOB96"}</definedName>
    <definedName name="QWERWERW" localSheetId="2">{#N/A,#N/A,FALSE,"FMEOB96"}</definedName>
    <definedName name="QWERWERW" localSheetId="8">{#N/A,#N/A,FALSE,"FMEOB96"}</definedName>
    <definedName name="QWERWERW" localSheetId="9">{#N/A,#N/A,FALSE,"FMEOB96"}</definedName>
    <definedName name="QWERWERW" localSheetId="10">{#N/A,#N/A,FALSE,"FMEOB96"}</definedName>
    <definedName name="QWERWERW">{#N/A,#N/A,FALSE,"FMEOB96"}</definedName>
    <definedName name="qwesxzcf" localSheetId="7">#REF!</definedName>
    <definedName name="qwesxzcf" localSheetId="2">#REF!</definedName>
    <definedName name="qwesxzcf" localSheetId="8">#REF!</definedName>
    <definedName name="qwesxzcf" localSheetId="9">#REF!</definedName>
    <definedName name="qwesxzcf" localSheetId="10">#REF!</definedName>
    <definedName name="qwesxzcf">#REF!</definedName>
    <definedName name="qwq" localSheetId="7">#REF!</definedName>
    <definedName name="qwq" localSheetId="2">#REF!</definedName>
    <definedName name="qwq" localSheetId="8">#REF!</definedName>
    <definedName name="qwq" localSheetId="9">#REF!</definedName>
    <definedName name="qwq" localSheetId="10">#REF!</definedName>
    <definedName name="qwq">#REF!</definedName>
    <definedName name="QWQW" localSheetId="7">#REF!</definedName>
    <definedName name="QWQW" localSheetId="2">#REF!</definedName>
    <definedName name="QWQW" localSheetId="8">#REF!</definedName>
    <definedName name="QWQW" localSheetId="9">#REF!</definedName>
    <definedName name="QWQW" localSheetId="10">#REF!</definedName>
    <definedName name="QWQW">#REF!</definedName>
    <definedName name="QWQW2" localSheetId="7">#REF!</definedName>
    <definedName name="QWQW2" localSheetId="2">#REF!</definedName>
    <definedName name="QWQW2" localSheetId="8">#REF!</definedName>
    <definedName name="QWQW2" localSheetId="9">#REF!</definedName>
    <definedName name="QWQW2" localSheetId="10">#REF!</definedName>
    <definedName name="QWQW2">#REF!</definedName>
    <definedName name="rap.context.identifier" localSheetId="7">#REF!</definedName>
    <definedName name="rap.context.identifier" localSheetId="8">#REF!</definedName>
    <definedName name="rap.context.identifier" localSheetId="9">#REF!</definedName>
    <definedName name="rap.context.identifier" localSheetId="10">#REF!</definedName>
    <definedName name="rap.context.identifier">#REF!</definedName>
    <definedName name="rap.context.scheme" localSheetId="7">#REF!</definedName>
    <definedName name="rap.context.scheme" localSheetId="8">#REF!</definedName>
    <definedName name="rap.context.scheme" localSheetId="9">#REF!</definedName>
    <definedName name="rap.context.scheme" localSheetId="10">#REF!</definedName>
    <definedName name="rap.context.scheme">#REF!</definedName>
    <definedName name="rap.date.1" localSheetId="7">#REF!</definedName>
    <definedName name="rap.date.1" localSheetId="8">#REF!</definedName>
    <definedName name="rap.date.1" localSheetId="9">#REF!</definedName>
    <definedName name="rap.date.1" localSheetId="10">#REF!</definedName>
    <definedName name="rap.date.1">#REF!</definedName>
    <definedName name="rap.date.12" localSheetId="7">#REF!</definedName>
    <definedName name="rap.date.12" localSheetId="8">#REF!</definedName>
    <definedName name="rap.date.12" localSheetId="9">#REF!</definedName>
    <definedName name="rap.date.12" localSheetId="10">#REF!</definedName>
    <definedName name="rap.date.12">#REF!</definedName>
    <definedName name="rap.date.2" localSheetId="7">#REF!</definedName>
    <definedName name="rap.date.2" localSheetId="8">#REF!</definedName>
    <definedName name="rap.date.2" localSheetId="9">#REF!</definedName>
    <definedName name="rap.date.2" localSheetId="10">#REF!</definedName>
    <definedName name="rap.date.2">#REF!</definedName>
    <definedName name="rap.date.3" localSheetId="7">#REF!</definedName>
    <definedName name="rap.date.3" localSheetId="8">#REF!</definedName>
    <definedName name="rap.date.3" localSheetId="9">#REF!</definedName>
    <definedName name="rap.date.3" localSheetId="10">#REF!</definedName>
    <definedName name="rap.date.3">#REF!</definedName>
    <definedName name="rap.date.4" localSheetId="7">#REF!</definedName>
    <definedName name="rap.date.4" localSheetId="8">#REF!</definedName>
    <definedName name="rap.date.4" localSheetId="9">#REF!</definedName>
    <definedName name="rap.date.4" localSheetId="10">#REF!</definedName>
    <definedName name="rap.date.4">#REF!</definedName>
    <definedName name="rap.date.5" localSheetId="7">#REF!</definedName>
    <definedName name="rap.date.5" localSheetId="8">#REF!</definedName>
    <definedName name="rap.date.5" localSheetId="9">#REF!</definedName>
    <definedName name="rap.date.5" localSheetId="10">#REF!</definedName>
    <definedName name="rap.date.5">#REF!</definedName>
    <definedName name="rap.date.6" localSheetId="7">#REF!</definedName>
    <definedName name="rap.date.6" localSheetId="8">#REF!</definedName>
    <definedName name="rap.date.6" localSheetId="9">#REF!</definedName>
    <definedName name="rap.date.6" localSheetId="10">#REF!</definedName>
    <definedName name="rap.date.6">#REF!</definedName>
    <definedName name="rap.date.7" localSheetId="7">#REF!</definedName>
    <definedName name="rap.date.7" localSheetId="8">#REF!</definedName>
    <definedName name="rap.date.7" localSheetId="9">#REF!</definedName>
    <definedName name="rap.date.7" localSheetId="10">#REF!</definedName>
    <definedName name="rap.date.7">#REF!</definedName>
    <definedName name="rap.date.8" localSheetId="7">#REF!</definedName>
    <definedName name="rap.date.8" localSheetId="8">#REF!</definedName>
    <definedName name="rap.date.8" localSheetId="9">#REF!</definedName>
    <definedName name="rap.date.8" localSheetId="10">#REF!</definedName>
    <definedName name="rap.date.8">#REF!</definedName>
    <definedName name="rap.date.9" localSheetId="7">#REF!</definedName>
    <definedName name="rap.date.9" localSheetId="8">#REF!</definedName>
    <definedName name="rap.date.9" localSheetId="9">#REF!</definedName>
    <definedName name="rap.date.9" localSheetId="10">#REF!</definedName>
    <definedName name="rap.date.9">#REF!</definedName>
    <definedName name="rbuub7u" localSheetId="7">#REF!</definedName>
    <definedName name="rbuub7u" localSheetId="2">#REF!</definedName>
    <definedName name="rbuub7u" localSheetId="8">#REF!</definedName>
    <definedName name="rbuub7u" localSheetId="9">#REF!</definedName>
    <definedName name="rbuub7u" localSheetId="10">#REF!</definedName>
    <definedName name="rbuub7u">#REF!</definedName>
    <definedName name="RCArea">#REF!</definedName>
    <definedName name="Ref_Column">1</definedName>
    <definedName name="Ref_Row">13</definedName>
    <definedName name="ret56y" localSheetId="7">#REF!</definedName>
    <definedName name="ret56y" localSheetId="2">#REF!</definedName>
    <definedName name="ret56y" localSheetId="8">#REF!</definedName>
    <definedName name="ret56y" localSheetId="9">#REF!</definedName>
    <definedName name="ret56y" localSheetId="10">#REF!</definedName>
    <definedName name="ret56y">#REF!</definedName>
    <definedName name="rmcAccount">"T004"</definedName>
    <definedName name="rmcApplication">"97MT"</definedName>
    <definedName name="rmcCategory">"OBINT"</definedName>
    <definedName name="rmcFrequency">"QTD"</definedName>
    <definedName name="rmcName">"CNFTTL"</definedName>
    <definedName name="RMCOptions">"*100000000000000"</definedName>
    <definedName name="rrdjsrjr" localSheetId="7">{#N/A,#N/A,FALSE,"Aging Summary";#N/A,#N/A,FALSE,"Ratio Analysis";#N/A,#N/A,FALSE,"Test 120 Day Accts";#N/A,#N/A,FALSE,"Tickmarks"}</definedName>
    <definedName name="rrdjsrjr" localSheetId="0">{#N/A,#N/A,FALSE,"Aging Summary";#N/A,#N/A,FALSE,"Ratio Analysis";#N/A,#N/A,FALSE,"Test 120 Day Accts";#N/A,#N/A,FALSE,"Tickmarks"}</definedName>
    <definedName name="rrdjsrjr" localSheetId="2">{#N/A,#N/A,FALSE,"Aging Summary";#N/A,#N/A,FALSE,"Ratio Analysis";#N/A,#N/A,FALSE,"Test 120 Day Accts";#N/A,#N/A,FALSE,"Tickmarks"}</definedName>
    <definedName name="rrdjsrjr" localSheetId="8">{#N/A,#N/A,FALSE,"Aging Summary";#N/A,#N/A,FALSE,"Ratio Analysis";#N/A,#N/A,FALSE,"Test 120 Day Accts";#N/A,#N/A,FALSE,"Tickmarks"}</definedName>
    <definedName name="rrdjsrjr" localSheetId="9">{#N/A,#N/A,FALSE,"Aging Summary";#N/A,#N/A,FALSE,"Ratio Analysis";#N/A,#N/A,FALSE,"Test 120 Day Accts";#N/A,#N/A,FALSE,"Tickmarks"}</definedName>
    <definedName name="rrdjsrjr" localSheetId="10">{#N/A,#N/A,FALSE,"Aging Summary";#N/A,#N/A,FALSE,"Ratio Analysis";#N/A,#N/A,FALSE,"Test 120 Day Accts";#N/A,#N/A,FALSE,"Tickmarks"}</definedName>
    <definedName name="rrdjsrjr">{#N/A,#N/A,FALSE,"Aging Summary";#N/A,#N/A,FALSE,"Ratio Analysis";#N/A,#N/A,FALSE,"Test 120 Day Accts";#N/A,#N/A,FALSE,"Tickmarks"}</definedName>
    <definedName name="RRR" localSheetId="7">#REF!</definedName>
    <definedName name="RRR" localSheetId="2">#REF!</definedName>
    <definedName name="RRR" localSheetId="8">#REF!</definedName>
    <definedName name="RRR" localSheetId="9">#REF!</definedName>
    <definedName name="RRR" localSheetId="10">#REF!</definedName>
    <definedName name="RRR">#REF!</definedName>
    <definedName name="rrrr" localSheetId="7">{#N/A,#N/A,FALSE,"Aging Summary";#N/A,#N/A,FALSE,"Ratio Analysis";#N/A,#N/A,FALSE,"Test 120 Day Accts";#N/A,#N/A,FALSE,"Tickmarks"}</definedName>
    <definedName name="rrrr" localSheetId="0">{#N/A,#N/A,FALSE,"Aging Summary";#N/A,#N/A,FALSE,"Ratio Analysis";#N/A,#N/A,FALSE,"Test 120 Day Accts";#N/A,#N/A,FALSE,"Tickmarks"}</definedName>
    <definedName name="rrrr" localSheetId="2">{#N/A,#N/A,FALSE,"Aging Summary";#N/A,#N/A,FALSE,"Ratio Analysis";#N/A,#N/A,FALSE,"Test 120 Day Accts";#N/A,#N/A,FALSE,"Tickmarks"}</definedName>
    <definedName name="rrrr" localSheetId="8">{#N/A,#N/A,FALSE,"Aging Summary";#N/A,#N/A,FALSE,"Ratio Analysis";#N/A,#N/A,FALSE,"Test 120 Day Accts";#N/A,#N/A,FALSE,"Tickmarks"}</definedName>
    <definedName name="rrrr" localSheetId="9">{#N/A,#N/A,FALSE,"Aging Summary";#N/A,#N/A,FALSE,"Ratio Analysis";#N/A,#N/A,FALSE,"Test 120 Day Accts";#N/A,#N/A,FALSE,"Tickmarks"}</definedName>
    <definedName name="rrrr" localSheetId="10">{#N/A,#N/A,FALSE,"Aging Summary";#N/A,#N/A,FALSE,"Ratio Analysis";#N/A,#N/A,FALSE,"Test 120 Day Accts";#N/A,#N/A,FALSE,"Tickmarks"}</definedName>
    <definedName name="rrrr">{#N/A,#N/A,FALSE,"Aging Summary";#N/A,#N/A,FALSE,"Ratio Analysis";#N/A,#N/A,FALSE,"Test 120 Day Accts";#N/A,#N/A,FALSE,"Tickmarks"}</definedName>
    <definedName name="RSPs" localSheetId="7">{"'TOB-Vol'!$L$2:$AD$40"}</definedName>
    <definedName name="RSPs" localSheetId="0">{"'TOB-Vol'!$L$2:$AD$40"}</definedName>
    <definedName name="RSPs" localSheetId="2">{"'TOB-Vol'!$L$2:$AD$40"}</definedName>
    <definedName name="RSPs" localSheetId="8">{"'TOB-Vol'!$L$2:$AD$40"}</definedName>
    <definedName name="RSPs" localSheetId="9">{"'TOB-Vol'!$L$2:$AD$40"}</definedName>
    <definedName name="RSPs" localSheetId="10">{"'TOB-Vol'!$L$2:$AD$40"}</definedName>
    <definedName name="RSPs">{"'TOB-Vol'!$L$2:$AD$40"}</definedName>
    <definedName name="ruhhruh">#REF!</definedName>
    <definedName name="ruun">#REF!</definedName>
    <definedName name="ryqeey" localSheetId="7">{"FME HEADCOUNT",#N/A,FALSE,"PRODHEAD"}</definedName>
    <definedName name="ryqeey" localSheetId="0">{"FME HEADCOUNT",#N/A,FALSE,"PRODHEAD"}</definedName>
    <definedName name="ryqeey" localSheetId="2">{"FME HEADCOUNT",#N/A,FALSE,"PRODHEAD"}</definedName>
    <definedName name="ryqeey" localSheetId="8">{"FME HEADCOUNT",#N/A,FALSE,"PRODHEAD"}</definedName>
    <definedName name="ryqeey" localSheetId="9">{"FME HEADCOUNT",#N/A,FALSE,"PRODHEAD"}</definedName>
    <definedName name="ryqeey" localSheetId="10">{"FME HEADCOUNT",#N/A,FALSE,"PRODHEAD"}</definedName>
    <definedName name="ryqeey">{"FME HEADCOUNT",#N/A,FALSE,"PRODHEAD"}</definedName>
    <definedName name="s">#REF!</definedName>
    <definedName name="SAPBEXhrIndnt">"Wide"</definedName>
    <definedName name="SAPBEXrevision">1</definedName>
    <definedName name="SAPBEXsysID">"PC3"</definedName>
    <definedName name="SAPBEXwbID">"3N7FL2Q13LO7DVKRK51MWHLZZ"</definedName>
    <definedName name="SAPsysID">"708C5W7SBKP804JT78WJ0JNKI"</definedName>
    <definedName name="SAPwbID">"ARS"</definedName>
    <definedName name="sasa" localSheetId="7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localSheetId="0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localSheetId="2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localSheetId="8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localSheetId="9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 localSheetId="10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asasasas" localSheetId="7">{#N/A,#N/A,FALSE,"Aging Summary";#N/A,#N/A,FALSE,"Ratio Analysis";#N/A,#N/A,FALSE,"Test 120 Day Accts";#N/A,#N/A,FALSE,"Tickmarks"}</definedName>
    <definedName name="sasasasas" localSheetId="0">{#N/A,#N/A,FALSE,"Aging Summary";#N/A,#N/A,FALSE,"Ratio Analysis";#N/A,#N/A,FALSE,"Test 120 Day Accts";#N/A,#N/A,FALSE,"Tickmarks"}</definedName>
    <definedName name="sasasasas" localSheetId="2">{#N/A,#N/A,FALSE,"Aging Summary";#N/A,#N/A,FALSE,"Ratio Analysis";#N/A,#N/A,FALSE,"Test 120 Day Accts";#N/A,#N/A,FALSE,"Tickmarks"}</definedName>
    <definedName name="sasasasas" localSheetId="8">{#N/A,#N/A,FALSE,"Aging Summary";#N/A,#N/A,FALSE,"Ratio Analysis";#N/A,#N/A,FALSE,"Test 120 Day Accts";#N/A,#N/A,FALSE,"Tickmarks"}</definedName>
    <definedName name="sasasasas" localSheetId="9">{#N/A,#N/A,FALSE,"Aging Summary";#N/A,#N/A,FALSE,"Ratio Analysis";#N/A,#N/A,FALSE,"Test 120 Day Accts";#N/A,#N/A,FALSE,"Tickmarks"}</definedName>
    <definedName name="sasasasas" localSheetId="10">{#N/A,#N/A,FALSE,"Aging Summary";#N/A,#N/A,FALSE,"Ratio Analysis";#N/A,#N/A,FALSE,"Test 120 Day Accts";#N/A,#N/A,FALSE,"Tickmarks"}</definedName>
    <definedName name="sasasasas">{#N/A,#N/A,FALSE,"Aging Summary";#N/A,#N/A,FALSE,"Ratio Analysis";#N/A,#N/A,FALSE,"Test 120 Day Accts";#N/A,#N/A,FALSE,"Tickmarks"}</definedName>
    <definedName name="sdf" localSheetId="7">{"'TOB-Vol'!$L$2:$AD$40"}</definedName>
    <definedName name="sdf" localSheetId="0">{"'TOB-Vol'!$L$2:$AD$40"}</definedName>
    <definedName name="sdf" localSheetId="2">{"'TOB-Vol'!$L$2:$AD$40"}</definedName>
    <definedName name="sdf" localSheetId="8">{"'TOB-Vol'!$L$2:$AD$40"}</definedName>
    <definedName name="sdf" localSheetId="9">{"'TOB-Vol'!$L$2:$AD$40"}</definedName>
    <definedName name="sdf" localSheetId="10">{"'TOB-Vol'!$L$2:$AD$40"}</definedName>
    <definedName name="sdf">{"'TOB-Vol'!$L$2:$AD$40"}</definedName>
    <definedName name="sdfdf" localSheetId="7">{"US DOLLARS",#N/A,FALSE,"FMEOB96"}</definedName>
    <definedName name="sdfdf" localSheetId="0">{"US DOLLARS",#N/A,FALSE,"FMEOB96"}</definedName>
    <definedName name="sdfdf" localSheetId="2">{"US DOLLARS",#N/A,FALSE,"FMEOB96"}</definedName>
    <definedName name="sdfdf" localSheetId="8">{"US DOLLARS",#N/A,FALSE,"FMEOB96"}</definedName>
    <definedName name="sdfdf" localSheetId="9">{"US DOLLARS",#N/A,FALSE,"FMEOB96"}</definedName>
    <definedName name="sdfdf" localSheetId="10">{"US DOLLARS",#N/A,FALSE,"FMEOB96"}</definedName>
    <definedName name="sdfdf">{"US DOLLARS",#N/A,FALSE,"FMEOB96"}</definedName>
    <definedName name="SDFHADNFB" localSheetId="7">#REF!</definedName>
    <definedName name="SDFHADNFB" localSheetId="2">#REF!</definedName>
    <definedName name="SDFHADNFB" localSheetId="8">#REF!</definedName>
    <definedName name="SDFHADNFB" localSheetId="9">#REF!</definedName>
    <definedName name="SDFHADNFB" localSheetId="10">#REF!</definedName>
    <definedName name="SDFHADNFB">#REF!</definedName>
    <definedName name="SDFHADNFB2" localSheetId="7">#REF!</definedName>
    <definedName name="SDFHADNFB2" localSheetId="2">#REF!</definedName>
    <definedName name="SDFHADNFB2" localSheetId="8">#REF!</definedName>
    <definedName name="SDFHADNFB2" localSheetId="9">#REF!</definedName>
    <definedName name="SDFHADNFB2" localSheetId="10">#REF!</definedName>
    <definedName name="SDFHADNFB2">#REF!</definedName>
    <definedName name="sdsdsd" localSheetId="7">#REF!</definedName>
    <definedName name="sdsdsd" localSheetId="2">#REF!</definedName>
    <definedName name="sdsdsd" localSheetId="8">#REF!</definedName>
    <definedName name="sdsdsd" localSheetId="9">#REF!</definedName>
    <definedName name="sdsdsd" localSheetId="10">#REF!</definedName>
    <definedName name="sdsdsd">#REF!</definedName>
    <definedName name="SE" localSheetId="7">#REF!</definedName>
    <definedName name="SE" localSheetId="2">#REF!</definedName>
    <definedName name="SE" localSheetId="8">#REF!</definedName>
    <definedName name="SE" localSheetId="9">#REF!</definedName>
    <definedName name="SE" localSheetId="10">#REF!</definedName>
    <definedName name="SE">#REF!</definedName>
    <definedName name="sencount">1</definedName>
    <definedName name="sfgsjgh" localSheetId="7">{"FME HEADCOUNT",#N/A,FALSE,"PRODHEAD"}</definedName>
    <definedName name="sfgsjgh" localSheetId="0">{"FME HEADCOUNT",#N/A,FALSE,"PRODHEAD"}</definedName>
    <definedName name="sfgsjgh" localSheetId="2">{"FME HEADCOUNT",#N/A,FALSE,"PRODHEAD"}</definedName>
    <definedName name="sfgsjgh" localSheetId="8">{"FME HEADCOUNT",#N/A,FALSE,"PRODHEAD"}</definedName>
    <definedName name="sfgsjgh" localSheetId="9">{"FME HEADCOUNT",#N/A,FALSE,"PRODHEAD"}</definedName>
    <definedName name="sfgsjgh" localSheetId="10">{"FME HEADCOUNT",#N/A,FALSE,"PRODHEAD"}</definedName>
    <definedName name="sfgsjgh">{"FME HEADCOUNT",#N/A,FALSE,"PRODHEAD"}</definedName>
    <definedName name="shshs" localSheetId="7">{#N/A,#N/A,FALSE,"Aging Summary";#N/A,#N/A,FALSE,"Ratio Analysis";#N/A,#N/A,FALSE,"Test 120 Day Accts";#N/A,#N/A,FALSE,"Tickmarks"}</definedName>
    <definedName name="shshs" localSheetId="0">{#N/A,#N/A,FALSE,"Aging Summary";#N/A,#N/A,FALSE,"Ratio Analysis";#N/A,#N/A,FALSE,"Test 120 Day Accts";#N/A,#N/A,FALSE,"Tickmarks"}</definedName>
    <definedName name="shshs" localSheetId="2">{#N/A,#N/A,FALSE,"Aging Summary";#N/A,#N/A,FALSE,"Ratio Analysis";#N/A,#N/A,FALSE,"Test 120 Day Accts";#N/A,#N/A,FALSE,"Tickmarks"}</definedName>
    <definedName name="shshs" localSheetId="8">{#N/A,#N/A,FALSE,"Aging Summary";#N/A,#N/A,FALSE,"Ratio Analysis";#N/A,#N/A,FALSE,"Test 120 Day Accts";#N/A,#N/A,FALSE,"Tickmarks"}</definedName>
    <definedName name="shshs" localSheetId="9">{#N/A,#N/A,FALSE,"Aging Summary";#N/A,#N/A,FALSE,"Ratio Analysis";#N/A,#N/A,FALSE,"Test 120 Day Accts";#N/A,#N/A,FALSE,"Tickmarks"}</definedName>
    <definedName name="shshs" localSheetId="10">{#N/A,#N/A,FALSE,"Aging Summary";#N/A,#N/A,FALSE,"Ratio Analysis";#N/A,#N/A,FALSE,"Test 120 Day Accts";#N/A,#N/A,FALSE,"Tickmarks"}</definedName>
    <definedName name="shshs">{#N/A,#N/A,FALSE,"Aging Summary";#N/A,#N/A,FALSE,"Ratio Analysis";#N/A,#N/A,FALSE,"Test 120 Day Accts";#N/A,#N/A,FALSE,"Tickmarks"}</definedName>
    <definedName name="solver" localSheetId="7">#REF!</definedName>
    <definedName name="solver" localSheetId="2">#REF!</definedName>
    <definedName name="solver" localSheetId="8">#REF!</definedName>
    <definedName name="solver" localSheetId="9">#REF!</definedName>
    <definedName name="solver" localSheetId="10">#REF!</definedName>
    <definedName name="solver">#REF!</definedName>
    <definedName name="solver_" localSheetId="7">#REF!</definedName>
    <definedName name="solver_" localSheetId="2">#REF!</definedName>
    <definedName name="solver_" localSheetId="8">#REF!</definedName>
    <definedName name="solver_" localSheetId="9">#REF!</definedName>
    <definedName name="solver_" localSheetId="10">#REF!</definedName>
    <definedName name="solver_">#REF!</definedName>
    <definedName name="solver_drv">1</definedName>
    <definedName name="solver_est">1</definedName>
    <definedName name="solver_itr">3000</definedName>
    <definedName name="solver_lin">0</definedName>
    <definedName name="solver_num">1</definedName>
    <definedName name="solver_nwt">1</definedName>
    <definedName name="solver_pre">0.01</definedName>
    <definedName name="solver_rel1">4</definedName>
    <definedName name="solver_rhs1" localSheetId="7">#REF!</definedName>
    <definedName name="solver_rhs1" localSheetId="2">#REF!</definedName>
    <definedName name="solver_rhs1" localSheetId="8">#REF!</definedName>
    <definedName name="solver_rhs1" localSheetId="9">#REF!</definedName>
    <definedName name="solver_rhs1" localSheetId="10">#REF!</definedName>
    <definedName name="solver_rhs1">#REF!</definedName>
    <definedName name="solver_rhs2" localSheetId="7">#REF!</definedName>
    <definedName name="solver_rhs2" localSheetId="2">#REF!</definedName>
    <definedName name="solver_rhs2" localSheetId="8">#REF!</definedName>
    <definedName name="solver_rhs2" localSheetId="9">#REF!</definedName>
    <definedName name="solver_rhs2" localSheetId="10">#REF!</definedName>
    <definedName name="solver_rhs2">#REF!</definedName>
    <definedName name="solver_scl">1</definedName>
    <definedName name="solver_sho">0</definedName>
    <definedName name="solver_tim">100</definedName>
    <definedName name="solver_tol">0.1</definedName>
    <definedName name="solver_typ">3</definedName>
    <definedName name="solver_val">200</definedName>
    <definedName name="SpecialPrice">#REF!</definedName>
    <definedName name="sryjyarw" localSheetId="7">{"labour",#N/A,FALSE,"PRODHEAD"}</definedName>
    <definedName name="sryjyarw" localSheetId="0">{"labour",#N/A,FALSE,"PRODHEAD"}</definedName>
    <definedName name="sryjyarw" localSheetId="2">{"labour",#N/A,FALSE,"PRODHEAD"}</definedName>
    <definedName name="sryjyarw" localSheetId="8">{"labour",#N/A,FALSE,"PRODHEAD"}</definedName>
    <definedName name="sryjyarw" localSheetId="9">{"labour",#N/A,FALSE,"PRODHEAD"}</definedName>
    <definedName name="sryjyarw" localSheetId="10">{"labour",#N/A,FALSE,"PRODHEAD"}</definedName>
    <definedName name="sryjyarw">{"labour",#N/A,FALSE,"PRODHEAD"}</definedName>
    <definedName name="ss" localSheetId="7">{#N/A,"OBB",FALSE,"vol";#N/A,#N/A,FALSE,"Memo";#N/A,#N/A,FALSE,"sum";#N/A,#N/A,FALSE,"CY95";#N/A,#N/A,FALSE,"JFY95";#N/A,#N/A,FALSE,"Asmp97 pre";#N/A,#N/A,FALSE,"CY97calR"}</definedName>
    <definedName name="ss" localSheetId="0">{#N/A,"OBB",FALSE,"vol";#N/A,#N/A,FALSE,"Memo";#N/A,#N/A,FALSE,"sum";#N/A,#N/A,FALSE,"CY95";#N/A,#N/A,FALSE,"JFY95";#N/A,#N/A,FALSE,"Asmp97 pre";#N/A,#N/A,FALSE,"CY97calR"}</definedName>
    <definedName name="ss" localSheetId="2">{#N/A,"OBB",FALSE,"vol";#N/A,#N/A,FALSE,"Memo";#N/A,#N/A,FALSE,"sum";#N/A,#N/A,FALSE,"CY95";#N/A,#N/A,FALSE,"JFY95";#N/A,#N/A,FALSE,"Asmp97 pre";#N/A,#N/A,FALSE,"CY97calR"}</definedName>
    <definedName name="ss" localSheetId="8">{#N/A,"OBB",FALSE,"vol";#N/A,#N/A,FALSE,"Memo";#N/A,#N/A,FALSE,"sum";#N/A,#N/A,FALSE,"CY95";#N/A,#N/A,FALSE,"JFY95";#N/A,#N/A,FALSE,"Asmp97 pre";#N/A,#N/A,FALSE,"CY97calR"}</definedName>
    <definedName name="ss" localSheetId="9">{#N/A,"OBB",FALSE,"vol";#N/A,#N/A,FALSE,"Memo";#N/A,#N/A,FALSE,"sum";#N/A,#N/A,FALSE,"CY95";#N/A,#N/A,FALSE,"JFY95";#N/A,#N/A,FALSE,"Asmp97 pre";#N/A,#N/A,FALSE,"CY97calR"}</definedName>
    <definedName name="ss" localSheetId="10">{#N/A,"OBB",FALSE,"vol";#N/A,#N/A,FALSE,"Memo";#N/A,#N/A,FALSE,"sum";#N/A,#N/A,FALSE,"CY95";#N/A,#N/A,FALSE,"JFY95";#N/A,#N/A,FALSE,"Asmp97 pre";#N/A,#N/A,FALSE,"CY97calR"}</definedName>
    <definedName name="ss">{#N/A,"OBB",FALSE,"vol";#N/A,#N/A,FALSE,"Memo";#N/A,#N/A,FALSE,"sum";#N/A,#N/A,FALSE,"CY95";#N/A,#N/A,FALSE,"JFY95";#N/A,#N/A,FALSE,"Asmp97 pre";#N/A,#N/A,FALSE,"CY97calR"}</definedName>
    <definedName name="sss" localSheetId="7">{#N/A,"OBB",FALSE,"vol";#N/A,#N/A,FALSE,"Memo";#N/A,#N/A,FALSE,"sum";#N/A,#N/A,FALSE,"CY95";#N/A,#N/A,FALSE,"JFY95";#N/A,#N/A,FALSE,"Asmp97 pre";#N/A,#N/A,FALSE,"CY97calR"}</definedName>
    <definedName name="sss" localSheetId="0">{#N/A,"OBB",FALSE,"vol";#N/A,#N/A,FALSE,"Memo";#N/A,#N/A,FALSE,"sum";#N/A,#N/A,FALSE,"CY95";#N/A,#N/A,FALSE,"JFY95";#N/A,#N/A,FALSE,"Asmp97 pre";#N/A,#N/A,FALSE,"CY97calR"}</definedName>
    <definedName name="sss" localSheetId="2">{#N/A,"OBB",FALSE,"vol";#N/A,#N/A,FALSE,"Memo";#N/A,#N/A,FALSE,"sum";#N/A,#N/A,FALSE,"CY95";#N/A,#N/A,FALSE,"JFY95";#N/A,#N/A,FALSE,"Asmp97 pre";#N/A,#N/A,FALSE,"CY97calR"}</definedName>
    <definedName name="sss" localSheetId="8">{#N/A,"OBB",FALSE,"vol";#N/A,#N/A,FALSE,"Memo";#N/A,#N/A,FALSE,"sum";#N/A,#N/A,FALSE,"CY95";#N/A,#N/A,FALSE,"JFY95";#N/A,#N/A,FALSE,"Asmp97 pre";#N/A,#N/A,FALSE,"CY97calR"}</definedName>
    <definedName name="sss" localSheetId="9">{#N/A,"OBB",FALSE,"vol";#N/A,#N/A,FALSE,"Memo";#N/A,#N/A,FALSE,"sum";#N/A,#N/A,FALSE,"CY95";#N/A,#N/A,FALSE,"JFY95";#N/A,#N/A,FALSE,"Asmp97 pre";#N/A,#N/A,FALSE,"CY97calR"}</definedName>
    <definedName name="sss" localSheetId="10">{#N/A,"OBB",FALSE,"vol";#N/A,#N/A,FALSE,"Memo";#N/A,#N/A,FALSE,"sum";#N/A,#N/A,FALSE,"CY95";#N/A,#N/A,FALSE,"JFY95";#N/A,#N/A,FALSE,"Asmp97 pre";#N/A,#N/A,FALSE,"CY97calR"}</definedName>
    <definedName name="sss">{#N/A,"OBB",FALSE,"vol";#N/A,#N/A,FALSE,"Memo";#N/A,#N/A,FALSE,"sum";#N/A,#N/A,FALSE,"CY95";#N/A,#N/A,FALSE,"JFY95";#N/A,#N/A,FALSE,"Asmp97 pre";#N/A,#N/A,FALSE,"CY97calR"}</definedName>
    <definedName name="ssss" localSheetId="7">{#N/A,"OBB",FALSE,"vol";#N/A,#N/A,FALSE,"Memo";#N/A,#N/A,FALSE,"sum";#N/A,#N/A,FALSE,"CY95";#N/A,#N/A,FALSE,"JFY95";#N/A,#N/A,FALSE,"Asmp97 pre";#N/A,#N/A,FALSE,"CY97calR"}</definedName>
    <definedName name="ssss" localSheetId="0">{#N/A,"OBB",FALSE,"vol";#N/A,#N/A,FALSE,"Memo";#N/A,#N/A,FALSE,"sum";#N/A,#N/A,FALSE,"CY95";#N/A,#N/A,FALSE,"JFY95";#N/A,#N/A,FALSE,"Asmp97 pre";#N/A,#N/A,FALSE,"CY97calR"}</definedName>
    <definedName name="ssss" localSheetId="2">{#N/A,"OBB",FALSE,"vol";#N/A,#N/A,FALSE,"Memo";#N/A,#N/A,FALSE,"sum";#N/A,#N/A,FALSE,"CY95";#N/A,#N/A,FALSE,"JFY95";#N/A,#N/A,FALSE,"Asmp97 pre";#N/A,#N/A,FALSE,"CY97calR"}</definedName>
    <definedName name="ssss" localSheetId="8">{#N/A,"OBB",FALSE,"vol";#N/A,#N/A,FALSE,"Memo";#N/A,#N/A,FALSE,"sum";#N/A,#N/A,FALSE,"CY95";#N/A,#N/A,FALSE,"JFY95";#N/A,#N/A,FALSE,"Asmp97 pre";#N/A,#N/A,FALSE,"CY97calR"}</definedName>
    <definedName name="ssss" localSheetId="9">{#N/A,"OBB",FALSE,"vol";#N/A,#N/A,FALSE,"Memo";#N/A,#N/A,FALSE,"sum";#N/A,#N/A,FALSE,"CY95";#N/A,#N/A,FALSE,"JFY95";#N/A,#N/A,FALSE,"Asmp97 pre";#N/A,#N/A,FALSE,"CY97calR"}</definedName>
    <definedName name="ssss" localSheetId="10">{#N/A,"OBB",FALSE,"vol";#N/A,#N/A,FALSE,"Memo";#N/A,#N/A,FALSE,"sum";#N/A,#N/A,FALSE,"CY95";#N/A,#N/A,FALSE,"JFY95";#N/A,#N/A,FALSE,"Asmp97 pre";#N/A,#N/A,FALSE,"CY97calR"}</definedName>
    <definedName name="ssss">{#N/A,"OBB",FALSE,"vol";#N/A,#N/A,FALSE,"Memo";#N/A,#N/A,FALSE,"sum";#N/A,#N/A,FALSE,"CY95";#N/A,#N/A,FALSE,"JFY95";#N/A,#N/A,FALSE,"Asmp97 pre";#N/A,#N/A,FALSE,"CY97calR"}</definedName>
    <definedName name="ssssss" localSheetId="7">{#N/A,"OBBB",FALSE,"vol";#N/A,#N/A,FALSE,"Memo";#N/A,#N/A,FALSE,"sum";#N/A,#N/A,FALSE,"CY95";#N/A,#N/A,FALSE,"JFY95";#N/A,#N/A,FALSE,"Asmp97 pre";#N/A,#N/A,FALSE,"CY97calR"}</definedName>
    <definedName name="ssssss" localSheetId="0">{#N/A,"OBBB",FALSE,"vol";#N/A,#N/A,FALSE,"Memo";#N/A,#N/A,FALSE,"sum";#N/A,#N/A,FALSE,"CY95";#N/A,#N/A,FALSE,"JFY95";#N/A,#N/A,FALSE,"Asmp97 pre";#N/A,#N/A,FALSE,"CY97calR"}</definedName>
    <definedName name="ssssss" localSheetId="2">{#N/A,"OBBB",FALSE,"vol";#N/A,#N/A,FALSE,"Memo";#N/A,#N/A,FALSE,"sum";#N/A,#N/A,FALSE,"CY95";#N/A,#N/A,FALSE,"JFY95";#N/A,#N/A,FALSE,"Asmp97 pre";#N/A,#N/A,FALSE,"CY97calR"}</definedName>
    <definedName name="ssssss" localSheetId="8">{#N/A,"OBBB",FALSE,"vol";#N/A,#N/A,FALSE,"Memo";#N/A,#N/A,FALSE,"sum";#N/A,#N/A,FALSE,"CY95";#N/A,#N/A,FALSE,"JFY95";#N/A,#N/A,FALSE,"Asmp97 pre";#N/A,#N/A,FALSE,"CY97calR"}</definedName>
    <definedName name="ssssss" localSheetId="9">{#N/A,"OBBB",FALSE,"vol";#N/A,#N/A,FALSE,"Memo";#N/A,#N/A,FALSE,"sum";#N/A,#N/A,FALSE,"CY95";#N/A,#N/A,FALSE,"JFY95";#N/A,#N/A,FALSE,"Asmp97 pre";#N/A,#N/A,FALSE,"CY97calR"}</definedName>
    <definedName name="ssssss" localSheetId="10">{#N/A,"OBBB",FALSE,"vol";#N/A,#N/A,FALSE,"Memo";#N/A,#N/A,FALSE,"sum";#N/A,#N/A,FALSE,"CY95";#N/A,#N/A,FALSE,"JFY95";#N/A,#N/A,FALSE,"Asmp97 pre";#N/A,#N/A,FALSE,"CY97calR"}</definedName>
    <definedName name="ssssss">{#N/A,"OBBB",FALSE,"vol";#N/A,#N/A,FALSE,"Memo";#N/A,#N/A,FALSE,"sum";#N/A,#N/A,FALSE,"CY95";#N/A,#N/A,FALSE,"JFY95";#N/A,#N/A,FALSE,"Asmp97 pre";#N/A,#N/A,FALSE,"CY97calR"}</definedName>
    <definedName name="Start_Column">1</definedName>
    <definedName name="Start_Row">13</definedName>
    <definedName name="Stock" localSheetId="7">{"FME HEADCOUNT",#N/A,FALSE,"PRODHEAD"}</definedName>
    <definedName name="Stock" localSheetId="0">{"FME HEADCOUNT",#N/A,FALSE,"PRODHEAD"}</definedName>
    <definedName name="Stock" localSheetId="2">{"FME HEADCOUNT",#N/A,FALSE,"PRODHEAD"}</definedName>
    <definedName name="Stock" localSheetId="8">{"FME HEADCOUNT",#N/A,FALSE,"PRODHEAD"}</definedName>
    <definedName name="Stock" localSheetId="9">{"FME HEADCOUNT",#N/A,FALSE,"PRODHEAD"}</definedName>
    <definedName name="Stock" localSheetId="10">{"FME HEADCOUNT",#N/A,FALSE,"PRODHEAD"}</definedName>
    <definedName name="Stock">{"FME HEADCOUNT",#N/A,FALSE,"PRODHEAD"}</definedName>
    <definedName name="stock1" localSheetId="7">{"labour",#N/A,FALSE,"PRODHEAD"}</definedName>
    <definedName name="stock1" localSheetId="0">{"labour",#N/A,FALSE,"PRODHEAD"}</definedName>
    <definedName name="stock1" localSheetId="2">{"labour",#N/A,FALSE,"PRODHEAD"}</definedName>
    <definedName name="stock1" localSheetId="8">{"labour",#N/A,FALSE,"PRODHEAD"}</definedName>
    <definedName name="stock1" localSheetId="9">{"labour",#N/A,FALSE,"PRODHEAD"}</definedName>
    <definedName name="stock1" localSheetId="10">{"labour",#N/A,FALSE,"PRODHEAD"}</definedName>
    <definedName name="stock1">{"labour",#N/A,FALSE,"PRODHEAD"}</definedName>
    <definedName name="stock2" localSheetId="7">{"US DOLLARS",#N/A,FALSE,"FMEOB96"}</definedName>
    <definedName name="stock2" localSheetId="0">{"US DOLLARS",#N/A,FALSE,"FMEOB96"}</definedName>
    <definedName name="stock2" localSheetId="2">{"US DOLLARS",#N/A,FALSE,"FMEOB96"}</definedName>
    <definedName name="stock2" localSheetId="8">{"US DOLLARS",#N/A,FALSE,"FMEOB96"}</definedName>
    <definedName name="stock2" localSheetId="9">{"US DOLLARS",#N/A,FALSE,"FMEOB96"}</definedName>
    <definedName name="stock2" localSheetId="10">{"US DOLLARS",#N/A,FALSE,"FMEOB96"}</definedName>
    <definedName name="stock2">{"US DOLLARS",#N/A,FALSE,"FMEOB96"}</definedName>
    <definedName name="Stocks" localSheetId="7">{#N/A,#N/A,TRUE,"A-site";#N/A,#N/A,TRUE,"B-Buildings";#N/A,#N/A,TRUE,"c-out-of-fence";#N/A,#N/A,TRUE,"d-proj.infr.";#N/A,#N/A,TRUE,"e- land"}</definedName>
    <definedName name="Stocks" localSheetId="0">{#N/A,#N/A,TRUE,"A-site";#N/A,#N/A,TRUE,"B-Buildings";#N/A,#N/A,TRUE,"c-out-of-fence";#N/A,#N/A,TRUE,"d-proj.infr.";#N/A,#N/A,TRUE,"e- land"}</definedName>
    <definedName name="Stocks" localSheetId="2">{#N/A,#N/A,TRUE,"A-site";#N/A,#N/A,TRUE,"B-Buildings";#N/A,#N/A,TRUE,"c-out-of-fence";#N/A,#N/A,TRUE,"d-proj.infr.";#N/A,#N/A,TRUE,"e- land"}</definedName>
    <definedName name="Stocks" localSheetId="8">{#N/A,#N/A,TRUE,"A-site";#N/A,#N/A,TRUE,"B-Buildings";#N/A,#N/A,TRUE,"c-out-of-fence";#N/A,#N/A,TRUE,"d-proj.infr.";#N/A,#N/A,TRUE,"e- land"}</definedName>
    <definedName name="Stocks" localSheetId="9">{#N/A,#N/A,TRUE,"A-site";#N/A,#N/A,TRUE,"B-Buildings";#N/A,#N/A,TRUE,"c-out-of-fence";#N/A,#N/A,TRUE,"d-proj.infr.";#N/A,#N/A,TRUE,"e- land"}</definedName>
    <definedName name="Stocks" localSheetId="10">{#N/A,#N/A,TRUE,"A-site";#N/A,#N/A,TRUE,"B-Buildings";#N/A,#N/A,TRUE,"c-out-of-fence";#N/A,#N/A,TRUE,"d-proj.infr.";#N/A,#N/A,TRUE,"e- land"}</definedName>
    <definedName name="Stocks">{#N/A,#N/A,TRUE,"A-site";#N/A,#N/A,TRUE,"B-Buildings";#N/A,#N/A,TRUE,"c-out-of-fence";#N/A,#N/A,TRUE,"d-proj.infr.";#N/A,#N/A,TRUE,"e- land"}</definedName>
    <definedName name="Summary1" localSheetId="7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Summary1" localSheetId="0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Summary1" localSheetId="2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Summary1" localSheetId="8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Summary1" localSheetId="9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Summary1" localSheetId="10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Summary1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t" localSheetId="7">{"FME HEADCOUNT",#N/A,FALSE,"PRODHEAD"}</definedName>
    <definedName name="t" localSheetId="0">{"FME HEADCOUNT",#N/A,FALSE,"PRODHEAD"}</definedName>
    <definedName name="t" localSheetId="2">{"FME HEADCOUNT",#N/A,FALSE,"PRODHEAD"}</definedName>
    <definedName name="t" localSheetId="8">{"FME HEADCOUNT",#N/A,FALSE,"PRODHEAD"}</definedName>
    <definedName name="t" localSheetId="9">{"FME HEADCOUNT",#N/A,FALSE,"PRODHEAD"}</definedName>
    <definedName name="t" localSheetId="10">{"FME HEADCOUNT",#N/A,FALSE,"PRODHEAD"}</definedName>
    <definedName name="t">{"FME HEADCOUNT",#N/A,FALSE,"PRODHEAD"}</definedName>
    <definedName name="ta" localSheetId="7">{#N/A,#N/A,FALSE,"Aging Summary";#N/A,#N/A,FALSE,"Ratio Analysis";#N/A,#N/A,FALSE,"Test 120 Day Accts";#N/A,#N/A,FALSE,"Tickmarks"}</definedName>
    <definedName name="ta" localSheetId="0">{#N/A,#N/A,FALSE,"Aging Summary";#N/A,#N/A,FALSE,"Ratio Analysis";#N/A,#N/A,FALSE,"Test 120 Day Accts";#N/A,#N/A,FALSE,"Tickmarks"}</definedName>
    <definedName name="ta" localSheetId="2">{#N/A,#N/A,FALSE,"Aging Summary";#N/A,#N/A,FALSE,"Ratio Analysis";#N/A,#N/A,FALSE,"Test 120 Day Accts";#N/A,#N/A,FALSE,"Tickmarks"}</definedName>
    <definedName name="ta" localSheetId="8">{#N/A,#N/A,FALSE,"Aging Summary";#N/A,#N/A,FALSE,"Ratio Analysis";#N/A,#N/A,FALSE,"Test 120 Day Accts";#N/A,#N/A,FALSE,"Tickmarks"}</definedName>
    <definedName name="ta" localSheetId="9">{#N/A,#N/A,FALSE,"Aging Summary";#N/A,#N/A,FALSE,"Ratio Analysis";#N/A,#N/A,FALSE,"Test 120 Day Accts";#N/A,#N/A,FALSE,"Tickmarks"}</definedName>
    <definedName name="ta" localSheetId="10">{#N/A,#N/A,FALSE,"Aging Summary";#N/A,#N/A,FALSE,"Ratio Analysis";#N/A,#N/A,FALSE,"Test 120 Day Accts";#N/A,#N/A,FALSE,"Tickmarks"}</definedName>
    <definedName name="ta">{#N/A,#N/A,FALSE,"Aging Summary";#N/A,#N/A,FALSE,"Ratio Analysis";#N/A,#N/A,FALSE,"Test 120 Day Accts";#N/A,#N/A,FALSE,"Tickmarks"}</definedName>
    <definedName name="tbl_ProdInfo">#REF!</definedName>
    <definedName name="TemplateWorkbook">"\\pmintl.net\hmsdata\PMI-ID-HMS-ORG\Finance\FPMR\Management Accountant\GMRB PRD\GMRB Report Template\IS 301 - Volume by Month.xlsx"</definedName>
    <definedName name="TEST" localSheetId="7">{"FME HEADCOUNT",#N/A,FALSE,"PRODHEAD"}</definedName>
    <definedName name="TEST" localSheetId="0">{"FME HEADCOUNT",#N/A,FALSE,"PRODHEAD"}</definedName>
    <definedName name="TEST" localSheetId="2">{"FME HEADCOUNT",#N/A,FALSE,"PRODHEAD"}</definedName>
    <definedName name="TEST" localSheetId="8">{"FME HEADCOUNT",#N/A,FALSE,"PRODHEAD"}</definedName>
    <definedName name="TEST" localSheetId="9">{"FME HEADCOUNT",#N/A,FALSE,"PRODHEAD"}</definedName>
    <definedName name="TEST" localSheetId="10">{"FME HEADCOUNT",#N/A,FALSE,"PRODHEAD"}</definedName>
    <definedName name="TEST">{"FME HEADCOUNT",#N/A,FALSE,"PRODHEAD"}</definedName>
    <definedName name="TEST1" localSheetId="7">#REF!</definedName>
    <definedName name="TEST1" localSheetId="8">#REF!</definedName>
    <definedName name="TEST1" localSheetId="9">#REF!</definedName>
    <definedName name="TEST1" localSheetId="10">#REF!</definedName>
    <definedName name="TEST1">#REF!</definedName>
    <definedName name="TEST2" localSheetId="7">#REF!</definedName>
    <definedName name="TEST2" localSheetId="8">#REF!</definedName>
    <definedName name="TEST2" localSheetId="9">#REF!</definedName>
    <definedName name="TEST2" localSheetId="10">#REF!</definedName>
    <definedName name="TEST2">#REF!</definedName>
    <definedName name="TEST3" localSheetId="7">#REF!</definedName>
    <definedName name="TEST3" localSheetId="8">#REF!</definedName>
    <definedName name="TEST3" localSheetId="9">#REF!</definedName>
    <definedName name="TEST3" localSheetId="10">#REF!</definedName>
    <definedName name="TEST3">#REF!</definedName>
    <definedName name="TEST4" localSheetId="7">#REF!</definedName>
    <definedName name="TEST4" localSheetId="8">#REF!</definedName>
    <definedName name="TEST4" localSheetId="9">#REF!</definedName>
    <definedName name="TEST4" localSheetId="10">#REF!</definedName>
    <definedName name="TEST4">#REF!</definedName>
    <definedName name="TEST5" localSheetId="7">#REF!</definedName>
    <definedName name="TEST5" localSheetId="8">#REF!</definedName>
    <definedName name="TEST5" localSheetId="9">#REF!</definedName>
    <definedName name="TEST5" localSheetId="10">#REF!</definedName>
    <definedName name="TEST5">#REF!</definedName>
    <definedName name="TEST6" localSheetId="7">#REF!</definedName>
    <definedName name="TEST6" localSheetId="8">#REF!</definedName>
    <definedName name="TEST6" localSheetId="9">#REF!</definedName>
    <definedName name="TEST6" localSheetId="10">#REF!</definedName>
    <definedName name="TEST6">#REF!</definedName>
    <definedName name="TEST7" localSheetId="7">#REF!</definedName>
    <definedName name="TEST7" localSheetId="8">#REF!</definedName>
    <definedName name="TEST7" localSheetId="9">#REF!</definedName>
    <definedName name="TEST7" localSheetId="10">#REF!</definedName>
    <definedName name="TEST7">#REF!</definedName>
    <definedName name="TESTKEYS" localSheetId="7">#REF!</definedName>
    <definedName name="TESTKEYS" localSheetId="8">#REF!</definedName>
    <definedName name="TESTKEYS" localSheetId="9">#REF!</definedName>
    <definedName name="TESTKEYS" localSheetId="10">#REF!</definedName>
    <definedName name="TESTKEYS">#REF!</definedName>
    <definedName name="Title_Area">"Cover"</definedName>
    <definedName name="titnyi" localSheetId="7">#REF!</definedName>
    <definedName name="titnyi" localSheetId="2">#REF!</definedName>
    <definedName name="titnyi" localSheetId="8">#REF!</definedName>
    <definedName name="titnyi" localSheetId="9">#REF!</definedName>
    <definedName name="titnyi" localSheetId="10">#REF!</definedName>
    <definedName name="titnyi">#REF!</definedName>
    <definedName name="touitouitoo" localSheetId="7">{"US DOLLARS",#N/A,FALSE,"FMEOB96"}</definedName>
    <definedName name="touitouitoo" localSheetId="0">{"US DOLLARS",#N/A,FALSE,"FMEOB96"}</definedName>
    <definedName name="touitouitoo" localSheetId="2">{"US DOLLARS",#N/A,FALSE,"FMEOB96"}</definedName>
    <definedName name="touitouitoo" localSheetId="8">{"US DOLLARS",#N/A,FALSE,"FMEOB96"}</definedName>
    <definedName name="touitouitoo" localSheetId="9">{"US DOLLARS",#N/A,FALSE,"FMEOB96"}</definedName>
    <definedName name="touitouitoo" localSheetId="10">{"US DOLLARS",#N/A,FALSE,"FMEOB96"}</definedName>
    <definedName name="touitouitoo">{"US DOLLARS",#N/A,FALSE,"FMEOB96"}</definedName>
    <definedName name="TRT" localSheetId="7">{"'TOB-Vol'!$L$2:$AD$40"}</definedName>
    <definedName name="TRT" localSheetId="0">{"'TOB-Vol'!$L$2:$AD$40"}</definedName>
    <definedName name="TRT" localSheetId="2">{"'TOB-Vol'!$L$2:$AD$40"}</definedName>
    <definedName name="TRT" localSheetId="8">{"'TOB-Vol'!$L$2:$AD$40"}</definedName>
    <definedName name="TRT" localSheetId="9">{"'TOB-Vol'!$L$2:$AD$40"}</definedName>
    <definedName name="TRT" localSheetId="10">{"'TOB-Vol'!$L$2:$AD$40"}</definedName>
    <definedName name="TRT">{"'TOB-Vol'!$L$2:$AD$40"}</definedName>
    <definedName name="tttt" localSheetId="7">{"labour",#N/A,FALSE,"PRODHEAD"}</definedName>
    <definedName name="tttt" localSheetId="0">{"labour",#N/A,FALSE,"PRODHEAD"}</definedName>
    <definedName name="tttt" localSheetId="2">{"labour",#N/A,FALSE,"PRODHEAD"}</definedName>
    <definedName name="tttt" localSheetId="8">{"labour",#N/A,FALSE,"PRODHEAD"}</definedName>
    <definedName name="tttt" localSheetId="9">{"labour",#N/A,FALSE,"PRODHEAD"}</definedName>
    <definedName name="tttt" localSheetId="10">{"labour",#N/A,FALSE,"PRODHEAD"}</definedName>
    <definedName name="tttt">{"labour",#N/A,FALSE,"PRODHEAD"}</definedName>
    <definedName name="tutfu" localSheetId="7">{"FME HEADCOUNT",#N/A,FALSE,"PRODHEAD"}</definedName>
    <definedName name="tutfu" localSheetId="0">{"FME HEADCOUNT",#N/A,FALSE,"PRODHEAD"}</definedName>
    <definedName name="tutfu" localSheetId="2">{"FME HEADCOUNT",#N/A,FALSE,"PRODHEAD"}</definedName>
    <definedName name="tutfu" localSheetId="8">{"FME HEADCOUNT",#N/A,FALSE,"PRODHEAD"}</definedName>
    <definedName name="tutfu" localSheetId="9">{"FME HEADCOUNT",#N/A,FALSE,"PRODHEAD"}</definedName>
    <definedName name="tutfu" localSheetId="10">{"FME HEADCOUNT",#N/A,FALSE,"PRODHEAD"}</definedName>
    <definedName name="tutfu">{"FME HEADCOUNT",#N/A,FALSE,"PRODHEAD"}</definedName>
    <definedName name="TVB" localSheetId="7">#REF!</definedName>
    <definedName name="TVB" localSheetId="2">#REF!</definedName>
    <definedName name="TVB" localSheetId="8">#REF!</definedName>
    <definedName name="TVB" localSheetId="9">#REF!</definedName>
    <definedName name="TVB" localSheetId="10">#REF!</definedName>
    <definedName name="TVB">#REF!</definedName>
    <definedName name="ua" localSheetId="7">{#N/A,#N/A,FALSE,"Aging Summary";#N/A,#N/A,FALSE,"Ratio Analysis";#N/A,#N/A,FALSE,"Test 120 Day Accts";#N/A,#N/A,FALSE,"Tickmarks"}</definedName>
    <definedName name="ua" localSheetId="0">{#N/A,#N/A,FALSE,"Aging Summary";#N/A,#N/A,FALSE,"Ratio Analysis";#N/A,#N/A,FALSE,"Test 120 Day Accts";#N/A,#N/A,FALSE,"Tickmarks"}</definedName>
    <definedName name="ua" localSheetId="2">{#N/A,#N/A,FALSE,"Aging Summary";#N/A,#N/A,FALSE,"Ratio Analysis";#N/A,#N/A,FALSE,"Test 120 Day Accts";#N/A,#N/A,FALSE,"Tickmarks"}</definedName>
    <definedName name="ua" localSheetId="8">{#N/A,#N/A,FALSE,"Aging Summary";#N/A,#N/A,FALSE,"Ratio Analysis";#N/A,#N/A,FALSE,"Test 120 Day Accts";#N/A,#N/A,FALSE,"Tickmarks"}</definedName>
    <definedName name="ua" localSheetId="9">{#N/A,#N/A,FALSE,"Aging Summary";#N/A,#N/A,FALSE,"Ratio Analysis";#N/A,#N/A,FALSE,"Test 120 Day Accts";#N/A,#N/A,FALSE,"Tickmarks"}</definedName>
    <definedName name="ua" localSheetId="10">{#N/A,#N/A,FALSE,"Aging Summary";#N/A,#N/A,FALSE,"Ratio Analysis";#N/A,#N/A,FALSE,"Test 120 Day Accts";#N/A,#N/A,FALSE,"Tickmarks"}</definedName>
    <definedName name="ua">{#N/A,#N/A,FALSE,"Aging Summary";#N/A,#N/A,FALSE,"Ratio Analysis";#N/A,#N/A,FALSE,"Test 120 Day Accts";#N/A,#N/A,FALSE,"Tickmarks"}</definedName>
    <definedName name="urrubrub" localSheetId="7">#REF!</definedName>
    <definedName name="urrubrub" localSheetId="2">#REF!</definedName>
    <definedName name="urrubrub" localSheetId="8">#REF!</definedName>
    <definedName name="urrubrub" localSheetId="9">#REF!</definedName>
    <definedName name="urrubrub" localSheetId="10">#REF!</definedName>
    <definedName name="urrubrub">#REF!</definedName>
    <definedName name="utuhuh" localSheetId="7">#REF!</definedName>
    <definedName name="utuhuh" localSheetId="8">#REF!</definedName>
    <definedName name="utuhuh" localSheetId="9">#REF!</definedName>
    <definedName name="utuhuh" localSheetId="10">#REF!</definedName>
    <definedName name="utuhuh">#REF!</definedName>
    <definedName name="uu" localSheetId="7">{"labour",#N/A,FALSE,"PRODHEAD"}</definedName>
    <definedName name="uu" localSheetId="0">{"labour",#N/A,FALSE,"PRODHEAD"}</definedName>
    <definedName name="uu" localSheetId="2">{"labour",#N/A,FALSE,"PRODHEAD"}</definedName>
    <definedName name="uu" localSheetId="8">{"labour",#N/A,FALSE,"PRODHEAD"}</definedName>
    <definedName name="uu" localSheetId="9">{"labour",#N/A,FALSE,"PRODHEAD"}</definedName>
    <definedName name="uu" localSheetId="10">{"labour",#N/A,FALSE,"PRODHEAD"}</definedName>
    <definedName name="uu">{"labour",#N/A,FALSE,"PRODHEAD"}</definedName>
    <definedName name="volume" localSheetId="7">{"'TOB-Vol'!$L$2:$AD$40"}</definedName>
    <definedName name="volume" localSheetId="0">{"'TOB-Vol'!$L$2:$AD$40"}</definedName>
    <definedName name="volume" localSheetId="2">{"'TOB-Vol'!$L$2:$AD$40"}</definedName>
    <definedName name="volume" localSheetId="8">{"'TOB-Vol'!$L$2:$AD$40"}</definedName>
    <definedName name="volume" localSheetId="9">{"'TOB-Vol'!$L$2:$AD$40"}</definedName>
    <definedName name="volume" localSheetId="10">{"'TOB-Vol'!$L$2:$AD$40"}</definedName>
    <definedName name="volume">{"'TOB-Vol'!$L$2:$AD$40"}</definedName>
    <definedName name="vv" localSheetId="7">{"US DOLLARS",#N/A,FALSE,"FMEOB96"}</definedName>
    <definedName name="vv" localSheetId="0">{"US DOLLARS",#N/A,FALSE,"FMEOB96"}</definedName>
    <definedName name="vv" localSheetId="2">{"US DOLLARS",#N/A,FALSE,"FMEOB96"}</definedName>
    <definedName name="vv" localSheetId="8">{"US DOLLARS",#N/A,FALSE,"FMEOB96"}</definedName>
    <definedName name="vv" localSheetId="9">{"US DOLLARS",#N/A,FALSE,"FMEOB96"}</definedName>
    <definedName name="vv" localSheetId="10">{"US DOLLARS",#N/A,FALSE,"FMEOB96"}</definedName>
    <definedName name="vv">{"US DOLLARS",#N/A,FALSE,"FMEOB96"}</definedName>
    <definedName name="vvv" localSheetId="7">{#N/A,"OBB",FALSE,"vol";#N/A,#N/A,FALSE,"Memo";#N/A,#N/A,FALSE,"sum";#N/A,#N/A,FALSE,"CY95";#N/A,#N/A,FALSE,"JFY95";#N/A,#N/A,FALSE,"Asmp97 pre";#N/A,#N/A,FALSE,"CY97calR"}</definedName>
    <definedName name="vvv" localSheetId="0">{#N/A,"OBB",FALSE,"vol";#N/A,#N/A,FALSE,"Memo";#N/A,#N/A,FALSE,"sum";#N/A,#N/A,FALSE,"CY95";#N/A,#N/A,FALSE,"JFY95";#N/A,#N/A,FALSE,"Asmp97 pre";#N/A,#N/A,FALSE,"CY97calR"}</definedName>
    <definedName name="vvv" localSheetId="2">{#N/A,"OBB",FALSE,"vol";#N/A,#N/A,FALSE,"Memo";#N/A,#N/A,FALSE,"sum";#N/A,#N/A,FALSE,"CY95";#N/A,#N/A,FALSE,"JFY95";#N/A,#N/A,FALSE,"Asmp97 pre";#N/A,#N/A,FALSE,"CY97calR"}</definedName>
    <definedName name="vvv" localSheetId="8">{#N/A,"OBB",FALSE,"vol";#N/A,#N/A,FALSE,"Memo";#N/A,#N/A,FALSE,"sum";#N/A,#N/A,FALSE,"CY95";#N/A,#N/A,FALSE,"JFY95";#N/A,#N/A,FALSE,"Asmp97 pre";#N/A,#N/A,FALSE,"CY97calR"}</definedName>
    <definedName name="vvv" localSheetId="9">{#N/A,"OBB",FALSE,"vol";#N/A,#N/A,FALSE,"Memo";#N/A,#N/A,FALSE,"sum";#N/A,#N/A,FALSE,"CY95";#N/A,#N/A,FALSE,"JFY95";#N/A,#N/A,FALSE,"Asmp97 pre";#N/A,#N/A,FALSE,"CY97calR"}</definedName>
    <definedName name="vvv" localSheetId="10">{#N/A,"OBB",FALSE,"vol";#N/A,#N/A,FALSE,"Memo";#N/A,#N/A,FALSE,"sum";#N/A,#N/A,FALSE,"CY95";#N/A,#N/A,FALSE,"JFY95";#N/A,#N/A,FALSE,"Asmp97 pre";#N/A,#N/A,FALSE,"CY97calR"}</definedName>
    <definedName name="vvv">{#N/A,"OBB",FALSE,"vol";#N/A,#N/A,FALSE,"Memo";#N/A,#N/A,FALSE,"sum";#N/A,#N/A,FALSE,"CY95";#N/A,#N/A,FALSE,"JFY95";#N/A,#N/A,FALSE,"Asmp97 pre";#N/A,#N/A,FALSE,"CY97calR"}</definedName>
    <definedName name="vvvv" localSheetId="7">{#N/A,"OBB",FALSE,"vol";#N/A,#N/A,FALSE,"Memo";#N/A,#N/A,FALSE,"sum";#N/A,#N/A,FALSE,"CY95";#N/A,#N/A,FALSE,"JFY95";#N/A,#N/A,FALSE,"Asmp97 pre";#N/A,#N/A,FALSE,"CY97calR"}</definedName>
    <definedName name="vvvv" localSheetId="0">{#N/A,"OBB",FALSE,"vol";#N/A,#N/A,FALSE,"Memo";#N/A,#N/A,FALSE,"sum";#N/A,#N/A,FALSE,"CY95";#N/A,#N/A,FALSE,"JFY95";#N/A,#N/A,FALSE,"Asmp97 pre";#N/A,#N/A,FALSE,"CY97calR"}</definedName>
    <definedName name="vvvv" localSheetId="2">{#N/A,"OBB",FALSE,"vol";#N/A,#N/A,FALSE,"Memo";#N/A,#N/A,FALSE,"sum";#N/A,#N/A,FALSE,"CY95";#N/A,#N/A,FALSE,"JFY95";#N/A,#N/A,FALSE,"Asmp97 pre";#N/A,#N/A,FALSE,"CY97calR"}</definedName>
    <definedName name="vvvv" localSheetId="8">{#N/A,"OBB",FALSE,"vol";#N/A,#N/A,FALSE,"Memo";#N/A,#N/A,FALSE,"sum";#N/A,#N/A,FALSE,"CY95";#N/A,#N/A,FALSE,"JFY95";#N/A,#N/A,FALSE,"Asmp97 pre";#N/A,#N/A,FALSE,"CY97calR"}</definedName>
    <definedName name="vvvv" localSheetId="9">{#N/A,"OBB",FALSE,"vol";#N/A,#N/A,FALSE,"Memo";#N/A,#N/A,FALSE,"sum";#N/A,#N/A,FALSE,"CY95";#N/A,#N/A,FALSE,"JFY95";#N/A,#N/A,FALSE,"Asmp97 pre";#N/A,#N/A,FALSE,"CY97calR"}</definedName>
    <definedName name="vvvv" localSheetId="10">{#N/A,"OBB",FALSE,"vol";#N/A,#N/A,FALSE,"Memo";#N/A,#N/A,FALSE,"sum";#N/A,#N/A,FALSE,"CY95";#N/A,#N/A,FALSE,"JFY95";#N/A,#N/A,FALSE,"Asmp97 pre";#N/A,#N/A,FALSE,"CY97calR"}</definedName>
    <definedName name="vvvv">{#N/A,"OBB",FALSE,"vol";#N/A,#N/A,FALSE,"Memo";#N/A,#N/A,FALSE,"sum";#N/A,#N/A,FALSE,"CY95";#N/A,#N/A,FALSE,"JFY95";#N/A,#N/A,FALSE,"Asmp97 pre";#N/A,#N/A,FALSE,"CY97calR"}</definedName>
    <definedName name="vvvvv" localSheetId="7">{#N/A,"OBB",FALSE,"vol";#N/A,#N/A,FALSE,"Memo";#N/A,#N/A,FALSE,"sum";#N/A,#N/A,FALSE,"CY95";#N/A,#N/A,FALSE,"JFY95";#N/A,#N/A,FALSE,"Asmp97 pre";#N/A,#N/A,FALSE,"CY97calR"}</definedName>
    <definedName name="vvvvv" localSheetId="0">{#N/A,"OBB",FALSE,"vol";#N/A,#N/A,FALSE,"Memo";#N/A,#N/A,FALSE,"sum";#N/A,#N/A,FALSE,"CY95";#N/A,#N/A,FALSE,"JFY95";#N/A,#N/A,FALSE,"Asmp97 pre";#N/A,#N/A,FALSE,"CY97calR"}</definedName>
    <definedName name="vvvvv" localSheetId="2">{#N/A,"OBB",FALSE,"vol";#N/A,#N/A,FALSE,"Memo";#N/A,#N/A,FALSE,"sum";#N/A,#N/A,FALSE,"CY95";#N/A,#N/A,FALSE,"JFY95";#N/A,#N/A,FALSE,"Asmp97 pre";#N/A,#N/A,FALSE,"CY97calR"}</definedName>
    <definedName name="vvvvv" localSheetId="8">{#N/A,"OBB",FALSE,"vol";#N/A,#N/A,FALSE,"Memo";#N/A,#N/A,FALSE,"sum";#N/A,#N/A,FALSE,"CY95";#N/A,#N/A,FALSE,"JFY95";#N/A,#N/A,FALSE,"Asmp97 pre";#N/A,#N/A,FALSE,"CY97calR"}</definedName>
    <definedName name="vvvvv" localSheetId="9">{#N/A,"OBB",FALSE,"vol";#N/A,#N/A,FALSE,"Memo";#N/A,#N/A,FALSE,"sum";#N/A,#N/A,FALSE,"CY95";#N/A,#N/A,FALSE,"JFY95";#N/A,#N/A,FALSE,"Asmp97 pre";#N/A,#N/A,FALSE,"CY97calR"}</definedName>
    <definedName name="vvvvv" localSheetId="10">{#N/A,"OBB",FALSE,"vol";#N/A,#N/A,FALSE,"Memo";#N/A,#N/A,FALSE,"sum";#N/A,#N/A,FALSE,"CY95";#N/A,#N/A,FALSE,"JFY95";#N/A,#N/A,FALSE,"Asmp97 pre";#N/A,#N/A,FALSE,"CY97calR"}</definedName>
    <definedName name="vvvvv">{#N/A,"OBB",FALSE,"vol";#N/A,#N/A,FALSE,"Memo";#N/A,#N/A,FALSE,"sum";#N/A,#N/A,FALSE,"CY95";#N/A,#N/A,FALSE,"JFY95";#N/A,#N/A,FALSE,"Asmp97 pre";#N/A,#N/A,FALSE,"CY97calR"}</definedName>
    <definedName name="vvvvvvv" localSheetId="7">{#N/A,"OBB",FALSE,"vol";#N/A,#N/A,FALSE,"Memo";#N/A,#N/A,FALSE,"sum";#N/A,#N/A,FALSE,"CY95";#N/A,#N/A,FALSE,"JFY95";#N/A,#N/A,FALSE,"Asmp97 pre";#N/A,#N/A,FALSE,"CY97calR"}</definedName>
    <definedName name="vvvvvvv" localSheetId="0">{#N/A,"OBB",FALSE,"vol";#N/A,#N/A,FALSE,"Memo";#N/A,#N/A,FALSE,"sum";#N/A,#N/A,FALSE,"CY95";#N/A,#N/A,FALSE,"JFY95";#N/A,#N/A,FALSE,"Asmp97 pre";#N/A,#N/A,FALSE,"CY97calR"}</definedName>
    <definedName name="vvvvvvv" localSheetId="2">{#N/A,"OBB",FALSE,"vol";#N/A,#N/A,FALSE,"Memo";#N/A,#N/A,FALSE,"sum";#N/A,#N/A,FALSE,"CY95";#N/A,#N/A,FALSE,"JFY95";#N/A,#N/A,FALSE,"Asmp97 pre";#N/A,#N/A,FALSE,"CY97calR"}</definedName>
    <definedName name="vvvvvvv" localSheetId="8">{#N/A,"OBB",FALSE,"vol";#N/A,#N/A,FALSE,"Memo";#N/A,#N/A,FALSE,"sum";#N/A,#N/A,FALSE,"CY95";#N/A,#N/A,FALSE,"JFY95";#N/A,#N/A,FALSE,"Asmp97 pre";#N/A,#N/A,FALSE,"CY97calR"}</definedName>
    <definedName name="vvvvvvv" localSheetId="9">{#N/A,"OBB",FALSE,"vol";#N/A,#N/A,FALSE,"Memo";#N/A,#N/A,FALSE,"sum";#N/A,#N/A,FALSE,"CY95";#N/A,#N/A,FALSE,"JFY95";#N/A,#N/A,FALSE,"Asmp97 pre";#N/A,#N/A,FALSE,"CY97calR"}</definedName>
    <definedName name="vvvvvvv" localSheetId="10">{#N/A,"OBB",FALSE,"vol";#N/A,#N/A,FALSE,"Memo";#N/A,#N/A,FALSE,"sum";#N/A,#N/A,FALSE,"CY95";#N/A,#N/A,FALSE,"JFY95";#N/A,#N/A,FALSE,"Asmp97 pre";#N/A,#N/A,FALSE,"CY97calR"}</definedName>
    <definedName name="vvvvvvv">{#N/A,"OBB",FALSE,"vol";#N/A,#N/A,FALSE,"Memo";#N/A,#N/A,FALSE,"sum";#N/A,#N/A,FALSE,"CY95";#N/A,#N/A,FALSE,"JFY95";#N/A,#N/A,FALSE,"Asmp97 pre";#N/A,#N/A,FALSE,"CY97calR"}</definedName>
    <definedName name="w" localSheetId="7">{"'TOB-Vol'!$L$2:$AD$40"}</definedName>
    <definedName name="w" localSheetId="0">{"'TOB-Vol'!$L$2:$AD$40"}</definedName>
    <definedName name="w" localSheetId="2">{"'TOB-Vol'!$L$2:$AD$40"}</definedName>
    <definedName name="w" localSheetId="8">{"'TOB-Vol'!$L$2:$AD$40"}</definedName>
    <definedName name="w" localSheetId="9">{"'TOB-Vol'!$L$2:$AD$40"}</definedName>
    <definedName name="w" localSheetId="10">{"'TOB-Vol'!$L$2:$AD$40"}</definedName>
    <definedName name="w">{"'TOB-Vol'!$L$2:$AD$40"}</definedName>
    <definedName name="weffwef" localSheetId="7">{"FME HEADCOUNT",#N/A,FALSE,"PRODHEAD"}</definedName>
    <definedName name="weffwef" localSheetId="0">{"FME HEADCOUNT",#N/A,FALSE,"PRODHEAD"}</definedName>
    <definedName name="weffwef" localSheetId="2">{"FME HEADCOUNT",#N/A,FALSE,"PRODHEAD"}</definedName>
    <definedName name="weffwef" localSheetId="8">{"FME HEADCOUNT",#N/A,FALSE,"PRODHEAD"}</definedName>
    <definedName name="weffwef" localSheetId="9">{"FME HEADCOUNT",#N/A,FALSE,"PRODHEAD"}</definedName>
    <definedName name="weffwef" localSheetId="10">{"FME HEADCOUNT",#N/A,FALSE,"PRODHEAD"}</definedName>
    <definedName name="weffwef">{"FME HEADCOUNT",#N/A,FALSE,"PRODHEAD"}</definedName>
    <definedName name="weryey" localSheetId="7">{"FME HEADCOUNT",#N/A,FALSE,"PRODHEAD"}</definedName>
    <definedName name="weryey" localSheetId="0">{"FME HEADCOUNT",#N/A,FALSE,"PRODHEAD"}</definedName>
    <definedName name="weryey" localSheetId="2">{"FME HEADCOUNT",#N/A,FALSE,"PRODHEAD"}</definedName>
    <definedName name="weryey" localSheetId="8">{"FME HEADCOUNT",#N/A,FALSE,"PRODHEAD"}</definedName>
    <definedName name="weryey" localSheetId="9">{"FME HEADCOUNT",#N/A,FALSE,"PRODHEAD"}</definedName>
    <definedName name="weryey" localSheetId="10">{"FME HEADCOUNT",#N/A,FALSE,"PRODHEAD"}</definedName>
    <definedName name="weryey">{"FME HEADCOUNT",#N/A,FALSE,"PRODHEAD"}</definedName>
    <definedName name="wrath" localSheetId="7">{"FME HEADCOUNT",#N/A,FALSE,"PRODHEAD"}</definedName>
    <definedName name="wrath" localSheetId="0">{"FME HEADCOUNT",#N/A,FALSE,"PRODHEAD"}</definedName>
    <definedName name="wrath" localSheetId="2">{"FME HEADCOUNT",#N/A,FALSE,"PRODHEAD"}</definedName>
    <definedName name="wrath" localSheetId="8">{"FME HEADCOUNT",#N/A,FALSE,"PRODHEAD"}</definedName>
    <definedName name="wrath" localSheetId="9">{"FME HEADCOUNT",#N/A,FALSE,"PRODHEAD"}</definedName>
    <definedName name="wrath" localSheetId="10">{"FME HEADCOUNT",#N/A,FALSE,"PRODHEAD"}</definedName>
    <definedName name="wrath">{"FME HEADCOUNT",#N/A,FALSE,"PRODHEAD"}</definedName>
    <definedName name="wrn.1." localSheetId="7">{#N/A,#N/A,TRUE,"05mprod";#N/A,#N/A,TRUE,"06meff"}</definedName>
    <definedName name="wrn.1." localSheetId="0">{#N/A,#N/A,TRUE,"05mprod";#N/A,#N/A,TRUE,"06meff"}</definedName>
    <definedName name="wrn.1." localSheetId="2">{#N/A,#N/A,TRUE,"05mprod";#N/A,#N/A,TRUE,"06meff"}</definedName>
    <definedName name="wrn.1." localSheetId="8">{#N/A,#N/A,TRUE,"05mprod";#N/A,#N/A,TRUE,"06meff"}</definedName>
    <definedName name="wrn.1." localSheetId="9">{#N/A,#N/A,TRUE,"05mprod";#N/A,#N/A,TRUE,"06meff"}</definedName>
    <definedName name="wrn.1." localSheetId="10">{#N/A,#N/A,TRUE,"05mprod";#N/A,#N/A,TRUE,"06meff"}</definedName>
    <definedName name="wrn.1.">{#N/A,#N/A,TRUE,"05mprod";#N/A,#N/A,TRUE,"06meff"}</definedName>
    <definedName name="wrn.1995_UNC." localSheetId="7">{#N/A,#N/A,FALSE,"UNCOMM_A";#N/A,#N/A,FALSE,"UNCOMM_A"}</definedName>
    <definedName name="wrn.1995_UNC." localSheetId="0">{#N/A,#N/A,FALSE,"UNCOMM_A";#N/A,#N/A,FALSE,"UNCOMM_A"}</definedName>
    <definedName name="wrn.1995_UNC." localSheetId="2">{#N/A,#N/A,FALSE,"UNCOMM_A";#N/A,#N/A,FALSE,"UNCOMM_A"}</definedName>
    <definedName name="wrn.1995_UNC." localSheetId="8">{#N/A,#N/A,FALSE,"UNCOMM_A";#N/A,#N/A,FALSE,"UNCOMM_A"}</definedName>
    <definedName name="wrn.1995_UNC." localSheetId="9">{#N/A,#N/A,FALSE,"UNCOMM_A";#N/A,#N/A,FALSE,"UNCOMM_A"}</definedName>
    <definedName name="wrn.1995_UNC." localSheetId="10">{#N/A,#N/A,FALSE,"UNCOMM_A";#N/A,#N/A,FALSE,"UNCOMM_A"}</definedName>
    <definedName name="wrn.1995_UNC.">{#N/A,#N/A,FALSE,"UNCOMM_A";#N/A,#N/A,FALSE,"UNCOMM_A"}</definedName>
    <definedName name="wrn.aaa." localSheetId="7">{"a",#N/A,FALSE,"Report2"}</definedName>
    <definedName name="wrn.aaa." localSheetId="0">{"a",#N/A,FALSE,"Report2"}</definedName>
    <definedName name="wrn.aaa." localSheetId="2">{"a",#N/A,FALSE,"Report2"}</definedName>
    <definedName name="wrn.aaa." localSheetId="8">{"a",#N/A,FALSE,"Report2"}</definedName>
    <definedName name="wrn.aaa." localSheetId="9">{"a",#N/A,FALSE,"Report2"}</definedName>
    <definedName name="wrn.aaa." localSheetId="10">{"a",#N/A,FALSE,"Report2"}</definedName>
    <definedName name="wrn.aaa.">{"a",#N/A,FALSE,"Report2"}</definedName>
    <definedName name="wrn.ACHESON94TAXRETURN." localSheetId="7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0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2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8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9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10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7">{#N/A,#N/A,FALSE,"Aging Summary";#N/A,#N/A,FALSE,"Ratio Analysis";#N/A,#N/A,FALSE,"Test 120 Day Accts";#N/A,#N/A,FALSE,"Tickmarks"}</definedName>
    <definedName name="wrn.Aging._.and._.Trend._.Analysis." localSheetId="0">{#N/A,#N/A,FALSE,"Aging Summary";#N/A,#N/A,FALSE,"Ratio Analysis";#N/A,#N/A,FALSE,"Test 120 Day Accts";#N/A,#N/A,FALSE,"Tickmarks"}</definedName>
    <definedName name="wrn.Aging._.and._.Trend._.Analysis." localSheetId="2">{#N/A,#N/A,FALSE,"Aging Summary";#N/A,#N/A,FALSE,"Ratio Analysis";#N/A,#N/A,FALSE,"Test 120 Day Accts";#N/A,#N/A,FALSE,"Tickmarks"}</definedName>
    <definedName name="wrn.Aging._.and._.Trend._.Analysis." localSheetId="8">{#N/A,#N/A,FALSE,"Aging Summary";#N/A,#N/A,FALSE,"Ratio Analysis";#N/A,#N/A,FALSE,"Test 120 Day Accts";#N/A,#N/A,FALSE,"Tickmarks"}</definedName>
    <definedName name="wrn.Aging._.and._.Trend._.Analysis." localSheetId="9">{#N/A,#N/A,FALSE,"Aging Summary";#N/A,#N/A,FALSE,"Ratio Analysis";#N/A,#N/A,FALSE,"Test 120 Day Accts";#N/A,#N/A,FALSE,"Tickmarks"}</definedName>
    <definedName name="wrn.Aging._.and._.Trend._.Analysis." localSheetId="10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name="wrn.All_Report1." localSheetId="7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8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9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0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7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0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2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8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9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0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>{#N/A,#N/A,FALSE,"WPO_6221 &amp; 6331";#N/A,#N/A,FALSE,"WPO6241_TBL";#N/A,#N/A,FALSE,"WPO6242_TBL";#N/A,#N/A,FALSE,"WPO_Cukai_PPN";#N/A,#N/A,FALSE,"WPO_6230 &amp; 6415";#N/A,#N/A,FALSE,"WPO6426_TBL";#N/A,#N/A,FALSE,"WPO6426"}</definedName>
    <definedName name="wrn.approvedIER." localSheetId="7">{"approvedIER",#N/A,TRUE,"MAANDRAPPORT"}</definedName>
    <definedName name="wrn.approvedIER." localSheetId="0">{"approvedIER",#N/A,TRUE,"MAANDRAPPORT"}</definedName>
    <definedName name="wrn.approvedIER." localSheetId="2">{"approvedIER",#N/A,TRUE,"MAANDRAPPORT"}</definedName>
    <definedName name="wrn.approvedIER." localSheetId="8">{"approvedIER",#N/A,TRUE,"MAANDRAPPORT"}</definedName>
    <definedName name="wrn.approvedIER." localSheetId="9">{"approvedIER",#N/A,TRUE,"MAANDRAPPORT"}</definedName>
    <definedName name="wrn.approvedIER." localSheetId="10">{"approvedIER",#N/A,TRUE,"MAANDRAPPORT"}</definedName>
    <definedName name="wrn.approvedIER.">{"approvedIER",#N/A,TRUE,"MAANDRAPPORT"}</definedName>
    <definedName name="wrn.Bahan._.Bakar._.Pelumas._.Listrik." localSheetId="7">{#N/A,#N/A,FALSE,"WPO_6221 &amp; 6331"}</definedName>
    <definedName name="wrn.Bahan._.Bakar._.Pelumas._.Listrik." localSheetId="0">{#N/A,#N/A,FALSE,"WPO_6221 &amp; 6331"}</definedName>
    <definedName name="wrn.Bahan._.Bakar._.Pelumas._.Listrik." localSheetId="2">{#N/A,#N/A,FALSE,"WPO_6221 &amp; 6331"}</definedName>
    <definedName name="wrn.Bahan._.Bakar._.Pelumas._.Listrik." localSheetId="8">{#N/A,#N/A,FALSE,"WPO_6221 &amp; 6331"}</definedName>
    <definedName name="wrn.Bahan._.Bakar._.Pelumas._.Listrik." localSheetId="9">{#N/A,#N/A,FALSE,"WPO_6221 &amp; 6331"}</definedName>
    <definedName name="wrn.Bahan._.Bakar._.Pelumas._.Listrik." localSheetId="10">{#N/A,#N/A,FALSE,"WPO_6221 &amp; 6331"}</definedName>
    <definedName name="wrn.Bahan._.Bakar._.Pelumas._.Listrik.">{#N/A,#N/A,FALSE,"WPO_6221 &amp; 6331"}</definedName>
    <definedName name="wrn.BAOCAO." localSheetId="7">{#N/A,#N/A,FALSE,"sum";#N/A,#N/A,FALSE,"MARTV";#N/A,#N/A,FALSE,"APRTV"}</definedName>
    <definedName name="wrn.BAOCAO." localSheetId="0">{#N/A,#N/A,FALSE,"sum";#N/A,#N/A,FALSE,"MARTV";#N/A,#N/A,FALSE,"APRTV"}</definedName>
    <definedName name="wrn.BAOCAO." localSheetId="2">{#N/A,#N/A,FALSE,"sum";#N/A,#N/A,FALSE,"MARTV";#N/A,#N/A,FALSE,"APRTV"}</definedName>
    <definedName name="wrn.BAOCAO." localSheetId="8">{#N/A,#N/A,FALSE,"sum";#N/A,#N/A,FALSE,"MARTV";#N/A,#N/A,FALSE,"APRTV"}</definedName>
    <definedName name="wrn.BAOCAO." localSheetId="9">{#N/A,#N/A,FALSE,"sum";#N/A,#N/A,FALSE,"MARTV";#N/A,#N/A,FALSE,"APRTV"}</definedName>
    <definedName name="wrn.BAOCAO." localSheetId="10">{#N/A,#N/A,FALSE,"sum";#N/A,#N/A,FALSE,"MARTV";#N/A,#N/A,FALSE,"APRTV"}</definedName>
    <definedName name="wrn.BAOCAO.">{#N/A,#N/A,FALSE,"sum";#N/A,#N/A,FALSE,"MARTV";#N/A,#N/A,FALSE,"APRTV"}</definedName>
    <definedName name="wrn.Biaya._.Cetak._.Ongkos._.Angkut." localSheetId="7">{#N/A,#N/A,FALSE,"WPO_6230 &amp; 6415"}</definedName>
    <definedName name="wrn.Biaya._.Cetak._.Ongkos._.Angkut." localSheetId="0">{#N/A,#N/A,FALSE,"WPO_6230 &amp; 6415"}</definedName>
    <definedName name="wrn.Biaya._.Cetak._.Ongkos._.Angkut." localSheetId="2">{#N/A,#N/A,FALSE,"WPO_6230 &amp; 6415"}</definedName>
    <definedName name="wrn.Biaya._.Cetak._.Ongkos._.Angkut." localSheetId="8">{#N/A,#N/A,FALSE,"WPO_6230 &amp; 6415"}</definedName>
    <definedName name="wrn.Biaya._.Cetak._.Ongkos._.Angkut." localSheetId="9">{#N/A,#N/A,FALSE,"WPO_6230 &amp; 6415"}</definedName>
    <definedName name="wrn.Biaya._.Cetak._.Ongkos._.Angkut." localSheetId="10">{#N/A,#N/A,FALSE,"WPO_6230 &amp; 6415"}</definedName>
    <definedName name="wrn.Biaya._.Cetak._.Ongkos._.Angkut.">{#N/A,#N/A,FALSE,"WPO_6230 &amp; 6415"}</definedName>
    <definedName name="wrn.Biaya._.Produksi." localSheetId="7">{#N/A,#N/A,FALSE,"WPO6426_TBL";#N/A,#N/A,FALSE,"WPO6426"}</definedName>
    <definedName name="wrn.Biaya._.Produksi." localSheetId="0">{#N/A,#N/A,FALSE,"WPO6426_TBL";#N/A,#N/A,FALSE,"WPO6426"}</definedName>
    <definedName name="wrn.Biaya._.Produksi." localSheetId="2">{#N/A,#N/A,FALSE,"WPO6426_TBL";#N/A,#N/A,FALSE,"WPO6426"}</definedName>
    <definedName name="wrn.Biaya._.Produksi." localSheetId="8">{#N/A,#N/A,FALSE,"WPO6426_TBL";#N/A,#N/A,FALSE,"WPO6426"}</definedName>
    <definedName name="wrn.Biaya._.Produksi." localSheetId="9">{#N/A,#N/A,FALSE,"WPO6426_TBL";#N/A,#N/A,FALSE,"WPO6426"}</definedName>
    <definedName name="wrn.Biaya._.Produksi." localSheetId="10">{#N/A,#N/A,FALSE,"WPO6426_TBL";#N/A,#N/A,FALSE,"WPO6426"}</definedName>
    <definedName name="wrn.Biaya._.Produksi.">{#N/A,#N/A,FALSE,"WPO6426_TBL";#N/A,#N/A,FALSE,"WPO6426"}</definedName>
    <definedName name="wrn.BL94TAXRETURN." localSheetId="7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0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2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8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9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10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END._.FORECAST." localSheetId="7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wrn.BLEND._.FORECAST." localSheetId="0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wrn.BLEND._.FORECAST." localSheetId="2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wrn.BLEND._.FORECAST." localSheetId="8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wrn.BLEND._.FORECAST." localSheetId="9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wrn.BLEND._.FORECAST." localSheetId="10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wrn.BLEND._.FORECAST.">{#N/A,#N/A,FALSE,"alpine";#N/A,#N/A,FALSE,"bond";#N/A,#N/A,FALSE,"bronco";#N/A,#N/A,FALSE,"burley dbc";#N/A,#N/A,FALSE,"diet";#N/A,#N/A,FALSE,"bentoel ";#N/A,#N/A,FALSE,"fc dbc";#N/A,#N/A,FALSE,"hamilton";#N/A,#N/A,FALSE,"phoenix";#N/A,#N/A,FALSE,"ult menth";#N/A,#N/A,FALSE,"maxwell";#N/A,#N/A,FALSE,"tempest";#N/A,#N/A,FALSE,"oriental";#N/A,#N/A,FALSE,"marlboro";#N/A,#N/A,FALSE,"minaret";#N/A,#N/A,FALSE,"is domestic";#N/A,#N/A,FALSE,"export stem";#N/A,#N/A,FALSE,"bond fines";#N/A,#N/A,FALSE,"malaysia"}</definedName>
    <definedName name="wrn.CIC94TAX." localSheetId="7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0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2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8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9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10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nsolidated._.IFO._.Reports." localSheetId="7">{"Growth Presentation",#N/A,FALSE,"Consolidated IFO";"Variance Presentation",#N/A,FALSE,"Consolidated IFO";"Backup",#N/A,FALSE,"Consolidated IFO"}</definedName>
    <definedName name="wrn.Consolidated._.IFO._.Reports." localSheetId="0">{"Growth Presentation",#N/A,FALSE,"Consolidated IFO";"Variance Presentation",#N/A,FALSE,"Consolidated IFO";"Backup",#N/A,FALSE,"Consolidated IFO"}</definedName>
    <definedName name="wrn.Consolidated._.IFO._.Reports." localSheetId="2">{"Growth Presentation",#N/A,FALSE,"Consolidated IFO";"Variance Presentation",#N/A,FALSE,"Consolidated IFO";"Backup",#N/A,FALSE,"Consolidated IFO"}</definedName>
    <definedName name="wrn.Consolidated._.IFO._.Reports." localSheetId="8">{"Growth Presentation",#N/A,FALSE,"Consolidated IFO";"Variance Presentation",#N/A,FALSE,"Consolidated IFO";"Backup",#N/A,FALSE,"Consolidated IFO"}</definedName>
    <definedName name="wrn.Consolidated._.IFO._.Reports." localSheetId="9">{"Growth Presentation",#N/A,FALSE,"Consolidated IFO";"Variance Presentation",#N/A,FALSE,"Consolidated IFO";"Backup",#N/A,FALSE,"Consolidated IFO"}</definedName>
    <definedName name="wrn.Consolidated._.IFO._.Reports." localSheetId="10">{"Growth Presentation",#N/A,FALSE,"Consolidated IFO";"Variance Presentation",#N/A,FALSE,"Consolidated IFO";"Backup",#N/A,FALSE,"Consolidated IFO"}</definedName>
    <definedName name="wrn.Consolidated._.IFO._.Reports.">{"Growth Presentation",#N/A,FALSE,"Consolidated IFO";"Variance Presentation",#N/A,FALSE,"Consolidated IFO";"Backup",#N/A,FALSE,"Consolidated IFO"}</definedName>
    <definedName name="wrn.COSA94TAXRETURN." localSheetId="7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0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2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8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9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10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ukai._.PPN._.Bandrol._.Rusak." localSheetId="7">{#N/A,#N/A,FALSE,"WPO6241_TBL";#N/A,#N/A,FALSE,"WPO6242_TBL";#N/A,#N/A,FALSE,"WPO_Cukai_PPN"}</definedName>
    <definedName name="wrn.Cukai._.PPN._.Bandrol._.Rusak." localSheetId="0">{#N/A,#N/A,FALSE,"WPO6241_TBL";#N/A,#N/A,FALSE,"WPO6242_TBL";#N/A,#N/A,FALSE,"WPO_Cukai_PPN"}</definedName>
    <definedName name="wrn.Cukai._.PPN._.Bandrol._.Rusak." localSheetId="2">{#N/A,#N/A,FALSE,"WPO6241_TBL";#N/A,#N/A,FALSE,"WPO6242_TBL";#N/A,#N/A,FALSE,"WPO_Cukai_PPN"}</definedName>
    <definedName name="wrn.Cukai._.PPN._.Bandrol._.Rusak." localSheetId="8">{#N/A,#N/A,FALSE,"WPO6241_TBL";#N/A,#N/A,FALSE,"WPO6242_TBL";#N/A,#N/A,FALSE,"WPO_Cukai_PPN"}</definedName>
    <definedName name="wrn.Cukai._.PPN._.Bandrol._.Rusak." localSheetId="9">{#N/A,#N/A,FALSE,"WPO6241_TBL";#N/A,#N/A,FALSE,"WPO6242_TBL";#N/A,#N/A,FALSE,"WPO_Cukai_PPN"}</definedName>
    <definedName name="wrn.Cukai._.PPN._.Bandrol._.Rusak." localSheetId="10">{#N/A,#N/A,FALSE,"WPO6241_TBL";#N/A,#N/A,FALSE,"WPO6242_TBL";#N/A,#N/A,FALSE,"WPO_Cukai_PPN"}</definedName>
    <definedName name="wrn.Cukai._.PPN._.Bandrol._.Rusak.">{#N/A,#N/A,FALSE,"WPO6241_TBL";#N/A,#N/A,FALSE,"WPO6242_TBL";#N/A,#N/A,FALSE,"WPO_Cukai_PPN"}</definedName>
    <definedName name="wrn.f." localSheetId="7">{#N/A,#N/A,FALSE,"I.C.S.";#N/A,#N/A,FALSE,"I.C.S."}</definedName>
    <definedName name="wrn.f." localSheetId="0">{#N/A,#N/A,FALSE,"I.C.S.";#N/A,#N/A,FALSE,"I.C.S."}</definedName>
    <definedName name="wrn.f." localSheetId="2">{#N/A,#N/A,FALSE,"I.C.S.";#N/A,#N/A,FALSE,"I.C.S."}</definedName>
    <definedName name="wrn.f." localSheetId="8">{#N/A,#N/A,FALSE,"I.C.S.";#N/A,#N/A,FALSE,"I.C.S."}</definedName>
    <definedName name="wrn.f." localSheetId="9">{#N/A,#N/A,FALSE,"I.C.S.";#N/A,#N/A,FALSE,"I.C.S."}</definedName>
    <definedName name="wrn.f." localSheetId="10">{#N/A,#N/A,FALSE,"I.C.S.";#N/A,#N/A,FALSE,"I.C.S."}</definedName>
    <definedName name="wrn.f.">{#N/A,#N/A,FALSE,"I.C.S.";#N/A,#N/A,FALSE,"I.C.S."}</definedName>
    <definedName name="wrn.FME._.HEADCOUNT." localSheetId="7">{"FME HEADCOUNT",#N/A,FALSE,"PRODHEAD"}</definedName>
    <definedName name="wrn.FME._.HEADCOUNT." localSheetId="0">{"FME HEADCOUNT",#N/A,FALSE,"PRODHEAD"}</definedName>
    <definedName name="wrn.FME._.HEADCOUNT." localSheetId="2">{"FME HEADCOUNT",#N/A,FALSE,"PRODHEAD"}</definedName>
    <definedName name="wrn.FME._.HEADCOUNT." localSheetId="8">{"FME HEADCOUNT",#N/A,FALSE,"PRODHEAD"}</definedName>
    <definedName name="wrn.FME._.HEADCOUNT." localSheetId="9">{"FME HEADCOUNT",#N/A,FALSE,"PRODHEAD"}</definedName>
    <definedName name="wrn.FME._.HEADCOUNT." localSheetId="10">{"FME HEADCOUNT",#N/A,FALSE,"PRODHEAD"}</definedName>
    <definedName name="wrn.FME._.HEADCOUNT.">{"FME HEADCOUNT",#N/A,FALSE,"PRODHEAD"}</definedName>
    <definedName name="wrn.FME._.US." localSheetId="7">{"US DOLLARS",#N/A,FALSE,"FMEOB96"}</definedName>
    <definedName name="wrn.FME._.US." localSheetId="0">{"US DOLLARS",#N/A,FALSE,"FMEOB96"}</definedName>
    <definedName name="wrn.FME._.US." localSheetId="2">{"US DOLLARS",#N/A,FALSE,"FMEOB96"}</definedName>
    <definedName name="wrn.FME._.US." localSheetId="8">{"US DOLLARS",#N/A,FALSE,"FMEOB96"}</definedName>
    <definedName name="wrn.FME._.US." localSheetId="9">{"US DOLLARS",#N/A,FALSE,"FMEOB96"}</definedName>
    <definedName name="wrn.FME._.US." localSheetId="10">{"US DOLLARS",#N/A,FALSE,"FMEOB96"}</definedName>
    <definedName name="wrn.FME._.US.">{"US DOLLARS",#N/A,FALSE,"FMEOB96"}</definedName>
    <definedName name="wrn.IFF94TAX." localSheetId="7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0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2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8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9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10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7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0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2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8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9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10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abour." localSheetId="7">{"labour",#N/A,FALSE,"PRODHEAD"}</definedName>
    <definedName name="wrn.labour." localSheetId="0">{"labour",#N/A,FALSE,"PRODHEAD"}</definedName>
    <definedName name="wrn.labour." localSheetId="2">{"labour",#N/A,FALSE,"PRODHEAD"}</definedName>
    <definedName name="wrn.labour." localSheetId="8">{"labour",#N/A,FALSE,"PRODHEAD"}</definedName>
    <definedName name="wrn.labour." localSheetId="9">{"labour",#N/A,FALSE,"PRODHEAD"}</definedName>
    <definedName name="wrn.labour." localSheetId="10">{"labour",#N/A,FALSE,"PRODHEAD"}</definedName>
    <definedName name="wrn.labour.">{"labour",#N/A,FALSE,"PRODHEAD"}</definedName>
    <definedName name="wrn.LOCAL._.CURRENCY." localSheetId="7">{#N/A,#N/A,FALSE,"FMEOB96"}</definedName>
    <definedName name="wrn.LOCAL._.CURRENCY." localSheetId="0">{#N/A,#N/A,FALSE,"FMEOB96"}</definedName>
    <definedName name="wrn.LOCAL._.CURRENCY." localSheetId="2">{#N/A,#N/A,FALSE,"FMEOB96"}</definedName>
    <definedName name="wrn.LOCAL._.CURRENCY." localSheetId="8">{#N/A,#N/A,FALSE,"FMEOB96"}</definedName>
    <definedName name="wrn.LOCAL._.CURRENCY." localSheetId="9">{#N/A,#N/A,FALSE,"FMEOB96"}</definedName>
    <definedName name="wrn.LOCAL._.CURRENCY." localSheetId="10">{#N/A,#N/A,FALSE,"FMEOB96"}</definedName>
    <definedName name="wrn.LOCAL._.CURRENCY.">{#N/A,#N/A,FALSE,"FMEOB96"}</definedName>
    <definedName name="wrn.MONTHLY._.FLASH._.PACKAGE." localSheetId="7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MONTHLY._.FLASH._.PACKAGE." localSheetId="0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MONTHLY._.FLASH._.PACKAGE." localSheetId="2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MONTHLY._.FLASH._.PACKAGE." localSheetId="8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MONTHLY._.FLASH._.PACKAGE." localSheetId="9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MONTHLY._.FLASH._.PACKAGE." localSheetId="10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MONTHLY._.FLASH._.PACKAGE.">{"UNIT VOL PAGE",#N/A,FALSE,"UNIT VOL FLASH ";"CURR MONTH PRICE",#N/A,FALSE,"PRICE96";"YTD PRICE",#N/A,FALSE,"PRICE96 YTD";"MIX FLASH PAGE",#N/A,FALSE,"MIX VAR FLASH ";"MIX DETAIL",#N/A,FALSE,"MIX DETAIL";"CURR MO AND YTD REV AND MARG",#N/A,FALSE,"REV &amp; MARGIN DETAIL";"QTD AND 6MTD REV AND MARG",#N/A,FALSE,"REV &amp; MARGIN DETAIL";"RET GOODS RATE SCHEDULE",#N/A,FALSE,"RET GOODS ROLL12MOS";"ALL PERIODS PVM SUMMARIES",#N/A,FALSE,"FINAL PVM"}</definedName>
    <definedName name="wrn.OB97." localSheetId="7">{#N/A,#N/A,FALSE,"vol";#N/A,#N/A,FALSE,"sum";#N/A,#N/A,FALSE,"CY95";#N/A,#N/A,FALSE,"JFY95";#N/A,#N/A,FALSE,"Asmp97 pre";#N/A,#N/A,FALSE,"CY97calR"}</definedName>
    <definedName name="wrn.OB97." localSheetId="0">{#N/A,#N/A,FALSE,"vol";#N/A,#N/A,FALSE,"sum";#N/A,#N/A,FALSE,"CY95";#N/A,#N/A,FALSE,"JFY95";#N/A,#N/A,FALSE,"Asmp97 pre";#N/A,#N/A,FALSE,"CY97calR"}</definedName>
    <definedName name="wrn.OB97." localSheetId="2">{#N/A,#N/A,FALSE,"vol";#N/A,#N/A,FALSE,"sum";#N/A,#N/A,FALSE,"CY95";#N/A,#N/A,FALSE,"JFY95";#N/A,#N/A,FALSE,"Asmp97 pre";#N/A,#N/A,FALSE,"CY97calR"}</definedName>
    <definedName name="wrn.OB97." localSheetId="8">{#N/A,#N/A,FALSE,"vol";#N/A,#N/A,FALSE,"sum";#N/A,#N/A,FALSE,"CY95";#N/A,#N/A,FALSE,"JFY95";#N/A,#N/A,FALSE,"Asmp97 pre";#N/A,#N/A,FALSE,"CY97calR"}</definedName>
    <definedName name="wrn.OB97." localSheetId="9">{#N/A,#N/A,FALSE,"vol";#N/A,#N/A,FALSE,"sum";#N/A,#N/A,FALSE,"CY95";#N/A,#N/A,FALSE,"JFY95";#N/A,#N/A,FALSE,"Asmp97 pre";#N/A,#N/A,FALSE,"CY97calR"}</definedName>
    <definedName name="wrn.OB97." localSheetId="10">{#N/A,#N/A,FALSE,"vol";#N/A,#N/A,FALSE,"sum";#N/A,#N/A,FALSE,"CY95";#N/A,#N/A,FALSE,"JFY95";#N/A,#N/A,FALSE,"Asmp97 pre";#N/A,#N/A,FALSE,"CY97calR"}</definedName>
    <definedName name="wrn.OB97.">{#N/A,#N/A,FALSE,"vol";#N/A,#N/A,FALSE,"sum";#N/A,#N/A,FALSE,"CY95";#N/A,#N/A,FALSE,"JFY95";#N/A,#N/A,FALSE,"Asmp97 pre";#N/A,#N/A,FALSE,"CY97calR"}</definedName>
    <definedName name="wrn.OBAA." localSheetId="7">{#N/A,"OBAA",FALSE,"vol";#N/A,#N/A,FALSE,"Memo";#N/A,#N/A,FALSE,"sum";#N/A,#N/A,FALSE,"CY95";#N/A,#N/A,FALSE,"JFY95";#N/A,#N/A,FALSE,"Asmp97 pre";#N/A,#N/A,FALSE,"CY97calR"}</definedName>
    <definedName name="wrn.OBAA." localSheetId="0">{#N/A,"OBAA",FALSE,"vol";#N/A,#N/A,FALSE,"Memo";#N/A,#N/A,FALSE,"sum";#N/A,#N/A,FALSE,"CY95";#N/A,#N/A,FALSE,"JFY95";#N/A,#N/A,FALSE,"Asmp97 pre";#N/A,#N/A,FALSE,"CY97calR"}</definedName>
    <definedName name="wrn.OBAA." localSheetId="2">{#N/A,"OBAA",FALSE,"vol";#N/A,#N/A,FALSE,"Memo";#N/A,#N/A,FALSE,"sum";#N/A,#N/A,FALSE,"CY95";#N/A,#N/A,FALSE,"JFY95";#N/A,#N/A,FALSE,"Asmp97 pre";#N/A,#N/A,FALSE,"CY97calR"}</definedName>
    <definedName name="wrn.OBAA." localSheetId="8">{#N/A,"OBAA",FALSE,"vol";#N/A,#N/A,FALSE,"Memo";#N/A,#N/A,FALSE,"sum";#N/A,#N/A,FALSE,"CY95";#N/A,#N/A,FALSE,"JFY95";#N/A,#N/A,FALSE,"Asmp97 pre";#N/A,#N/A,FALSE,"CY97calR"}</definedName>
    <definedName name="wrn.OBAA." localSheetId="9">{#N/A,"OBAA",FALSE,"vol";#N/A,#N/A,FALSE,"Memo";#N/A,#N/A,FALSE,"sum";#N/A,#N/A,FALSE,"CY95";#N/A,#N/A,FALSE,"JFY95";#N/A,#N/A,FALSE,"Asmp97 pre";#N/A,#N/A,FALSE,"CY97calR"}</definedName>
    <definedName name="wrn.OBAA." localSheetId="10">{#N/A,"OBAA",FALSE,"vol";#N/A,#N/A,FALSE,"Memo";#N/A,#N/A,FALSE,"sum";#N/A,#N/A,FALSE,"CY95";#N/A,#N/A,FALSE,"JFY95";#N/A,#N/A,FALSE,"Asmp97 pre";#N/A,#N/A,FALSE,"CY97calR"}</definedName>
    <definedName name="wrn.OBAA.">{#N/A,"OBAA",FALSE,"vol";#N/A,#N/A,FALSE,"Memo";#N/A,#N/A,FALSE,"sum";#N/A,#N/A,FALSE,"CY95";#N/A,#N/A,FALSE,"JFY95";#N/A,#N/A,FALSE,"Asmp97 pre";#N/A,#N/A,FALSE,"CY97calR"}</definedName>
    <definedName name="wrn.Obb" localSheetId="7">{#N/A,"OBBB",FALSE,"vol";#N/A,#N/A,FALSE,"Memo";#N/A,#N/A,FALSE,"sum";#N/A,#N/A,FALSE,"CY95";#N/A,#N/A,FALSE,"JFY95";#N/A,#N/A,FALSE,"Asmp97 pre";#N/A,#N/A,FALSE,"CY97calR"}</definedName>
    <definedName name="wrn.Obb" localSheetId="0">{#N/A,"OBBB",FALSE,"vol";#N/A,#N/A,FALSE,"Memo";#N/A,#N/A,FALSE,"sum";#N/A,#N/A,FALSE,"CY95";#N/A,#N/A,FALSE,"JFY95";#N/A,#N/A,FALSE,"Asmp97 pre";#N/A,#N/A,FALSE,"CY97calR"}</definedName>
    <definedName name="wrn.Obb" localSheetId="2">{#N/A,"OBBB",FALSE,"vol";#N/A,#N/A,FALSE,"Memo";#N/A,#N/A,FALSE,"sum";#N/A,#N/A,FALSE,"CY95";#N/A,#N/A,FALSE,"JFY95";#N/A,#N/A,FALSE,"Asmp97 pre";#N/A,#N/A,FALSE,"CY97calR"}</definedName>
    <definedName name="wrn.Obb" localSheetId="8">{#N/A,"OBBB",FALSE,"vol";#N/A,#N/A,FALSE,"Memo";#N/A,#N/A,FALSE,"sum";#N/A,#N/A,FALSE,"CY95";#N/A,#N/A,FALSE,"JFY95";#N/A,#N/A,FALSE,"Asmp97 pre";#N/A,#N/A,FALSE,"CY97calR"}</definedName>
    <definedName name="wrn.Obb" localSheetId="9">{#N/A,"OBBB",FALSE,"vol";#N/A,#N/A,FALSE,"Memo";#N/A,#N/A,FALSE,"sum";#N/A,#N/A,FALSE,"CY95";#N/A,#N/A,FALSE,"JFY95";#N/A,#N/A,FALSE,"Asmp97 pre";#N/A,#N/A,FALSE,"CY97calR"}</definedName>
    <definedName name="wrn.Obb" localSheetId="10">{#N/A,"OBBB",FALSE,"vol";#N/A,#N/A,FALSE,"Memo";#N/A,#N/A,FALSE,"sum";#N/A,#N/A,FALSE,"CY95";#N/A,#N/A,FALSE,"JFY95";#N/A,#N/A,FALSE,"Asmp97 pre";#N/A,#N/A,FALSE,"CY97calR"}</definedName>
    <definedName name="wrn.Obb">{#N/A,"OBBB",FALSE,"vol";#N/A,#N/A,FALSE,"Memo";#N/A,#N/A,FALSE,"sum";#N/A,#N/A,FALSE,"CY95";#N/A,#N/A,FALSE,"JFY95";#N/A,#N/A,FALSE,"Asmp97 pre";#N/A,#N/A,FALSE,"CY97calR"}</definedName>
    <definedName name="wrn.OBB." localSheetId="7">{#N/A,"OBB",FALSE,"vol";#N/A,#N/A,FALSE,"Memo";#N/A,#N/A,FALSE,"sum";#N/A,#N/A,FALSE,"CY95";#N/A,#N/A,FALSE,"JFY95";#N/A,#N/A,FALSE,"Asmp97 pre";#N/A,#N/A,FALSE,"CY97calR"}</definedName>
    <definedName name="wrn.OBB." localSheetId="0">{#N/A,"OBB",FALSE,"vol";#N/A,#N/A,FALSE,"Memo";#N/A,#N/A,FALSE,"sum";#N/A,#N/A,FALSE,"CY95";#N/A,#N/A,FALSE,"JFY95";#N/A,#N/A,FALSE,"Asmp97 pre";#N/A,#N/A,FALSE,"CY97calR"}</definedName>
    <definedName name="wrn.OBB." localSheetId="2">{#N/A,"OBB",FALSE,"vol";#N/A,#N/A,FALSE,"Memo";#N/A,#N/A,FALSE,"sum";#N/A,#N/A,FALSE,"CY95";#N/A,#N/A,FALSE,"JFY95";#N/A,#N/A,FALSE,"Asmp97 pre";#N/A,#N/A,FALSE,"CY97calR"}</definedName>
    <definedName name="wrn.OBB." localSheetId="8">{#N/A,"OBB",FALSE,"vol";#N/A,#N/A,FALSE,"Memo";#N/A,#N/A,FALSE,"sum";#N/A,#N/A,FALSE,"CY95";#N/A,#N/A,FALSE,"JFY95";#N/A,#N/A,FALSE,"Asmp97 pre";#N/A,#N/A,FALSE,"CY97calR"}</definedName>
    <definedName name="wrn.OBB." localSheetId="9">{#N/A,"OBB",FALSE,"vol";#N/A,#N/A,FALSE,"Memo";#N/A,#N/A,FALSE,"sum";#N/A,#N/A,FALSE,"CY95";#N/A,#N/A,FALSE,"JFY95";#N/A,#N/A,FALSE,"Asmp97 pre";#N/A,#N/A,FALSE,"CY97calR"}</definedName>
    <definedName name="wrn.OBB." localSheetId="10">{#N/A,"OBB",FALSE,"vol";#N/A,#N/A,FALSE,"Memo";#N/A,#N/A,FALSE,"sum";#N/A,#N/A,FALSE,"CY95";#N/A,#N/A,FALSE,"JFY95";#N/A,#N/A,FALSE,"Asmp97 pre";#N/A,#N/A,FALSE,"CY97calR"}</definedName>
    <definedName name="wrn.OBB.">{#N/A,"OBB",FALSE,"vol";#N/A,#N/A,FALSE,"Memo";#N/A,#N/A,FALSE,"sum";#N/A,#N/A,FALSE,"CY95";#N/A,#N/A,FALSE,"JFY95";#N/A,#N/A,FALSE,"Asmp97 pre";#N/A,#N/A,FALSE,"CY97calR"}</definedName>
    <definedName name="wrn.OBBB." localSheetId="7">{#N/A,"OBBB",FALSE,"vol";#N/A,#N/A,FALSE,"Memo";#N/A,#N/A,FALSE,"sum";#N/A,#N/A,FALSE,"CY95";#N/A,#N/A,FALSE,"JFY95";#N/A,#N/A,FALSE,"Asmp97 pre";#N/A,#N/A,FALSE,"CY97calR"}</definedName>
    <definedName name="wrn.OBBB." localSheetId="0">{#N/A,"OBBB",FALSE,"vol";#N/A,#N/A,FALSE,"Memo";#N/A,#N/A,FALSE,"sum";#N/A,#N/A,FALSE,"CY95";#N/A,#N/A,FALSE,"JFY95";#N/A,#N/A,FALSE,"Asmp97 pre";#N/A,#N/A,FALSE,"CY97calR"}</definedName>
    <definedName name="wrn.OBBB." localSheetId="2">{#N/A,"OBBB",FALSE,"vol";#N/A,#N/A,FALSE,"Memo";#N/A,#N/A,FALSE,"sum";#N/A,#N/A,FALSE,"CY95";#N/A,#N/A,FALSE,"JFY95";#N/A,#N/A,FALSE,"Asmp97 pre";#N/A,#N/A,FALSE,"CY97calR"}</definedName>
    <definedName name="wrn.OBBB." localSheetId="8">{#N/A,"OBBB",FALSE,"vol";#N/A,#N/A,FALSE,"Memo";#N/A,#N/A,FALSE,"sum";#N/A,#N/A,FALSE,"CY95";#N/A,#N/A,FALSE,"JFY95";#N/A,#N/A,FALSE,"Asmp97 pre";#N/A,#N/A,FALSE,"CY97calR"}</definedName>
    <definedName name="wrn.OBBB." localSheetId="9">{#N/A,"OBBB",FALSE,"vol";#N/A,#N/A,FALSE,"Memo";#N/A,#N/A,FALSE,"sum";#N/A,#N/A,FALSE,"CY95";#N/A,#N/A,FALSE,"JFY95";#N/A,#N/A,FALSE,"Asmp97 pre";#N/A,#N/A,FALSE,"CY97calR"}</definedName>
    <definedName name="wrn.OBBB." localSheetId="10">{#N/A,"OBBB",FALSE,"vol";#N/A,#N/A,FALSE,"Memo";#N/A,#N/A,FALSE,"sum";#N/A,#N/A,FALSE,"CY95";#N/A,#N/A,FALSE,"JFY95";#N/A,#N/A,FALSE,"Asmp97 pre";#N/A,#N/A,FALSE,"CY97calR"}</definedName>
    <definedName name="wrn.OBBB.">{#N/A,"OBBB",FALSE,"vol";#N/A,#N/A,FALSE,"Memo";#N/A,#N/A,FALSE,"sum";#N/A,#N/A,FALSE,"CY95";#N/A,#N/A,FALSE,"JFY95";#N/A,#N/A,FALSE,"Asmp97 pre";#N/A,#N/A,FALSE,"CY97calR"}</definedName>
    <definedName name="wrn.PAIM._.TAX._.PRO." localSheetId="7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0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2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8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9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10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roduksi._.Borongan." localSheetId="7">{#N/A,#N/A,FALSE,"WPO6101_TBL";#N/A,#N/A,FALSE,"WPO6101";#N/A,#N/A,FALSE,"WPO6102_TBL";#N/A,#N/A,FALSE,"WPO6102";#N/A,#N/A,FALSE,"WPO6111_TBL";#N/A,#N/A,FALSE,"WPO_borongan"}</definedName>
    <definedName name="wrn.Produksi._.Borongan." localSheetId="0">{#N/A,#N/A,FALSE,"WPO6101_TBL";#N/A,#N/A,FALSE,"WPO6101";#N/A,#N/A,FALSE,"WPO6102_TBL";#N/A,#N/A,FALSE,"WPO6102";#N/A,#N/A,FALSE,"WPO6111_TBL";#N/A,#N/A,FALSE,"WPO_borongan"}</definedName>
    <definedName name="wrn.Produksi._.Borongan." localSheetId="2">{#N/A,#N/A,FALSE,"WPO6101_TBL";#N/A,#N/A,FALSE,"WPO6101";#N/A,#N/A,FALSE,"WPO6102_TBL";#N/A,#N/A,FALSE,"WPO6102";#N/A,#N/A,FALSE,"WPO6111_TBL";#N/A,#N/A,FALSE,"WPO_borongan"}</definedName>
    <definedName name="wrn.Produksi._.Borongan." localSheetId="8">{#N/A,#N/A,FALSE,"WPO6101_TBL";#N/A,#N/A,FALSE,"WPO6101";#N/A,#N/A,FALSE,"WPO6102_TBL";#N/A,#N/A,FALSE,"WPO6102";#N/A,#N/A,FALSE,"WPO6111_TBL";#N/A,#N/A,FALSE,"WPO_borongan"}</definedName>
    <definedName name="wrn.Produksi._.Borongan." localSheetId="9">{#N/A,#N/A,FALSE,"WPO6101_TBL";#N/A,#N/A,FALSE,"WPO6101";#N/A,#N/A,FALSE,"WPO6102_TBL";#N/A,#N/A,FALSE,"WPO6102";#N/A,#N/A,FALSE,"WPO6111_TBL";#N/A,#N/A,FALSE,"WPO_borongan"}</definedName>
    <definedName name="wrn.Produksi._.Borongan." localSheetId="10">{#N/A,#N/A,FALSE,"WPO6101_TBL";#N/A,#N/A,FALSE,"WPO6101";#N/A,#N/A,FALSE,"WPO6102_TBL";#N/A,#N/A,FALSE,"WPO6102";#N/A,#N/A,FALSE,"WPO6111_TBL";#N/A,#N/A,FALSE,"WPO_borongan"}</definedName>
    <definedName name="wrn.Produksi._.Borongan.">{#N/A,#N/A,FALSE,"WPO6101_TBL";#N/A,#N/A,FALSE,"WPO6101";#N/A,#N/A,FALSE,"WPO6102_TBL";#N/A,#N/A,FALSE,"WPO6102";#N/A,#N/A,FALSE,"WPO6111_TBL";#N/A,#N/A,FALSE,"WPO_borongan"}</definedName>
    <definedName name="wrn.Produksi._.Borongan._.Belajar." localSheetId="7">{#N/A,#N/A,FALSE,"WPO6105_TBL";#N/A,#N/A,FALSE,"WPO6105";#N/A,#N/A,FALSE,"WPO6106_TBL";#N/A,#N/A,FALSE,"WPO6106"}</definedName>
    <definedName name="wrn.Produksi._.Borongan._.Belajar." localSheetId="0">{#N/A,#N/A,FALSE,"WPO6105_TBL";#N/A,#N/A,FALSE,"WPO6105";#N/A,#N/A,FALSE,"WPO6106_TBL";#N/A,#N/A,FALSE,"WPO6106"}</definedName>
    <definedName name="wrn.Produksi._.Borongan._.Belajar." localSheetId="2">{#N/A,#N/A,FALSE,"WPO6105_TBL";#N/A,#N/A,FALSE,"WPO6105";#N/A,#N/A,FALSE,"WPO6106_TBL";#N/A,#N/A,FALSE,"WPO6106"}</definedName>
    <definedName name="wrn.Produksi._.Borongan._.Belajar." localSheetId="8">{#N/A,#N/A,FALSE,"WPO6105_TBL";#N/A,#N/A,FALSE,"WPO6105";#N/A,#N/A,FALSE,"WPO6106_TBL";#N/A,#N/A,FALSE,"WPO6106"}</definedName>
    <definedName name="wrn.Produksi._.Borongan._.Belajar." localSheetId="9">{#N/A,#N/A,FALSE,"WPO6105_TBL";#N/A,#N/A,FALSE,"WPO6105";#N/A,#N/A,FALSE,"WPO6106_TBL";#N/A,#N/A,FALSE,"WPO6106"}</definedName>
    <definedName name="wrn.Produksi._.Borongan._.Belajar." localSheetId="10">{#N/A,#N/A,FALSE,"WPO6105_TBL";#N/A,#N/A,FALSE,"WPO6105";#N/A,#N/A,FALSE,"WPO6106_TBL";#N/A,#N/A,FALSE,"WPO6106"}</definedName>
    <definedName name="wrn.Produksi._.Borongan._.Belajar.">{#N/A,#N/A,FALSE,"WPO6105_TBL";#N/A,#N/A,FALSE,"WPO6105";#N/A,#N/A,FALSE,"WPO6106_TBL";#N/A,#N/A,FALSE,"WPO6106"}</definedName>
    <definedName name="wrn.Produksi._.Kontrakan." localSheetId="7">{#N/A,#N/A,FALSE,"WPO_produksi_kontrakan"}</definedName>
    <definedName name="wrn.Produksi._.Kontrakan." localSheetId="0">{#N/A,#N/A,FALSE,"WPO_produksi_kontrakan"}</definedName>
    <definedName name="wrn.Produksi._.Kontrakan." localSheetId="2">{#N/A,#N/A,FALSE,"WPO_produksi_kontrakan"}</definedName>
    <definedName name="wrn.Produksi._.Kontrakan." localSheetId="8">{#N/A,#N/A,FALSE,"WPO_produksi_kontrakan"}</definedName>
    <definedName name="wrn.Produksi._.Kontrakan." localSheetId="9">{#N/A,#N/A,FALSE,"WPO_produksi_kontrakan"}</definedName>
    <definedName name="wrn.Produksi._.Kontrakan." localSheetId="10">{#N/A,#N/A,FALSE,"WPO_produksi_kontrakan"}</definedName>
    <definedName name="wrn.Produksi._.Kontrakan.">{#N/A,#N/A,FALSE,"WPO_produksi_kontrakan"}</definedName>
    <definedName name="wrn.Project." localSheetId="7">{#N/A,#N/A,TRUE,"A-site";#N/A,#N/A,TRUE,"B-Buildings";#N/A,#N/A,TRUE,"c-out-of-fence";#N/A,#N/A,TRUE,"d-proj.infr.";#N/A,#N/A,TRUE,"e- land"}</definedName>
    <definedName name="wrn.Project." localSheetId="0">{#N/A,#N/A,TRUE,"A-site";#N/A,#N/A,TRUE,"B-Buildings";#N/A,#N/A,TRUE,"c-out-of-fence";#N/A,#N/A,TRUE,"d-proj.infr.";#N/A,#N/A,TRUE,"e- land"}</definedName>
    <definedName name="wrn.Project." localSheetId="2">{#N/A,#N/A,TRUE,"A-site";#N/A,#N/A,TRUE,"B-Buildings";#N/A,#N/A,TRUE,"c-out-of-fence";#N/A,#N/A,TRUE,"d-proj.infr.";#N/A,#N/A,TRUE,"e- land"}</definedName>
    <definedName name="wrn.Project." localSheetId="8">{#N/A,#N/A,TRUE,"A-site";#N/A,#N/A,TRUE,"B-Buildings";#N/A,#N/A,TRUE,"c-out-of-fence";#N/A,#N/A,TRUE,"d-proj.infr.";#N/A,#N/A,TRUE,"e- land"}</definedName>
    <definedName name="wrn.Project." localSheetId="9">{#N/A,#N/A,TRUE,"A-site";#N/A,#N/A,TRUE,"B-Buildings";#N/A,#N/A,TRUE,"c-out-of-fence";#N/A,#N/A,TRUE,"d-proj.infr.";#N/A,#N/A,TRUE,"e- land"}</definedName>
    <definedName name="wrn.Project." localSheetId="10">{#N/A,#N/A,TRUE,"A-site";#N/A,#N/A,TRUE,"B-Buildings";#N/A,#N/A,TRUE,"c-out-of-fence";#N/A,#N/A,TRUE,"d-proj.infr.";#N/A,#N/A,TRUE,"e- land"}</definedName>
    <definedName name="wrn.Project.">{#N/A,#N/A,TRUE,"A-site";#N/A,#N/A,TRUE,"B-Buildings";#N/A,#N/A,TRUE,"c-out-of-fence";#N/A,#N/A,TRUE,"d-proj.infr.";#N/A,#N/A,TRUE,"e- land"}</definedName>
    <definedName name="wrn.Proses._.Produksi." localSheetId="7">{#N/A,#N/A,FALSE,"WPO_proses_produksi"}</definedName>
    <definedName name="wrn.Proses._.Produksi." localSheetId="0">{#N/A,#N/A,FALSE,"WPO_proses_produksi"}</definedName>
    <definedName name="wrn.Proses._.Produksi." localSheetId="2">{#N/A,#N/A,FALSE,"WPO_proses_produksi"}</definedName>
    <definedName name="wrn.Proses._.Produksi." localSheetId="8">{#N/A,#N/A,FALSE,"WPO_proses_produksi"}</definedName>
    <definedName name="wrn.Proses._.Produksi." localSheetId="9">{#N/A,#N/A,FALSE,"WPO_proses_produksi"}</definedName>
    <definedName name="wrn.Proses._.Produksi." localSheetId="10">{#N/A,#N/A,FALSE,"WPO_proses_produksi"}</definedName>
    <definedName name="wrn.Proses._.Produksi.">{#N/A,#N/A,FALSE,"WPO_proses_produksi"}</definedName>
    <definedName name="wrn.report1." localSheetId="7">{#N/A,#N/A,FALSE,"Front Page";#N/A,#N/A,FALSE,"1191-PMH-SEPT95-LegalEntity";#N/A,#N/A,FALSE,"1191-PMH-SEPT95-MajorProjects";#N/A,#N/A,FALSE,"1191-PMH-SEPT95-SummaryProjects";#N/A,#N/A,FALSE,"1191-PMH-SEPT95-ProjectsInForce";#N/A,#N/A,FALSE,"1191-PMH-SEPT95-PlannedProjects";#N/A,#N/A,FALSE,"1191-PMH-SEPT95-Capita.Interest";#N/A,#N/A,FALSE,"1191-PMH-JULY95-AnalyseSummary";#N/A,#N/A,FALSE,"1191-PMH-SEPT95-AnalyseInForce";#N/A,#N/A,FALSE,"1191-PMH-SEPT95-AnalysePlanned"}</definedName>
    <definedName name="wrn.report1." localSheetId="0">{#N/A,#N/A,FALSE,"Front Page";#N/A,#N/A,FALSE,"1191-PMH-SEPT95-LegalEntity";#N/A,#N/A,FALSE,"1191-PMH-SEPT95-MajorProjects";#N/A,#N/A,FALSE,"1191-PMH-SEPT95-SummaryProjects";#N/A,#N/A,FALSE,"1191-PMH-SEPT95-ProjectsInForce";#N/A,#N/A,FALSE,"1191-PMH-SEPT95-PlannedProjects";#N/A,#N/A,FALSE,"1191-PMH-SEPT95-Capita.Interest";#N/A,#N/A,FALSE,"1191-PMH-JULY95-AnalyseSummary";#N/A,#N/A,FALSE,"1191-PMH-SEPT95-AnalyseInForce";#N/A,#N/A,FALSE,"1191-PMH-SEPT95-AnalysePlanned"}</definedName>
    <definedName name="wrn.report1." localSheetId="2">{#N/A,#N/A,FALSE,"Front Page";#N/A,#N/A,FALSE,"1191-PMH-SEPT95-LegalEntity";#N/A,#N/A,FALSE,"1191-PMH-SEPT95-MajorProjects";#N/A,#N/A,FALSE,"1191-PMH-SEPT95-SummaryProjects";#N/A,#N/A,FALSE,"1191-PMH-SEPT95-ProjectsInForce";#N/A,#N/A,FALSE,"1191-PMH-SEPT95-PlannedProjects";#N/A,#N/A,FALSE,"1191-PMH-SEPT95-Capita.Interest";#N/A,#N/A,FALSE,"1191-PMH-JULY95-AnalyseSummary";#N/A,#N/A,FALSE,"1191-PMH-SEPT95-AnalyseInForce";#N/A,#N/A,FALSE,"1191-PMH-SEPT95-AnalysePlanned"}</definedName>
    <definedName name="wrn.report1." localSheetId="8">{#N/A,#N/A,FALSE,"Front Page";#N/A,#N/A,FALSE,"1191-PMH-SEPT95-LegalEntity";#N/A,#N/A,FALSE,"1191-PMH-SEPT95-MajorProjects";#N/A,#N/A,FALSE,"1191-PMH-SEPT95-SummaryProjects";#N/A,#N/A,FALSE,"1191-PMH-SEPT95-ProjectsInForce";#N/A,#N/A,FALSE,"1191-PMH-SEPT95-PlannedProjects";#N/A,#N/A,FALSE,"1191-PMH-SEPT95-Capita.Interest";#N/A,#N/A,FALSE,"1191-PMH-JULY95-AnalyseSummary";#N/A,#N/A,FALSE,"1191-PMH-SEPT95-AnalyseInForce";#N/A,#N/A,FALSE,"1191-PMH-SEPT95-AnalysePlanned"}</definedName>
    <definedName name="wrn.report1." localSheetId="9">{#N/A,#N/A,FALSE,"Front Page";#N/A,#N/A,FALSE,"1191-PMH-SEPT95-LegalEntity";#N/A,#N/A,FALSE,"1191-PMH-SEPT95-MajorProjects";#N/A,#N/A,FALSE,"1191-PMH-SEPT95-SummaryProjects";#N/A,#N/A,FALSE,"1191-PMH-SEPT95-ProjectsInForce";#N/A,#N/A,FALSE,"1191-PMH-SEPT95-PlannedProjects";#N/A,#N/A,FALSE,"1191-PMH-SEPT95-Capita.Interest";#N/A,#N/A,FALSE,"1191-PMH-JULY95-AnalyseSummary";#N/A,#N/A,FALSE,"1191-PMH-SEPT95-AnalyseInForce";#N/A,#N/A,FALSE,"1191-PMH-SEPT95-AnalysePlanned"}</definedName>
    <definedName name="wrn.report1." localSheetId="10">{#N/A,#N/A,FALSE,"Front Page";#N/A,#N/A,FALSE,"1191-PMH-SEPT95-LegalEntity";#N/A,#N/A,FALSE,"1191-PMH-SEPT95-MajorProjects";#N/A,#N/A,FALSE,"1191-PMH-SEPT95-SummaryProjects";#N/A,#N/A,FALSE,"1191-PMH-SEPT95-ProjectsInForce";#N/A,#N/A,FALSE,"1191-PMH-SEPT95-PlannedProjects";#N/A,#N/A,FALSE,"1191-PMH-SEPT95-Capita.Interest";#N/A,#N/A,FALSE,"1191-PMH-JULY95-AnalyseSummary";#N/A,#N/A,FALSE,"1191-PMH-SEPT95-AnalyseInForce";#N/A,#N/A,FALSE,"1191-PMH-SEPT95-AnalysePlanned"}</definedName>
    <definedName name="wrn.report1.">{#N/A,#N/A,FALSE,"Front Page";#N/A,#N/A,FALSE,"1191-PMH-SEPT95-LegalEntity";#N/A,#N/A,FALSE,"1191-PMH-SEPT95-MajorProjects";#N/A,#N/A,FALSE,"1191-PMH-SEPT95-SummaryProjects";#N/A,#N/A,FALSE,"1191-PMH-SEPT95-ProjectsInForce";#N/A,#N/A,FALSE,"1191-PMH-SEPT95-PlannedProjects";#N/A,#N/A,FALSE,"1191-PMH-SEPT95-Capita.Interest";#N/A,#N/A,FALSE,"1191-PMH-JULY95-AnalyseSummary";#N/A,#N/A,FALSE,"1191-PMH-SEPT95-AnalyseInForce";#N/A,#N/A,FALSE,"1191-PMH-SEPT95-AnalysePlanned"}</definedName>
    <definedName name="wrn.SAA94TAX." localSheetId="7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0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2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8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9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10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7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0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2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8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9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10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Tabel." localSheetId="7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0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2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8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9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0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7">{#N/A,#N/A,FALSE,"WPO_tenaga_kontrakan"}</definedName>
    <definedName name="wrn.Tenaga._.Kontrakan." localSheetId="0">{#N/A,#N/A,FALSE,"WPO_tenaga_kontrakan"}</definedName>
    <definedName name="wrn.Tenaga._.Kontrakan." localSheetId="2">{#N/A,#N/A,FALSE,"WPO_tenaga_kontrakan"}</definedName>
    <definedName name="wrn.Tenaga._.Kontrakan." localSheetId="8">{#N/A,#N/A,FALSE,"WPO_tenaga_kontrakan"}</definedName>
    <definedName name="wrn.Tenaga._.Kontrakan." localSheetId="9">{#N/A,#N/A,FALSE,"WPO_tenaga_kontrakan"}</definedName>
    <definedName name="wrn.Tenaga._.Kontrakan." localSheetId="10">{#N/A,#N/A,FALSE,"WPO_tenaga_kontrakan"}</definedName>
    <definedName name="wrn.Tenaga._.Kontrakan.">{#N/A,#N/A,FALSE,"WPO_tenaga_kontrakan"}</definedName>
    <definedName name="wrn.UNIONGAS94TAXRETURN." localSheetId="7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0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2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8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9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10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pah._.Buruh._.Langsung." localSheetId="7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0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2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8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9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0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7">{#N/A,#N/A,FALSE,"WPO_upah_lain-lain"}</definedName>
    <definedName name="wrn.Upah._.Lain._.lain." localSheetId="0">{#N/A,#N/A,FALSE,"WPO_upah_lain-lain"}</definedName>
    <definedName name="wrn.Upah._.Lain._.lain." localSheetId="2">{#N/A,#N/A,FALSE,"WPO_upah_lain-lain"}</definedName>
    <definedName name="wrn.Upah._.Lain._.lain." localSheetId="8">{#N/A,#N/A,FALSE,"WPO_upah_lain-lain"}</definedName>
    <definedName name="wrn.Upah._.Lain._.lain." localSheetId="9">{#N/A,#N/A,FALSE,"WPO_upah_lain-lain"}</definedName>
    <definedName name="wrn.Upah._.Lain._.lain." localSheetId="10">{#N/A,#N/A,FALSE,"WPO_upah_lain-lain"}</definedName>
    <definedName name="wrn.Upah._.Lain._.lain.">{#N/A,#N/A,FALSE,"WPO_upah_lain-lain"}</definedName>
    <definedName name="wrn.Upah._.Tak._.Langsung." localSheetId="7">{#N/A,#N/A,FALSE,"WPO_tenaga_kontrakan";#N/A,#N/A,FALSE,"WPO_upah_lain-lain"}</definedName>
    <definedName name="wrn.Upah._.Tak._.Langsung." localSheetId="0">{#N/A,#N/A,FALSE,"WPO_tenaga_kontrakan";#N/A,#N/A,FALSE,"WPO_upah_lain-lain"}</definedName>
    <definedName name="wrn.Upah._.Tak._.Langsung." localSheetId="2">{#N/A,#N/A,FALSE,"WPO_tenaga_kontrakan";#N/A,#N/A,FALSE,"WPO_upah_lain-lain"}</definedName>
    <definedName name="wrn.Upah._.Tak._.Langsung." localSheetId="8">{#N/A,#N/A,FALSE,"WPO_tenaga_kontrakan";#N/A,#N/A,FALSE,"WPO_upah_lain-lain"}</definedName>
    <definedName name="wrn.Upah._.Tak._.Langsung." localSheetId="9">{#N/A,#N/A,FALSE,"WPO_tenaga_kontrakan";#N/A,#N/A,FALSE,"WPO_upah_lain-lain"}</definedName>
    <definedName name="wrn.Upah._.Tak._.Langsung." localSheetId="10">{#N/A,#N/A,FALSE,"WPO_tenaga_kontrakan";#N/A,#N/A,FALSE,"WPO_upah_lain-lain"}</definedName>
    <definedName name="wrn.Upah._.Tak._.Langsung.">{#N/A,#N/A,FALSE,"WPO_tenaga_kontrakan";#N/A,#N/A,FALSE,"WPO_upah_lain-lain"}</definedName>
    <definedName name="wrn.vd." localSheetId="7">{#N/A,#N/A,TRUE,"BT M200 da 10x20"}</definedName>
    <definedName name="wrn.vd." localSheetId="0">{#N/A,#N/A,TRUE,"BT M200 da 10x20"}</definedName>
    <definedName name="wrn.vd." localSheetId="2">{#N/A,#N/A,TRUE,"BT M200 da 10x20"}</definedName>
    <definedName name="wrn.vd." localSheetId="8">{#N/A,#N/A,TRUE,"BT M200 da 10x20"}</definedName>
    <definedName name="wrn.vd." localSheetId="9">{#N/A,#N/A,TRUE,"BT M200 da 10x20"}</definedName>
    <definedName name="wrn.vd." localSheetId="10">{#N/A,#N/A,TRUE,"BT M200 da 10x20"}</definedName>
    <definedName name="wrn.vd.">{#N/A,#N/A,TRUE,"BT M200 da 10x20"}</definedName>
    <definedName name="wrn.WitoutInflation." localSheetId="7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itoutInflation." localSheetId="0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itoutInflation." localSheetId="2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itoutInflation." localSheetId="8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itoutInflation." localSheetId="9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itoutInflation." localSheetId="10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WitoutInflation.">{"CoverPage",#N/A,FALSE,"Cover_Page";"ExchangeRates",#N/A,FALSE,"Exchange_Rates";"VolOCISum",#N/A,FALSE,"Vol_OCI_SUM";"VarV1",#N/A,FALSE,"Var_OB_vs_LE";"VarV2",#N/A,FALSE,"Var_OB_vs_2RF";"VarDetailV1",#N/A,FALSE,"Var_Details_OB_vs_LE";"VarDetailsV2",#N/A,FALSE,"Var_Details_OB_vs_2RF";"TotalExpV1",#N/A,FALSE,"TotalExp_vs1";"TotalExpV2",#N/A,FALSE,"TotalExp_vs2";"TotExpVar",#N/A,FALSE,"TotalExpVar";"AllowDet",#N/A,FALSE,"AllowDet"}</definedName>
    <definedName name="wrn.간단한세무조정계산서." localSheetId="7">{#N/A,#N/A,TRUE,"1호 과표세액";#N/A,#N/A,TRUE,"6호 첨부(익)";#N/A,#N/A,TRUE,"6-3호 퇴충";#N/A,#N/A,TRUE,"PL";#N/A,#N/A,TRUE,"BS";#N/A,#N/A,TRUE,"RE";#N/A,#N/A,TRUE,"표지"}</definedName>
    <definedName name="wrn.간단한세무조정계산서." localSheetId="0">{#N/A,#N/A,TRUE,"1호 과표세액";#N/A,#N/A,TRUE,"6호 첨부(익)";#N/A,#N/A,TRUE,"6-3호 퇴충";#N/A,#N/A,TRUE,"PL";#N/A,#N/A,TRUE,"BS";#N/A,#N/A,TRUE,"RE";#N/A,#N/A,TRUE,"표지"}</definedName>
    <definedName name="wrn.간단한세무조정계산서." localSheetId="2">{#N/A,#N/A,TRUE,"1호 과표세액";#N/A,#N/A,TRUE,"6호 첨부(익)";#N/A,#N/A,TRUE,"6-3호 퇴충";#N/A,#N/A,TRUE,"PL";#N/A,#N/A,TRUE,"BS";#N/A,#N/A,TRUE,"RE";#N/A,#N/A,TRUE,"표지"}</definedName>
    <definedName name="wrn.간단한세무조정계산서." localSheetId="8">{#N/A,#N/A,TRUE,"1호 과표세액";#N/A,#N/A,TRUE,"6호 첨부(익)";#N/A,#N/A,TRUE,"6-3호 퇴충";#N/A,#N/A,TRUE,"PL";#N/A,#N/A,TRUE,"BS";#N/A,#N/A,TRUE,"RE";#N/A,#N/A,TRUE,"표지"}</definedName>
    <definedName name="wrn.간단한세무조정계산서." localSheetId="9">{#N/A,#N/A,TRUE,"1호 과표세액";#N/A,#N/A,TRUE,"6호 첨부(익)";#N/A,#N/A,TRUE,"6-3호 퇴충";#N/A,#N/A,TRUE,"PL";#N/A,#N/A,TRUE,"BS";#N/A,#N/A,TRUE,"RE";#N/A,#N/A,TRUE,"표지"}</definedName>
    <definedName name="wrn.간단한세무조정계산서." localSheetId="10">{#N/A,#N/A,TRUE,"1호 과표세액";#N/A,#N/A,TRUE,"6호 첨부(익)";#N/A,#N/A,TRUE,"6-3호 퇴충";#N/A,#N/A,TRUE,"PL";#N/A,#N/A,TRUE,"BS";#N/A,#N/A,TRUE,"RE";#N/A,#N/A,TRUE,"표지"}</definedName>
    <definedName name="wrn.간단한세무조정계산서.">{#N/A,#N/A,TRUE,"1호 과표세액";#N/A,#N/A,TRUE,"6호 첨부(익)";#N/A,#N/A,TRUE,"6-3호 퇴충";#N/A,#N/A,TRUE,"PL";#N/A,#N/A,TRUE,"BS";#N/A,#N/A,TRUE,"RE";#N/A,#N/A,TRUE,"표지"}</definedName>
    <definedName name="wrn.세무조정계산서." localSheetId="7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0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2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8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9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0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7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2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8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9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1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7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2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8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9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1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7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0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2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8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9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10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thjhu" localSheetId="7">{"US DOLLARS",#N/A,FALSE,"FMEOB96"}</definedName>
    <definedName name="wrthjhu" localSheetId="0">{"US DOLLARS",#N/A,FALSE,"FMEOB96"}</definedName>
    <definedName name="wrthjhu" localSheetId="2">{"US DOLLARS",#N/A,FALSE,"FMEOB96"}</definedName>
    <definedName name="wrthjhu" localSheetId="8">{"US DOLLARS",#N/A,FALSE,"FMEOB96"}</definedName>
    <definedName name="wrthjhu" localSheetId="9">{"US DOLLARS",#N/A,FALSE,"FMEOB96"}</definedName>
    <definedName name="wrthjhu" localSheetId="10">{"US DOLLARS",#N/A,FALSE,"FMEOB96"}</definedName>
    <definedName name="wrthjhu">{"US DOLLARS",#N/A,FALSE,"FMEOB96"}</definedName>
    <definedName name="wrthwy" localSheetId="7">{"FME HEADCOUNT",#N/A,FALSE,"PRODHEAD"}</definedName>
    <definedName name="wrthwy" localSheetId="0">{"FME HEADCOUNT",#N/A,FALSE,"PRODHEAD"}</definedName>
    <definedName name="wrthwy" localSheetId="2">{"FME HEADCOUNT",#N/A,FALSE,"PRODHEAD"}</definedName>
    <definedName name="wrthwy" localSheetId="8">{"FME HEADCOUNT",#N/A,FALSE,"PRODHEAD"}</definedName>
    <definedName name="wrthwy" localSheetId="9">{"FME HEADCOUNT",#N/A,FALSE,"PRODHEAD"}</definedName>
    <definedName name="wrthwy" localSheetId="10">{"FME HEADCOUNT",#N/A,FALSE,"PRODHEAD"}</definedName>
    <definedName name="wrthwy">{"FME HEADCOUNT",#N/A,FALSE,"PRODHEAD"}</definedName>
    <definedName name="ws" localSheetId="7">#REF!</definedName>
    <definedName name="ws" localSheetId="2">#REF!</definedName>
    <definedName name="ws" localSheetId="8">#REF!</definedName>
    <definedName name="ws" localSheetId="9">#REF!</definedName>
    <definedName name="ws" localSheetId="10">#REF!</definedName>
    <definedName name="ws">#REF!</definedName>
    <definedName name="wss" localSheetId="7">#REF!</definedName>
    <definedName name="wss" localSheetId="2">#REF!</definedName>
    <definedName name="wss" localSheetId="8">#REF!</definedName>
    <definedName name="wss" localSheetId="9">#REF!</definedName>
    <definedName name="wss" localSheetId="10">#REF!</definedName>
    <definedName name="wss">#REF!</definedName>
    <definedName name="ww" localSheetId="7">{"labour",#N/A,FALSE,"PRODHEAD"}</definedName>
    <definedName name="ww" localSheetId="0">{"labour",#N/A,FALSE,"PRODHEAD"}</definedName>
    <definedName name="ww" localSheetId="2">{"labour",#N/A,FALSE,"PRODHEAD"}</definedName>
    <definedName name="ww" localSheetId="8">{"labour",#N/A,FALSE,"PRODHEAD"}</definedName>
    <definedName name="ww" localSheetId="9">{"labour",#N/A,FALSE,"PRODHEAD"}</definedName>
    <definedName name="ww" localSheetId="10">{"labour",#N/A,FALSE,"PRODHEAD"}</definedName>
    <definedName name="ww">{"labour",#N/A,FALSE,"PRODHEAD"}</definedName>
    <definedName name="www" localSheetId="7">{#N/A,#N/A,TRUE,"A-site";#N/A,#N/A,TRUE,"B-Buildings";#N/A,#N/A,TRUE,"c-out-of-fence";#N/A,#N/A,TRUE,"d-proj.infr.";#N/A,#N/A,TRUE,"e- land"}</definedName>
    <definedName name="www" localSheetId="0">{#N/A,#N/A,TRUE,"A-site";#N/A,#N/A,TRUE,"B-Buildings";#N/A,#N/A,TRUE,"c-out-of-fence";#N/A,#N/A,TRUE,"d-proj.infr.";#N/A,#N/A,TRUE,"e- land"}</definedName>
    <definedName name="www" localSheetId="2">{#N/A,#N/A,TRUE,"A-site";#N/A,#N/A,TRUE,"B-Buildings";#N/A,#N/A,TRUE,"c-out-of-fence";#N/A,#N/A,TRUE,"d-proj.infr.";#N/A,#N/A,TRUE,"e- land"}</definedName>
    <definedName name="www" localSheetId="8">{#N/A,#N/A,TRUE,"A-site";#N/A,#N/A,TRUE,"B-Buildings";#N/A,#N/A,TRUE,"c-out-of-fence";#N/A,#N/A,TRUE,"d-proj.infr.";#N/A,#N/A,TRUE,"e- land"}</definedName>
    <definedName name="www" localSheetId="9">{#N/A,#N/A,TRUE,"A-site";#N/A,#N/A,TRUE,"B-Buildings";#N/A,#N/A,TRUE,"c-out-of-fence";#N/A,#N/A,TRUE,"d-proj.infr.";#N/A,#N/A,TRUE,"e- land"}</definedName>
    <definedName name="www" localSheetId="10">{#N/A,#N/A,TRUE,"A-site";#N/A,#N/A,TRUE,"B-Buildings";#N/A,#N/A,TRUE,"c-out-of-fence";#N/A,#N/A,TRUE,"d-proj.infr.";#N/A,#N/A,TRUE,"e- land"}</definedName>
    <definedName name="www">{#N/A,#N/A,TRUE,"A-site";#N/A,#N/A,TRUE,"B-Buildings";#N/A,#N/A,TRUE,"c-out-of-fence";#N/A,#N/A,TRUE,"d-proj.infr.";#N/A,#N/A,TRUE,"e- land"}</definedName>
    <definedName name="wwww" localSheetId="7">{#N/A,"OBB",FALSE,"vol";#N/A,#N/A,FALSE,"Memo";#N/A,#N/A,FALSE,"sum";#N/A,#N/A,FALSE,"CY95";#N/A,#N/A,FALSE,"JFY95";#N/A,#N/A,FALSE,"Asmp97 pre";#N/A,#N/A,FALSE,"CY97calR"}</definedName>
    <definedName name="wwww" localSheetId="0">{#N/A,"OBB",FALSE,"vol";#N/A,#N/A,FALSE,"Memo";#N/A,#N/A,FALSE,"sum";#N/A,#N/A,FALSE,"CY95";#N/A,#N/A,FALSE,"JFY95";#N/A,#N/A,FALSE,"Asmp97 pre";#N/A,#N/A,FALSE,"CY97calR"}</definedName>
    <definedName name="wwww" localSheetId="2">{#N/A,"OBB",FALSE,"vol";#N/A,#N/A,FALSE,"Memo";#N/A,#N/A,FALSE,"sum";#N/A,#N/A,FALSE,"CY95";#N/A,#N/A,FALSE,"JFY95";#N/A,#N/A,FALSE,"Asmp97 pre";#N/A,#N/A,FALSE,"CY97calR"}</definedName>
    <definedName name="wwww" localSheetId="8">{#N/A,"OBB",FALSE,"vol";#N/A,#N/A,FALSE,"Memo";#N/A,#N/A,FALSE,"sum";#N/A,#N/A,FALSE,"CY95";#N/A,#N/A,FALSE,"JFY95";#N/A,#N/A,FALSE,"Asmp97 pre";#N/A,#N/A,FALSE,"CY97calR"}</definedName>
    <definedName name="wwww" localSheetId="9">{#N/A,"OBB",FALSE,"vol";#N/A,#N/A,FALSE,"Memo";#N/A,#N/A,FALSE,"sum";#N/A,#N/A,FALSE,"CY95";#N/A,#N/A,FALSE,"JFY95";#N/A,#N/A,FALSE,"Asmp97 pre";#N/A,#N/A,FALSE,"CY97calR"}</definedName>
    <definedName name="wwww" localSheetId="10">{#N/A,"OBB",FALSE,"vol";#N/A,#N/A,FALSE,"Memo";#N/A,#N/A,FALSE,"sum";#N/A,#N/A,FALSE,"CY95";#N/A,#N/A,FALSE,"JFY95";#N/A,#N/A,FALSE,"Asmp97 pre";#N/A,#N/A,FALSE,"CY97calR"}</definedName>
    <definedName name="wwww">{#N/A,"OBB",FALSE,"vol";#N/A,#N/A,FALSE,"Memo";#N/A,#N/A,FALSE,"sum";#N/A,#N/A,FALSE,"CY95";#N/A,#N/A,FALSE,"JFY95";#N/A,#N/A,FALSE,"Asmp97 pre";#N/A,#N/A,FALSE,"CY97calR"}</definedName>
    <definedName name="wwwww" localSheetId="7">{#N/A,"OBB",FALSE,"vol";#N/A,#N/A,FALSE,"Memo";#N/A,#N/A,FALSE,"sum";#N/A,#N/A,FALSE,"CY95";#N/A,#N/A,FALSE,"JFY95";#N/A,#N/A,FALSE,"Asmp97 pre";#N/A,#N/A,FALSE,"CY97calR"}</definedName>
    <definedName name="wwwww" localSheetId="0">{#N/A,"OBB",FALSE,"vol";#N/A,#N/A,FALSE,"Memo";#N/A,#N/A,FALSE,"sum";#N/A,#N/A,FALSE,"CY95";#N/A,#N/A,FALSE,"JFY95";#N/A,#N/A,FALSE,"Asmp97 pre";#N/A,#N/A,FALSE,"CY97calR"}</definedName>
    <definedName name="wwwww" localSheetId="2">{#N/A,"OBB",FALSE,"vol";#N/A,#N/A,FALSE,"Memo";#N/A,#N/A,FALSE,"sum";#N/A,#N/A,FALSE,"CY95";#N/A,#N/A,FALSE,"JFY95";#N/A,#N/A,FALSE,"Asmp97 pre";#N/A,#N/A,FALSE,"CY97calR"}</definedName>
    <definedName name="wwwww" localSheetId="8">{#N/A,"OBB",FALSE,"vol";#N/A,#N/A,FALSE,"Memo";#N/A,#N/A,FALSE,"sum";#N/A,#N/A,FALSE,"CY95";#N/A,#N/A,FALSE,"JFY95";#N/A,#N/A,FALSE,"Asmp97 pre";#N/A,#N/A,FALSE,"CY97calR"}</definedName>
    <definedName name="wwwww" localSheetId="9">{#N/A,"OBB",FALSE,"vol";#N/A,#N/A,FALSE,"Memo";#N/A,#N/A,FALSE,"sum";#N/A,#N/A,FALSE,"CY95";#N/A,#N/A,FALSE,"JFY95";#N/A,#N/A,FALSE,"Asmp97 pre";#N/A,#N/A,FALSE,"CY97calR"}</definedName>
    <definedName name="wwwww" localSheetId="10">{#N/A,"OBB",FALSE,"vol";#N/A,#N/A,FALSE,"Memo";#N/A,#N/A,FALSE,"sum";#N/A,#N/A,FALSE,"CY95";#N/A,#N/A,FALSE,"JFY95";#N/A,#N/A,FALSE,"Asmp97 pre";#N/A,#N/A,FALSE,"CY97calR"}</definedName>
    <definedName name="wwwww">{#N/A,"OBB",FALSE,"vol";#N/A,#N/A,FALSE,"Memo";#N/A,#N/A,FALSE,"sum";#N/A,#N/A,FALSE,"CY95";#N/A,#N/A,FALSE,"JFY95";#N/A,#N/A,FALSE,"Asmp97 pre";#N/A,#N/A,FALSE,"CY97calR"}</definedName>
    <definedName name="wwwwwwwwww" localSheetId="7">{#N/A,#N/A,TRUE,"A-site";#N/A,#N/A,TRUE,"B-Buildings";#N/A,#N/A,TRUE,"c-out-of-fence";#N/A,#N/A,TRUE,"d-proj.infr.";#N/A,#N/A,TRUE,"e- land"}</definedName>
    <definedName name="wwwwwwwwww" localSheetId="0">{#N/A,#N/A,TRUE,"A-site";#N/A,#N/A,TRUE,"B-Buildings";#N/A,#N/A,TRUE,"c-out-of-fence";#N/A,#N/A,TRUE,"d-proj.infr.";#N/A,#N/A,TRUE,"e- land"}</definedName>
    <definedName name="wwwwwwwwww" localSheetId="2">{#N/A,#N/A,TRUE,"A-site";#N/A,#N/A,TRUE,"B-Buildings";#N/A,#N/A,TRUE,"c-out-of-fence";#N/A,#N/A,TRUE,"d-proj.infr.";#N/A,#N/A,TRUE,"e- land"}</definedName>
    <definedName name="wwwwwwwwww" localSheetId="8">{#N/A,#N/A,TRUE,"A-site";#N/A,#N/A,TRUE,"B-Buildings";#N/A,#N/A,TRUE,"c-out-of-fence";#N/A,#N/A,TRUE,"d-proj.infr.";#N/A,#N/A,TRUE,"e- land"}</definedName>
    <definedName name="wwwwwwwwww" localSheetId="9">{#N/A,#N/A,TRUE,"A-site";#N/A,#N/A,TRUE,"B-Buildings";#N/A,#N/A,TRUE,"c-out-of-fence";#N/A,#N/A,TRUE,"d-proj.infr.";#N/A,#N/A,TRUE,"e- land"}</definedName>
    <definedName name="wwwwwwwwww" localSheetId="10">{#N/A,#N/A,TRUE,"A-site";#N/A,#N/A,TRUE,"B-Buildings";#N/A,#N/A,TRUE,"c-out-of-fence";#N/A,#N/A,TRUE,"d-proj.infr.";#N/A,#N/A,TRUE,"e- land"}</definedName>
    <definedName name="wwwwwwwwww">{#N/A,#N/A,TRUE,"A-site";#N/A,#N/A,TRUE,"B-Buildings";#N/A,#N/A,TRUE,"c-out-of-fence";#N/A,#N/A,TRUE,"d-proj.infr.";#N/A,#N/A,TRUE,"e- land"}</definedName>
    <definedName name="x" localSheetId="7">{#N/A,"OBB",FALSE,"vol";#N/A,#N/A,FALSE,"Memo";#N/A,#N/A,FALSE,"sum";#N/A,#N/A,FALSE,"CY95";#N/A,#N/A,FALSE,"JFY95";#N/A,#N/A,FALSE,"Asmp97 pre";#N/A,#N/A,FALSE,"CY97calR"}</definedName>
    <definedName name="x" localSheetId="0">{#N/A,"OBB",FALSE,"vol";#N/A,#N/A,FALSE,"Memo";#N/A,#N/A,FALSE,"sum";#N/A,#N/A,FALSE,"CY95";#N/A,#N/A,FALSE,"JFY95";#N/A,#N/A,FALSE,"Asmp97 pre";#N/A,#N/A,FALSE,"CY97calR"}</definedName>
    <definedName name="x" localSheetId="2">{#N/A,"OBB",FALSE,"vol";#N/A,#N/A,FALSE,"Memo";#N/A,#N/A,FALSE,"sum";#N/A,#N/A,FALSE,"CY95";#N/A,#N/A,FALSE,"JFY95";#N/A,#N/A,FALSE,"Asmp97 pre";#N/A,#N/A,FALSE,"CY97calR"}</definedName>
    <definedName name="x" localSheetId="8">{#N/A,"OBB",FALSE,"vol";#N/A,#N/A,FALSE,"Memo";#N/A,#N/A,FALSE,"sum";#N/A,#N/A,FALSE,"CY95";#N/A,#N/A,FALSE,"JFY95";#N/A,#N/A,FALSE,"Asmp97 pre";#N/A,#N/A,FALSE,"CY97calR"}</definedName>
    <definedName name="x" localSheetId="9">{#N/A,"OBB",FALSE,"vol";#N/A,#N/A,FALSE,"Memo";#N/A,#N/A,FALSE,"sum";#N/A,#N/A,FALSE,"CY95";#N/A,#N/A,FALSE,"JFY95";#N/A,#N/A,FALSE,"Asmp97 pre";#N/A,#N/A,FALSE,"CY97calR"}</definedName>
    <definedName name="x" localSheetId="10">{#N/A,"OBB",FALSE,"vol";#N/A,#N/A,FALSE,"Memo";#N/A,#N/A,FALSE,"sum";#N/A,#N/A,FALSE,"CY95";#N/A,#N/A,FALSE,"JFY95";#N/A,#N/A,FALSE,"Asmp97 pre";#N/A,#N/A,FALSE,"CY97calR"}</definedName>
    <definedName name="x">{#N/A,"OBB",FALSE,"vol";#N/A,#N/A,FALSE,"Memo";#N/A,#N/A,FALSE,"sum";#N/A,#N/A,FALSE,"CY95";#N/A,#N/A,FALSE,"JFY95";#N/A,#N/A,FALSE,"Asmp97 pre";#N/A,#N/A,FALSE,"CY97calR"}</definedName>
    <definedName name="xcvncncvnxc" localSheetId="7">{#N/A,#N/A,FALSE,"FMEOB96"}</definedName>
    <definedName name="xcvncncvnxc" localSheetId="0">{#N/A,#N/A,FALSE,"FMEOB96"}</definedName>
    <definedName name="xcvncncvnxc" localSheetId="2">{#N/A,#N/A,FALSE,"FMEOB96"}</definedName>
    <definedName name="xcvncncvnxc" localSheetId="8">{#N/A,#N/A,FALSE,"FMEOB96"}</definedName>
    <definedName name="xcvncncvnxc" localSheetId="9">{#N/A,#N/A,FALSE,"FMEOB96"}</definedName>
    <definedName name="xcvncncvnxc" localSheetId="10">{#N/A,#N/A,FALSE,"FMEOB96"}</definedName>
    <definedName name="xcvncncvnxc">{#N/A,#N/A,FALSE,"FMEOB96"}</definedName>
    <definedName name="xfggxh" localSheetId="7">{"labour",#N/A,FALSE,"PRODHEAD"}</definedName>
    <definedName name="xfggxh" localSheetId="0">{"labour",#N/A,FALSE,"PRODHEAD"}</definedName>
    <definedName name="xfggxh" localSheetId="2">{"labour",#N/A,FALSE,"PRODHEAD"}</definedName>
    <definedName name="xfggxh" localSheetId="8">{"labour",#N/A,FALSE,"PRODHEAD"}</definedName>
    <definedName name="xfggxh" localSheetId="9">{"labour",#N/A,FALSE,"PRODHEAD"}</definedName>
    <definedName name="xfggxh" localSheetId="10">{"labour",#N/A,FALSE,"PRODHEAD"}</definedName>
    <definedName name="xfggxh">{"labour",#N/A,FALSE,"PRODHEAD"}</definedName>
    <definedName name="xfgufgxu" localSheetId="7">{"US DOLLARS",#N/A,FALSE,"FMEOB96"}</definedName>
    <definedName name="xfgufgxu" localSheetId="0">{"US DOLLARS",#N/A,FALSE,"FMEOB96"}</definedName>
    <definedName name="xfgufgxu" localSheetId="2">{"US DOLLARS",#N/A,FALSE,"FMEOB96"}</definedName>
    <definedName name="xfgufgxu" localSheetId="8">{"US DOLLARS",#N/A,FALSE,"FMEOB96"}</definedName>
    <definedName name="xfgufgxu" localSheetId="9">{"US DOLLARS",#N/A,FALSE,"FMEOB96"}</definedName>
    <definedName name="xfgufgxu" localSheetId="10">{"US DOLLARS",#N/A,FALSE,"FMEOB96"}</definedName>
    <definedName name="xfgufgxu">{"US DOLLARS",#N/A,FALSE,"FMEOB96"}</definedName>
    <definedName name="xx" localSheetId="7">#REF!</definedName>
    <definedName name="xx" localSheetId="8">#REF!</definedName>
    <definedName name="xx" localSheetId="9">#REF!</definedName>
    <definedName name="xx" localSheetId="10">#REF!</definedName>
    <definedName name="xx">#REF!</definedName>
    <definedName name="xxx" localSheetId="7">{#N/A,"OBB",FALSE,"vol";#N/A,#N/A,FALSE,"Memo";#N/A,#N/A,FALSE,"sum";#N/A,#N/A,FALSE,"CY95";#N/A,#N/A,FALSE,"JFY95";#N/A,#N/A,FALSE,"Asmp97 pre";#N/A,#N/A,FALSE,"CY97calR"}</definedName>
    <definedName name="xxx" localSheetId="0">{#N/A,"OBB",FALSE,"vol";#N/A,#N/A,FALSE,"Memo";#N/A,#N/A,FALSE,"sum";#N/A,#N/A,FALSE,"CY95";#N/A,#N/A,FALSE,"JFY95";#N/A,#N/A,FALSE,"Asmp97 pre";#N/A,#N/A,FALSE,"CY97calR"}</definedName>
    <definedName name="xxx" localSheetId="2">{#N/A,"OBB",FALSE,"vol";#N/A,#N/A,FALSE,"Memo";#N/A,#N/A,FALSE,"sum";#N/A,#N/A,FALSE,"CY95";#N/A,#N/A,FALSE,"JFY95";#N/A,#N/A,FALSE,"Asmp97 pre";#N/A,#N/A,FALSE,"CY97calR"}</definedName>
    <definedName name="xxx" localSheetId="8">{#N/A,"OBB",FALSE,"vol";#N/A,#N/A,FALSE,"Memo";#N/A,#N/A,FALSE,"sum";#N/A,#N/A,FALSE,"CY95";#N/A,#N/A,FALSE,"JFY95";#N/A,#N/A,FALSE,"Asmp97 pre";#N/A,#N/A,FALSE,"CY97calR"}</definedName>
    <definedName name="xxx" localSheetId="9">{#N/A,"OBB",FALSE,"vol";#N/A,#N/A,FALSE,"Memo";#N/A,#N/A,FALSE,"sum";#N/A,#N/A,FALSE,"CY95";#N/A,#N/A,FALSE,"JFY95";#N/A,#N/A,FALSE,"Asmp97 pre";#N/A,#N/A,FALSE,"CY97calR"}</definedName>
    <definedName name="xxx" localSheetId="10">{#N/A,"OBB",FALSE,"vol";#N/A,#N/A,FALSE,"Memo";#N/A,#N/A,FALSE,"sum";#N/A,#N/A,FALSE,"CY95";#N/A,#N/A,FALSE,"JFY95";#N/A,#N/A,FALSE,"Asmp97 pre";#N/A,#N/A,FALSE,"CY97calR"}</definedName>
    <definedName name="xxx">{#N/A,"OBB",FALSE,"vol";#N/A,#N/A,FALSE,"Memo";#N/A,#N/A,FALSE,"sum";#N/A,#N/A,FALSE,"CY95";#N/A,#N/A,FALSE,"JFY95";#N/A,#N/A,FALSE,"Asmp97 pre";#N/A,#N/A,FALSE,"CY97calR"}</definedName>
    <definedName name="xxxx" localSheetId="7">{#N/A,"OBBB",FALSE,"vol";#N/A,#N/A,FALSE,"Memo";#N/A,#N/A,FALSE,"sum";#N/A,#N/A,FALSE,"CY95";#N/A,#N/A,FALSE,"JFY95";#N/A,#N/A,FALSE,"Asmp97 pre";#N/A,#N/A,FALSE,"CY97calR"}</definedName>
    <definedName name="xxxx" localSheetId="0">{#N/A,"OBBB",FALSE,"vol";#N/A,#N/A,FALSE,"Memo";#N/A,#N/A,FALSE,"sum";#N/A,#N/A,FALSE,"CY95";#N/A,#N/A,FALSE,"JFY95";#N/A,#N/A,FALSE,"Asmp97 pre";#N/A,#N/A,FALSE,"CY97calR"}</definedName>
    <definedName name="xxxx" localSheetId="2">{#N/A,"OBBB",FALSE,"vol";#N/A,#N/A,FALSE,"Memo";#N/A,#N/A,FALSE,"sum";#N/A,#N/A,FALSE,"CY95";#N/A,#N/A,FALSE,"JFY95";#N/A,#N/A,FALSE,"Asmp97 pre";#N/A,#N/A,FALSE,"CY97calR"}</definedName>
    <definedName name="xxxx" localSheetId="8">{#N/A,"OBBB",FALSE,"vol";#N/A,#N/A,FALSE,"Memo";#N/A,#N/A,FALSE,"sum";#N/A,#N/A,FALSE,"CY95";#N/A,#N/A,FALSE,"JFY95";#N/A,#N/A,FALSE,"Asmp97 pre";#N/A,#N/A,FALSE,"CY97calR"}</definedName>
    <definedName name="xxxx" localSheetId="9">{#N/A,"OBBB",FALSE,"vol";#N/A,#N/A,FALSE,"Memo";#N/A,#N/A,FALSE,"sum";#N/A,#N/A,FALSE,"CY95";#N/A,#N/A,FALSE,"JFY95";#N/A,#N/A,FALSE,"Asmp97 pre";#N/A,#N/A,FALSE,"CY97calR"}</definedName>
    <definedName name="xxxx" localSheetId="10">{#N/A,"OBBB",FALSE,"vol";#N/A,#N/A,FALSE,"Memo";#N/A,#N/A,FALSE,"sum";#N/A,#N/A,FALSE,"CY95";#N/A,#N/A,FALSE,"JFY95";#N/A,#N/A,FALSE,"Asmp97 pre";#N/A,#N/A,FALSE,"CY97calR"}</definedName>
    <definedName name="xxxx">{#N/A,"OBBB",FALSE,"vol";#N/A,#N/A,FALSE,"Memo";#N/A,#N/A,FALSE,"sum";#N/A,#N/A,FALSE,"CY95";#N/A,#N/A,FALSE,"JFY95";#N/A,#N/A,FALSE,"Asmp97 pre";#N/A,#N/A,FALSE,"CY97calR"}</definedName>
    <definedName name="y" localSheetId="7">{"'TOB-Vol'!$L$2:$AD$40"}</definedName>
    <definedName name="y" localSheetId="0">{"'TOB-Vol'!$L$2:$AD$40"}</definedName>
    <definedName name="y" localSheetId="2">{"'TOB-Vol'!$L$2:$AD$40"}</definedName>
    <definedName name="y" localSheetId="8">{"'TOB-Vol'!$L$2:$AD$40"}</definedName>
    <definedName name="y" localSheetId="9">{"'TOB-Vol'!$L$2:$AD$40"}</definedName>
    <definedName name="y" localSheetId="10">{"'TOB-Vol'!$L$2:$AD$40"}</definedName>
    <definedName name="y">{"'TOB-Vol'!$L$2:$AD$40"}</definedName>
    <definedName name="ya" localSheetId="7">{#N/A,#N/A,FALSE,"Aging Summary";#N/A,#N/A,FALSE,"Ratio Analysis";#N/A,#N/A,FALSE,"Test 120 Day Accts";#N/A,#N/A,FALSE,"Tickmarks"}</definedName>
    <definedName name="ya" localSheetId="0">{#N/A,#N/A,FALSE,"Aging Summary";#N/A,#N/A,FALSE,"Ratio Analysis";#N/A,#N/A,FALSE,"Test 120 Day Accts";#N/A,#N/A,FALSE,"Tickmarks"}</definedName>
    <definedName name="ya" localSheetId="2">{#N/A,#N/A,FALSE,"Aging Summary";#N/A,#N/A,FALSE,"Ratio Analysis";#N/A,#N/A,FALSE,"Test 120 Day Accts";#N/A,#N/A,FALSE,"Tickmarks"}</definedName>
    <definedName name="ya" localSheetId="8">{#N/A,#N/A,FALSE,"Aging Summary";#N/A,#N/A,FALSE,"Ratio Analysis";#N/A,#N/A,FALSE,"Test 120 Day Accts";#N/A,#N/A,FALSE,"Tickmarks"}</definedName>
    <definedName name="ya" localSheetId="9">{#N/A,#N/A,FALSE,"Aging Summary";#N/A,#N/A,FALSE,"Ratio Analysis";#N/A,#N/A,FALSE,"Test 120 Day Accts";#N/A,#N/A,FALSE,"Tickmarks"}</definedName>
    <definedName name="ya" localSheetId="10">{#N/A,#N/A,FALSE,"Aging Summary";#N/A,#N/A,FALSE,"Ratio Analysis";#N/A,#N/A,FALSE,"Test 120 Day Accts";#N/A,#N/A,FALSE,"Tickmarks"}</definedName>
    <definedName name="ya">{#N/A,#N/A,FALSE,"Aging Summary";#N/A,#N/A,FALSE,"Ratio Analysis";#N/A,#N/A,FALSE,"Test 120 Day Accts";#N/A,#N/A,FALSE,"Tickmarks"}</definedName>
    <definedName name="yh" localSheetId="7">{#N/A,#N/A,FALSE,"Aging Summary";#N/A,#N/A,FALSE,"Ratio Analysis";#N/A,#N/A,FALSE,"Test 120 Day Accts";#N/A,#N/A,FALSE,"Tickmarks"}</definedName>
    <definedName name="yh" localSheetId="0">{#N/A,#N/A,FALSE,"Aging Summary";#N/A,#N/A,FALSE,"Ratio Analysis";#N/A,#N/A,FALSE,"Test 120 Day Accts";#N/A,#N/A,FALSE,"Tickmarks"}</definedName>
    <definedName name="yh" localSheetId="2">{#N/A,#N/A,FALSE,"Aging Summary";#N/A,#N/A,FALSE,"Ratio Analysis";#N/A,#N/A,FALSE,"Test 120 Day Accts";#N/A,#N/A,FALSE,"Tickmarks"}</definedName>
    <definedName name="yh" localSheetId="8">{#N/A,#N/A,FALSE,"Aging Summary";#N/A,#N/A,FALSE,"Ratio Analysis";#N/A,#N/A,FALSE,"Test 120 Day Accts";#N/A,#N/A,FALSE,"Tickmarks"}</definedName>
    <definedName name="yh" localSheetId="9">{#N/A,#N/A,FALSE,"Aging Summary";#N/A,#N/A,FALSE,"Ratio Analysis";#N/A,#N/A,FALSE,"Test 120 Day Accts";#N/A,#N/A,FALSE,"Tickmarks"}</definedName>
    <definedName name="yh" localSheetId="10">{#N/A,#N/A,FALSE,"Aging Summary";#N/A,#N/A,FALSE,"Ratio Analysis";#N/A,#N/A,FALSE,"Test 120 Day Accts";#N/A,#N/A,FALSE,"Tickmarks"}</definedName>
    <definedName name="yh">{#N/A,#N/A,FALSE,"Aging Summary";#N/A,#N/A,FALSE,"Ratio Analysis";#N/A,#N/A,FALSE,"Test 120 Day Accts";#N/A,#N/A,FALSE,"Tickmarks"}</definedName>
    <definedName name="ytuth" localSheetId="7">#REF!</definedName>
    <definedName name="ytuth" localSheetId="8">#REF!</definedName>
    <definedName name="ytuth" localSheetId="9">#REF!</definedName>
    <definedName name="ytuth" localSheetId="10">#REF!</definedName>
    <definedName name="ytuth">#REF!</definedName>
    <definedName name="yy" localSheetId="7">{"US DOLLARS",#N/A,FALSE,"FMEOB96"}</definedName>
    <definedName name="yy" localSheetId="0">{"US DOLLARS",#N/A,FALSE,"FMEOB96"}</definedName>
    <definedName name="yy" localSheetId="2">{"US DOLLARS",#N/A,FALSE,"FMEOB96"}</definedName>
    <definedName name="yy" localSheetId="8">{"US DOLLARS",#N/A,FALSE,"FMEOB96"}</definedName>
    <definedName name="yy" localSheetId="9">{"US DOLLARS",#N/A,FALSE,"FMEOB96"}</definedName>
    <definedName name="yy" localSheetId="10">{"US DOLLARS",#N/A,FALSE,"FMEOB96"}</definedName>
    <definedName name="yy">{"US DOLLARS",#N/A,FALSE,"FMEOB96"}</definedName>
    <definedName name="z" localSheetId="7">{"'TOB-Vol'!$L$2:$AD$40"}</definedName>
    <definedName name="z" localSheetId="0">{"'TOB-Vol'!$L$2:$AD$40"}</definedName>
    <definedName name="z" localSheetId="2">{"'TOB-Vol'!$L$2:$AD$40"}</definedName>
    <definedName name="z" localSheetId="8">{"'TOB-Vol'!$L$2:$AD$40"}</definedName>
    <definedName name="z" localSheetId="9">{"'TOB-Vol'!$L$2:$AD$40"}</definedName>
    <definedName name="z" localSheetId="10">{"'TOB-Vol'!$L$2:$AD$40"}</definedName>
    <definedName name="z">{"'TOB-Vol'!$L$2:$AD$40"}</definedName>
    <definedName name="국순당" localSheetId="7">{#N/A,#N/A,FALSE,"Aging Summary";#N/A,#N/A,FALSE,"Ratio Analysis";#N/A,#N/A,FALSE,"Test 120 Day Accts";#N/A,#N/A,FALSE,"Tickmarks"}</definedName>
    <definedName name="국순당" localSheetId="0">{#N/A,#N/A,FALSE,"Aging Summary";#N/A,#N/A,FALSE,"Ratio Analysis";#N/A,#N/A,FALSE,"Test 120 Day Accts";#N/A,#N/A,FALSE,"Tickmarks"}</definedName>
    <definedName name="국순당" localSheetId="2">{#N/A,#N/A,FALSE,"Aging Summary";#N/A,#N/A,FALSE,"Ratio Analysis";#N/A,#N/A,FALSE,"Test 120 Day Accts";#N/A,#N/A,FALSE,"Tickmarks"}</definedName>
    <definedName name="국순당" localSheetId="8">{#N/A,#N/A,FALSE,"Aging Summary";#N/A,#N/A,FALSE,"Ratio Analysis";#N/A,#N/A,FALSE,"Test 120 Day Accts";#N/A,#N/A,FALSE,"Tickmarks"}</definedName>
    <definedName name="국순당" localSheetId="9">{#N/A,#N/A,FALSE,"Aging Summary";#N/A,#N/A,FALSE,"Ratio Analysis";#N/A,#N/A,FALSE,"Test 120 Day Accts";#N/A,#N/A,FALSE,"Tickmarks"}</definedName>
    <definedName name="국순당" localSheetId="10">{#N/A,#N/A,FALSE,"Aging Summary";#N/A,#N/A,FALSE,"Ratio Analysis";#N/A,#N/A,FALSE,"Test 120 Day Accts";#N/A,#N/A,FALSE,"Tickmarks"}</definedName>
    <definedName name="국순당">{#N/A,#N/A,FALSE,"Aging Summary";#N/A,#N/A,FALSE,"Ratio Analysis";#N/A,#N/A,FALSE,"Test 120 Day Accts";#N/A,#N/A,FALSE,"Tickmarks"}</definedName>
    <definedName name="국제거래" localSheetId="7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0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2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8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9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10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수정">#REF!</definedName>
    <definedName name="수정1" localSheetId="7">#REF!</definedName>
    <definedName name="수정1" localSheetId="8">#REF!</definedName>
    <definedName name="수정1" localSheetId="9">#REF!</definedName>
    <definedName name="수정1" localSheetId="10">#REF!</definedName>
    <definedName name="수정1">#REF!</definedName>
    <definedName name="원천납부8" localSheetId="7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0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2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8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9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10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퇴충명세" localSheetId="7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2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8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9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10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wRKQu1ZIrnnhqDf5JAdMsDiOmZ0/Lo33x9RJmyeI/wQ="/>
    </ext>
  </extLst>
</workbook>
</file>

<file path=xl/calcChain.xml><?xml version="1.0" encoding="utf-8"?>
<calcChain xmlns="http://schemas.openxmlformats.org/spreadsheetml/2006/main">
  <c r="G142" i="11" l="1"/>
  <c r="M140" i="11"/>
  <c r="M139" i="11"/>
  <c r="L139" i="11"/>
  <c r="K139" i="11"/>
  <c r="J139" i="11"/>
  <c r="I139" i="11"/>
  <c r="H139" i="11"/>
  <c r="G139" i="11"/>
  <c r="F139" i="11"/>
  <c r="N138" i="11"/>
  <c r="D138" i="11"/>
  <c r="C138" i="11"/>
  <c r="N137" i="11"/>
  <c r="D137" i="11"/>
  <c r="C137" i="11"/>
  <c r="N136" i="11"/>
  <c r="C136" i="11"/>
  <c r="D136" i="11" s="1"/>
  <c r="N135" i="11"/>
  <c r="D135" i="11"/>
  <c r="C135" i="11"/>
  <c r="N134" i="11"/>
  <c r="C134" i="11"/>
  <c r="D134" i="11" s="1"/>
  <c r="N133" i="11"/>
  <c r="C133" i="11"/>
  <c r="D133" i="11" s="1"/>
  <c r="N132" i="11"/>
  <c r="D132" i="11"/>
  <c r="C132" i="11"/>
  <c r="M131" i="11"/>
  <c r="L131" i="11"/>
  <c r="K131" i="11"/>
  <c r="J131" i="11"/>
  <c r="I131" i="11"/>
  <c r="H131" i="11"/>
  <c r="G131" i="11"/>
  <c r="F131" i="11"/>
  <c r="N130" i="11"/>
  <c r="D130" i="11"/>
  <c r="C130" i="11"/>
  <c r="N129" i="11"/>
  <c r="C129" i="11"/>
  <c r="D129" i="11" s="1"/>
  <c r="N128" i="11"/>
  <c r="N131" i="11" s="1"/>
  <c r="C128" i="11"/>
  <c r="D128" i="11" s="1"/>
  <c r="N127" i="11"/>
  <c r="D127" i="11"/>
  <c r="C127" i="11"/>
  <c r="N126" i="11"/>
  <c r="D126" i="11"/>
  <c r="C126" i="11"/>
  <c r="N125" i="11"/>
  <c r="D125" i="11"/>
  <c r="C125" i="11"/>
  <c r="M124" i="11"/>
  <c r="L124" i="11"/>
  <c r="K124" i="11"/>
  <c r="J124" i="11"/>
  <c r="I124" i="11"/>
  <c r="H124" i="11"/>
  <c r="G124" i="11"/>
  <c r="F124" i="11"/>
  <c r="N123" i="11"/>
  <c r="C123" i="11"/>
  <c r="D123" i="11" s="1"/>
  <c r="N122" i="11"/>
  <c r="D122" i="11"/>
  <c r="C122" i="11"/>
  <c r="N121" i="11"/>
  <c r="N124" i="11" s="1"/>
  <c r="C121" i="11"/>
  <c r="D121" i="11" s="1"/>
  <c r="M120" i="11"/>
  <c r="L120" i="11"/>
  <c r="K120" i="11"/>
  <c r="J120" i="11"/>
  <c r="I120" i="11"/>
  <c r="H120" i="11"/>
  <c r="G120" i="11"/>
  <c r="F120" i="11"/>
  <c r="N119" i="11"/>
  <c r="D119" i="11"/>
  <c r="N118" i="11"/>
  <c r="C118" i="11"/>
  <c r="D118" i="11" s="1"/>
  <c r="N117" i="11"/>
  <c r="N120" i="11" s="1"/>
  <c r="D117" i="11"/>
  <c r="C117" i="11"/>
  <c r="N116" i="11"/>
  <c r="D116" i="11"/>
  <c r="C116" i="11"/>
  <c r="N115" i="11"/>
  <c r="D115" i="11"/>
  <c r="C115" i="11"/>
  <c r="N114" i="11"/>
  <c r="C114" i="11"/>
  <c r="D114" i="11" s="1"/>
  <c r="N113" i="11"/>
  <c r="C113" i="11"/>
  <c r="D113" i="11" s="1"/>
  <c r="M112" i="11"/>
  <c r="L112" i="11"/>
  <c r="K112" i="11"/>
  <c r="J112" i="11"/>
  <c r="I112" i="11"/>
  <c r="H112" i="11"/>
  <c r="G112" i="11"/>
  <c r="F112" i="11"/>
  <c r="D112" i="11"/>
  <c r="N111" i="11"/>
  <c r="D111" i="11"/>
  <c r="C111" i="11"/>
  <c r="N110" i="11"/>
  <c r="N112" i="11" s="1"/>
  <c r="D110" i="11"/>
  <c r="C110" i="11"/>
  <c r="N109" i="11"/>
  <c r="D109" i="11"/>
  <c r="C109" i="11"/>
  <c r="N108" i="11"/>
  <c r="D108" i="11"/>
  <c r="C108" i="11"/>
  <c r="N107" i="11"/>
  <c r="C107" i="11"/>
  <c r="D107" i="11" s="1"/>
  <c r="M106" i="11"/>
  <c r="L106" i="11"/>
  <c r="K106" i="11"/>
  <c r="J106" i="11"/>
  <c r="I106" i="11"/>
  <c r="H106" i="11"/>
  <c r="G106" i="11"/>
  <c r="F106" i="11"/>
  <c r="N105" i="11"/>
  <c r="D105" i="11"/>
  <c r="C105" i="11"/>
  <c r="N104" i="11"/>
  <c r="C104" i="11"/>
  <c r="D104" i="11" s="1"/>
  <c r="N103" i="11"/>
  <c r="D103" i="11"/>
  <c r="C103" i="11"/>
  <c r="N102" i="11"/>
  <c r="C102" i="11"/>
  <c r="D102" i="11" s="1"/>
  <c r="N101" i="11"/>
  <c r="C101" i="11"/>
  <c r="D101" i="11" s="1"/>
  <c r="N99" i="11"/>
  <c r="D99" i="11"/>
  <c r="C99" i="11"/>
  <c r="N98" i="11"/>
  <c r="D98" i="11"/>
  <c r="C98" i="11"/>
  <c r="N97" i="11"/>
  <c r="D97" i="11"/>
  <c r="C97" i="11"/>
  <c r="N96" i="11"/>
  <c r="D96" i="11"/>
  <c r="C96" i="11"/>
  <c r="M95" i="11"/>
  <c r="L95" i="11"/>
  <c r="K95" i="11"/>
  <c r="J95" i="11"/>
  <c r="I95" i="11"/>
  <c r="H95" i="11"/>
  <c r="G95" i="11"/>
  <c r="F95" i="11"/>
  <c r="D95" i="11"/>
  <c r="N94" i="11"/>
  <c r="C94" i="11"/>
  <c r="D94" i="11" s="1"/>
  <c r="N93" i="11"/>
  <c r="C93" i="11"/>
  <c r="D93" i="11" s="1"/>
  <c r="N92" i="11"/>
  <c r="D92" i="11"/>
  <c r="C92" i="11"/>
  <c r="N91" i="11"/>
  <c r="C91" i="11"/>
  <c r="D91" i="11" s="1"/>
  <c r="N90" i="11"/>
  <c r="D90" i="11"/>
  <c r="C90" i="11"/>
  <c r="N89" i="11"/>
  <c r="D89" i="11"/>
  <c r="C89" i="11"/>
  <c r="M88" i="11"/>
  <c r="L88" i="11"/>
  <c r="K88" i="11"/>
  <c r="J88" i="11"/>
  <c r="I88" i="11"/>
  <c r="H88" i="11"/>
  <c r="G88" i="11"/>
  <c r="F88" i="11"/>
  <c r="N87" i="11"/>
  <c r="D87" i="11"/>
  <c r="C87" i="11"/>
  <c r="N86" i="11"/>
  <c r="D86" i="11"/>
  <c r="C86" i="11"/>
  <c r="N85" i="11"/>
  <c r="D85" i="11"/>
  <c r="C85" i="11"/>
  <c r="N84" i="11"/>
  <c r="C84" i="11"/>
  <c r="D84" i="11" s="1"/>
  <c r="N83" i="11"/>
  <c r="D83" i="11"/>
  <c r="C83" i="11"/>
  <c r="N82" i="11"/>
  <c r="C82" i="11"/>
  <c r="D82" i="11" s="1"/>
  <c r="N81" i="11"/>
  <c r="C81" i="11"/>
  <c r="D81" i="11" s="1"/>
  <c r="M80" i="11"/>
  <c r="L80" i="11"/>
  <c r="K80" i="11"/>
  <c r="J80" i="11"/>
  <c r="I80" i="11"/>
  <c r="H80" i="11"/>
  <c r="G80" i="11"/>
  <c r="F80" i="11"/>
  <c r="N79" i="11"/>
  <c r="D79" i="11"/>
  <c r="C79" i="11"/>
  <c r="N78" i="11"/>
  <c r="D78" i="11"/>
  <c r="C78" i="11"/>
  <c r="N77" i="11"/>
  <c r="C77" i="11"/>
  <c r="D77" i="11" s="1"/>
  <c r="N76" i="11"/>
  <c r="D76" i="11"/>
  <c r="C76" i="11"/>
  <c r="N75" i="11"/>
  <c r="D75" i="11"/>
  <c r="C75" i="11"/>
  <c r="N74" i="11"/>
  <c r="D74" i="11"/>
  <c r="C74" i="11"/>
  <c r="N73" i="11"/>
  <c r="D73" i="11"/>
  <c r="C73" i="11"/>
  <c r="N72" i="11"/>
  <c r="D72" i="11"/>
  <c r="N71" i="11"/>
  <c r="D71" i="11"/>
  <c r="C71" i="11"/>
  <c r="N70" i="11"/>
  <c r="D70" i="11"/>
  <c r="N69" i="11"/>
  <c r="N80" i="11" s="1"/>
  <c r="D69" i="11"/>
  <c r="C69" i="11"/>
  <c r="M68" i="11"/>
  <c r="L68" i="11"/>
  <c r="K68" i="11"/>
  <c r="J68" i="11"/>
  <c r="I68" i="11"/>
  <c r="H68" i="11"/>
  <c r="G68" i="11"/>
  <c r="F68" i="11"/>
  <c r="N67" i="11"/>
  <c r="D67" i="11"/>
  <c r="C67" i="11"/>
  <c r="N66" i="11"/>
  <c r="D66" i="11"/>
  <c r="C66" i="11"/>
  <c r="N65" i="11"/>
  <c r="D65" i="11"/>
  <c r="C65" i="11"/>
  <c r="N64" i="11"/>
  <c r="C64" i="11"/>
  <c r="D64" i="11" s="1"/>
  <c r="N63" i="11"/>
  <c r="D63" i="11"/>
  <c r="C63" i="11"/>
  <c r="N62" i="11"/>
  <c r="D62" i="11"/>
  <c r="N61" i="11"/>
  <c r="D61" i="11"/>
  <c r="C61" i="11"/>
  <c r="N60" i="11"/>
  <c r="N68" i="11" s="1"/>
  <c r="D60" i="11"/>
  <c r="N59" i="11"/>
  <c r="C59" i="11"/>
  <c r="D59" i="11" s="1"/>
  <c r="M58" i="11"/>
  <c r="L58" i="11"/>
  <c r="K58" i="11"/>
  <c r="J58" i="11"/>
  <c r="I58" i="11"/>
  <c r="H58" i="11"/>
  <c r="G58" i="11"/>
  <c r="F58" i="11"/>
  <c r="N57" i="11"/>
  <c r="D57" i="11"/>
  <c r="C57" i="11"/>
  <c r="N56" i="11"/>
  <c r="D56" i="11"/>
  <c r="N55" i="11"/>
  <c r="D55" i="11"/>
  <c r="N54" i="11"/>
  <c r="N58" i="11" s="1"/>
  <c r="D54" i="11"/>
  <c r="N53" i="11"/>
  <c r="D53" i="11"/>
  <c r="N52" i="11"/>
  <c r="D52" i="11"/>
  <c r="N51" i="11"/>
  <c r="D51" i="11"/>
  <c r="N50" i="11"/>
  <c r="D50" i="11"/>
  <c r="N49" i="11"/>
  <c r="D49" i="11"/>
  <c r="M48" i="11"/>
  <c r="L48" i="11"/>
  <c r="K48" i="11"/>
  <c r="J48" i="11"/>
  <c r="I48" i="11"/>
  <c r="H48" i="11"/>
  <c r="G48" i="11"/>
  <c r="F48" i="11"/>
  <c r="N47" i="11"/>
  <c r="D47" i="11"/>
  <c r="C47" i="11"/>
  <c r="N46" i="11"/>
  <c r="C46" i="11"/>
  <c r="D46" i="11" s="1"/>
  <c r="N45" i="11"/>
  <c r="D45" i="11"/>
  <c r="C45" i="11"/>
  <c r="N44" i="11"/>
  <c r="C44" i="11"/>
  <c r="D44" i="11" s="1"/>
  <c r="N43" i="11"/>
  <c r="C43" i="11"/>
  <c r="D43" i="11" s="1"/>
  <c r="N42" i="11"/>
  <c r="D42" i="11"/>
  <c r="C42" i="11"/>
  <c r="N41" i="11"/>
  <c r="C41" i="11"/>
  <c r="D41" i="11" s="1"/>
  <c r="N40" i="11"/>
  <c r="N48" i="11" s="1"/>
  <c r="D40" i="11"/>
  <c r="C40" i="11"/>
  <c r="M39" i="11"/>
  <c r="L39" i="11"/>
  <c r="K39" i="11"/>
  <c r="J39" i="11"/>
  <c r="I39" i="11"/>
  <c r="H39" i="11"/>
  <c r="G39" i="11"/>
  <c r="F39" i="11"/>
  <c r="N38" i="11"/>
  <c r="C38" i="11"/>
  <c r="D38" i="11" s="1"/>
  <c r="N37" i="11"/>
  <c r="D37" i="11"/>
  <c r="C37" i="11"/>
  <c r="N36" i="11"/>
  <c r="D36" i="11"/>
  <c r="C36" i="11"/>
  <c r="N35" i="11"/>
  <c r="D35" i="11"/>
  <c r="C35" i="11"/>
  <c r="C34" i="11"/>
  <c r="D34" i="11" s="1"/>
  <c r="N33" i="11"/>
  <c r="C33" i="11"/>
  <c r="D33" i="11" s="1"/>
  <c r="N32" i="11"/>
  <c r="D32" i="11"/>
  <c r="C32" i="11"/>
  <c r="N31" i="11"/>
  <c r="D31" i="11"/>
  <c r="C31" i="11"/>
  <c r="M30" i="11"/>
  <c r="L30" i="11"/>
  <c r="K30" i="11"/>
  <c r="J30" i="11"/>
  <c r="I30" i="11"/>
  <c r="H30" i="11"/>
  <c r="G30" i="11"/>
  <c r="F30" i="11"/>
  <c r="N29" i="11"/>
  <c r="C29" i="11"/>
  <c r="D29" i="11" s="1"/>
  <c r="N28" i="11"/>
  <c r="C28" i="11"/>
  <c r="D28" i="11" s="1"/>
  <c r="N27" i="11"/>
  <c r="D27" i="11"/>
  <c r="C27" i="11"/>
  <c r="N26" i="11"/>
  <c r="C26" i="11"/>
  <c r="D26" i="11" s="1"/>
  <c r="N25" i="11"/>
  <c r="D25" i="11"/>
  <c r="C25" i="11"/>
  <c r="N24" i="11"/>
  <c r="D24" i="11"/>
  <c r="C24" i="11"/>
  <c r="N23" i="11"/>
  <c r="D23" i="11"/>
  <c r="C23" i="11"/>
  <c r="N22" i="11"/>
  <c r="C22" i="11"/>
  <c r="D22" i="11" s="1"/>
  <c r="N21" i="11"/>
  <c r="N30" i="11" s="1"/>
  <c r="C21" i="11"/>
  <c r="D21" i="11" s="1"/>
  <c r="M20" i="11"/>
  <c r="L20" i="11"/>
  <c r="K20" i="11"/>
  <c r="J20" i="11"/>
  <c r="I20" i="11"/>
  <c r="H20" i="11"/>
  <c r="G20" i="11"/>
  <c r="F20" i="11"/>
  <c r="N19" i="11"/>
  <c r="D19" i="11"/>
  <c r="N18" i="11"/>
  <c r="D18" i="11"/>
  <c r="C18" i="11"/>
  <c r="N17" i="11"/>
  <c r="D17" i="11"/>
  <c r="C17" i="11"/>
  <c r="N16" i="11"/>
  <c r="D16" i="11"/>
  <c r="C16" i="11"/>
  <c r="N15" i="11"/>
  <c r="D15" i="11"/>
  <c r="C15" i="11"/>
  <c r="N14" i="11"/>
  <c r="C14" i="11"/>
  <c r="D14" i="11" s="1"/>
  <c r="N13" i="11"/>
  <c r="D13" i="11"/>
  <c r="C13" i="11"/>
  <c r="N12" i="11"/>
  <c r="C12" i="11"/>
  <c r="D12" i="11" s="1"/>
  <c r="N11" i="11"/>
  <c r="C11" i="11"/>
  <c r="D11" i="11" s="1"/>
  <c r="N10" i="11"/>
  <c r="D10" i="11"/>
  <c r="C10" i="11"/>
  <c r="N9" i="11"/>
  <c r="D9" i="11"/>
  <c r="C9" i="11"/>
  <c r="N8" i="11"/>
  <c r="D8" i="11"/>
  <c r="C8" i="11"/>
  <c r="N7" i="11"/>
  <c r="D7" i="11"/>
  <c r="C7" i="11"/>
  <c r="N6" i="11"/>
  <c r="D6" i="11"/>
  <c r="C6" i="11"/>
  <c r="F3" i="11"/>
  <c r="H2" i="11"/>
  <c r="I2" i="11" s="1"/>
  <c r="J2" i="11" s="1"/>
  <c r="K2" i="11" s="1"/>
  <c r="L2" i="11" s="1"/>
  <c r="M2" i="11" s="1"/>
  <c r="G142" i="10"/>
  <c r="M139" i="10"/>
  <c r="L139" i="10"/>
  <c r="K139" i="10"/>
  <c r="J139" i="10"/>
  <c r="I139" i="10"/>
  <c r="H139" i="10"/>
  <c r="G139" i="10"/>
  <c r="F139" i="10"/>
  <c r="N138" i="10"/>
  <c r="C138" i="10"/>
  <c r="D138" i="10" s="1"/>
  <c r="N137" i="10"/>
  <c r="D137" i="10"/>
  <c r="C137" i="10"/>
  <c r="N136" i="10"/>
  <c r="D136" i="10"/>
  <c r="C136" i="10"/>
  <c r="N135" i="10"/>
  <c r="C135" i="10"/>
  <c r="D135" i="10" s="1"/>
  <c r="N134" i="10"/>
  <c r="C134" i="10"/>
  <c r="D134" i="10" s="1"/>
  <c r="N133" i="10"/>
  <c r="C133" i="10"/>
  <c r="D133" i="10" s="1"/>
  <c r="N132" i="10"/>
  <c r="D132" i="10"/>
  <c r="C132" i="10"/>
  <c r="M131" i="10"/>
  <c r="L131" i="10"/>
  <c r="K131" i="10"/>
  <c r="J131" i="10"/>
  <c r="I131" i="10"/>
  <c r="H131" i="10"/>
  <c r="G131" i="10"/>
  <c r="F131" i="10"/>
  <c r="N130" i="10"/>
  <c r="D130" i="10"/>
  <c r="C130" i="10"/>
  <c r="N129" i="10"/>
  <c r="C129" i="10"/>
  <c r="D129" i="10" s="1"/>
  <c r="N128" i="10"/>
  <c r="C128" i="10"/>
  <c r="D128" i="10" s="1"/>
  <c r="N127" i="10"/>
  <c r="C127" i="10"/>
  <c r="D127" i="10" s="1"/>
  <c r="N126" i="10"/>
  <c r="D126" i="10"/>
  <c r="C126" i="10"/>
  <c r="N125" i="10"/>
  <c r="N131" i="10" s="1"/>
  <c r="D125" i="10"/>
  <c r="C125" i="10"/>
  <c r="M124" i="10"/>
  <c r="L124" i="10"/>
  <c r="K124" i="10"/>
  <c r="J124" i="10"/>
  <c r="I124" i="10"/>
  <c r="H124" i="10"/>
  <c r="G124" i="10"/>
  <c r="F124" i="10"/>
  <c r="F140" i="10" s="1"/>
  <c r="N123" i="10"/>
  <c r="D123" i="10"/>
  <c r="C123" i="10"/>
  <c r="N122" i="10"/>
  <c r="D122" i="10"/>
  <c r="C122" i="10"/>
  <c r="N121" i="10"/>
  <c r="D121" i="10"/>
  <c r="C121" i="10"/>
  <c r="M120" i="10"/>
  <c r="L120" i="10"/>
  <c r="K120" i="10"/>
  <c r="J120" i="10"/>
  <c r="I120" i="10"/>
  <c r="H120" i="10"/>
  <c r="G120" i="10"/>
  <c r="G140" i="10" s="1"/>
  <c r="F120" i="10"/>
  <c r="N119" i="10"/>
  <c r="D119" i="10"/>
  <c r="N118" i="10"/>
  <c r="D118" i="10"/>
  <c r="C118" i="10"/>
  <c r="N117" i="10"/>
  <c r="D117" i="10"/>
  <c r="C117" i="10"/>
  <c r="N116" i="10"/>
  <c r="C116" i="10"/>
  <c r="D116" i="10" s="1"/>
  <c r="N115" i="10"/>
  <c r="D115" i="10"/>
  <c r="C115" i="10"/>
  <c r="N114" i="10"/>
  <c r="C114" i="10"/>
  <c r="D114" i="10" s="1"/>
  <c r="N113" i="10"/>
  <c r="C113" i="10"/>
  <c r="D113" i="10" s="1"/>
  <c r="M112" i="10"/>
  <c r="L112" i="10"/>
  <c r="K112" i="10"/>
  <c r="J112" i="10"/>
  <c r="I112" i="10"/>
  <c r="H112" i="10"/>
  <c r="G112" i="10"/>
  <c r="F112" i="10"/>
  <c r="D112" i="10"/>
  <c r="N111" i="10"/>
  <c r="D111" i="10"/>
  <c r="C111" i="10"/>
  <c r="N110" i="10"/>
  <c r="D110" i="10"/>
  <c r="C110" i="10"/>
  <c r="N109" i="10"/>
  <c r="C109" i="10"/>
  <c r="D109" i="10" s="1"/>
  <c r="N108" i="10"/>
  <c r="D108" i="10"/>
  <c r="C108" i="10"/>
  <c r="N107" i="10"/>
  <c r="N112" i="10" s="1"/>
  <c r="C107" i="10"/>
  <c r="D107" i="10" s="1"/>
  <c r="M106" i="10"/>
  <c r="L106" i="10"/>
  <c r="K106" i="10"/>
  <c r="J106" i="10"/>
  <c r="I106" i="10"/>
  <c r="H106" i="10"/>
  <c r="G106" i="10"/>
  <c r="F106" i="10"/>
  <c r="N105" i="10"/>
  <c r="D105" i="10"/>
  <c r="C105" i="10"/>
  <c r="N104" i="10"/>
  <c r="D104" i="10"/>
  <c r="C104" i="10"/>
  <c r="N103" i="10"/>
  <c r="C103" i="10"/>
  <c r="D103" i="10" s="1"/>
  <c r="N102" i="10"/>
  <c r="C102" i="10"/>
  <c r="D102" i="10" s="1"/>
  <c r="N101" i="10"/>
  <c r="C101" i="10"/>
  <c r="D101" i="10" s="1"/>
  <c r="N99" i="10"/>
  <c r="D99" i="10"/>
  <c r="C99" i="10"/>
  <c r="N98" i="10"/>
  <c r="N106" i="10" s="1"/>
  <c r="D98" i="10"/>
  <c r="C98" i="10"/>
  <c r="N97" i="10"/>
  <c r="D97" i="10"/>
  <c r="C97" i="10"/>
  <c r="N96" i="10"/>
  <c r="C96" i="10"/>
  <c r="D96" i="10" s="1"/>
  <c r="N95" i="10"/>
  <c r="M95" i="10"/>
  <c r="L95" i="10"/>
  <c r="K95" i="10"/>
  <c r="J95" i="10"/>
  <c r="I95" i="10"/>
  <c r="H95" i="10"/>
  <c r="G95" i="10"/>
  <c r="F95" i="10"/>
  <c r="D95" i="10"/>
  <c r="N94" i="10"/>
  <c r="C94" i="10"/>
  <c r="D94" i="10" s="1"/>
  <c r="N93" i="10"/>
  <c r="C93" i="10"/>
  <c r="D93" i="10" s="1"/>
  <c r="N92" i="10"/>
  <c r="D92" i="10"/>
  <c r="C92" i="10"/>
  <c r="N91" i="10"/>
  <c r="D91" i="10"/>
  <c r="C91" i="10"/>
  <c r="N90" i="10"/>
  <c r="D90" i="10"/>
  <c r="C90" i="10"/>
  <c r="N89" i="10"/>
  <c r="C89" i="10"/>
  <c r="D89" i="10" s="1"/>
  <c r="M88" i="10"/>
  <c r="L88" i="10"/>
  <c r="K88" i="10"/>
  <c r="J88" i="10"/>
  <c r="I88" i="10"/>
  <c r="H88" i="10"/>
  <c r="G88" i="10"/>
  <c r="F88" i="10"/>
  <c r="N87" i="10"/>
  <c r="C87" i="10"/>
  <c r="D87" i="10" s="1"/>
  <c r="N86" i="10"/>
  <c r="C86" i="10"/>
  <c r="D86" i="10" s="1"/>
  <c r="N85" i="10"/>
  <c r="D85" i="10"/>
  <c r="C85" i="10"/>
  <c r="N84" i="10"/>
  <c r="D84" i="10"/>
  <c r="C84" i="10"/>
  <c r="N83" i="10"/>
  <c r="C83" i="10"/>
  <c r="D83" i="10" s="1"/>
  <c r="N82" i="10"/>
  <c r="C82" i="10"/>
  <c r="D82" i="10" s="1"/>
  <c r="N81" i="10"/>
  <c r="D81" i="10"/>
  <c r="C81" i="10"/>
  <c r="M80" i="10"/>
  <c r="L80" i="10"/>
  <c r="K80" i="10"/>
  <c r="J80" i="10"/>
  <c r="I80" i="10"/>
  <c r="H80" i="10"/>
  <c r="G80" i="10"/>
  <c r="F80" i="10"/>
  <c r="N79" i="10"/>
  <c r="C79" i="10"/>
  <c r="D79" i="10" s="1"/>
  <c r="N78" i="10"/>
  <c r="D78" i="10"/>
  <c r="C78" i="10"/>
  <c r="N77" i="10"/>
  <c r="C77" i="10"/>
  <c r="D77" i="10" s="1"/>
  <c r="N76" i="10"/>
  <c r="C76" i="10"/>
  <c r="D76" i="10" s="1"/>
  <c r="N75" i="10"/>
  <c r="C75" i="10"/>
  <c r="D75" i="10" s="1"/>
  <c r="N74" i="10"/>
  <c r="D74" i="10"/>
  <c r="C74" i="10"/>
  <c r="N73" i="10"/>
  <c r="D73" i="10"/>
  <c r="C73" i="10"/>
  <c r="N72" i="10"/>
  <c r="D72" i="10"/>
  <c r="N71" i="10"/>
  <c r="C71" i="10"/>
  <c r="D71" i="10" s="1"/>
  <c r="N70" i="10"/>
  <c r="D70" i="10"/>
  <c r="N69" i="10"/>
  <c r="D69" i="10"/>
  <c r="C69" i="10"/>
  <c r="M68" i="10"/>
  <c r="L68" i="10"/>
  <c r="K68" i="10"/>
  <c r="J68" i="10"/>
  <c r="I68" i="10"/>
  <c r="H68" i="10"/>
  <c r="G68" i="10"/>
  <c r="F68" i="10"/>
  <c r="N67" i="10"/>
  <c r="C67" i="10"/>
  <c r="D67" i="10" s="1"/>
  <c r="N66" i="10"/>
  <c r="D66" i="10"/>
  <c r="C66" i="10"/>
  <c r="N65" i="10"/>
  <c r="N68" i="10" s="1"/>
  <c r="D65" i="10"/>
  <c r="C65" i="10"/>
  <c r="N64" i="10"/>
  <c r="D64" i="10"/>
  <c r="C64" i="10"/>
  <c r="N63" i="10"/>
  <c r="C63" i="10"/>
  <c r="D63" i="10" s="1"/>
  <c r="N62" i="10"/>
  <c r="D62" i="10"/>
  <c r="N61" i="10"/>
  <c r="C61" i="10"/>
  <c r="D61" i="10" s="1"/>
  <c r="N60" i="10"/>
  <c r="D60" i="10"/>
  <c r="N59" i="10"/>
  <c r="C59" i="10"/>
  <c r="D59" i="10" s="1"/>
  <c r="M58" i="10"/>
  <c r="L58" i="10"/>
  <c r="K58" i="10"/>
  <c r="J58" i="10"/>
  <c r="I58" i="10"/>
  <c r="H58" i="10"/>
  <c r="G58" i="10"/>
  <c r="F58" i="10"/>
  <c r="N57" i="10"/>
  <c r="D57" i="10"/>
  <c r="C57" i="10"/>
  <c r="N56" i="10"/>
  <c r="D56" i="10"/>
  <c r="N55" i="10"/>
  <c r="D55" i="10"/>
  <c r="N54" i="10"/>
  <c r="D54" i="10"/>
  <c r="N53" i="10"/>
  <c r="D53" i="10"/>
  <c r="N52" i="10"/>
  <c r="D52" i="10"/>
  <c r="N51" i="10"/>
  <c r="D51" i="10"/>
  <c r="N50" i="10"/>
  <c r="D50" i="10"/>
  <c r="N49" i="10"/>
  <c r="N58" i="10" s="1"/>
  <c r="D49" i="10"/>
  <c r="M48" i="10"/>
  <c r="L48" i="10"/>
  <c r="K48" i="10"/>
  <c r="J48" i="10"/>
  <c r="I48" i="10"/>
  <c r="H48" i="10"/>
  <c r="G48" i="10"/>
  <c r="F48" i="10"/>
  <c r="N47" i="10"/>
  <c r="D47" i="10"/>
  <c r="C47" i="10"/>
  <c r="N46" i="10"/>
  <c r="D46" i="10"/>
  <c r="C46" i="10"/>
  <c r="N45" i="10"/>
  <c r="C45" i="10"/>
  <c r="D45" i="10" s="1"/>
  <c r="N44" i="10"/>
  <c r="C44" i="10"/>
  <c r="D44" i="10" s="1"/>
  <c r="N43" i="10"/>
  <c r="C43" i="10"/>
  <c r="D43" i="10" s="1"/>
  <c r="N42" i="10"/>
  <c r="D42" i="10"/>
  <c r="C42" i="10"/>
  <c r="N41" i="10"/>
  <c r="N48" i="10" s="1"/>
  <c r="D41" i="10"/>
  <c r="C41" i="10"/>
  <c r="N40" i="10"/>
  <c r="D40" i="10"/>
  <c r="C40" i="10"/>
  <c r="M39" i="10"/>
  <c r="L39" i="10"/>
  <c r="K39" i="10"/>
  <c r="J39" i="10"/>
  <c r="I39" i="10"/>
  <c r="H39" i="10"/>
  <c r="G39" i="10"/>
  <c r="F39" i="10"/>
  <c r="N38" i="10"/>
  <c r="C38" i="10"/>
  <c r="D38" i="10" s="1"/>
  <c r="N37" i="10"/>
  <c r="C37" i="10"/>
  <c r="D37" i="10" s="1"/>
  <c r="N36" i="10"/>
  <c r="D36" i="10"/>
  <c r="C36" i="10"/>
  <c r="N35" i="10"/>
  <c r="D35" i="10"/>
  <c r="C35" i="10"/>
  <c r="C34" i="10"/>
  <c r="D34" i="10" s="1"/>
  <c r="N33" i="10"/>
  <c r="C33" i="10"/>
  <c r="D33" i="10" s="1"/>
  <c r="N32" i="10"/>
  <c r="C32" i="10"/>
  <c r="D32" i="10" s="1"/>
  <c r="N31" i="10"/>
  <c r="C31" i="10"/>
  <c r="D31" i="10" s="1"/>
  <c r="M30" i="10"/>
  <c r="M140" i="10" s="1"/>
  <c r="L30" i="10"/>
  <c r="L140" i="10" s="1"/>
  <c r="K30" i="10"/>
  <c r="J30" i="10"/>
  <c r="I30" i="10"/>
  <c r="H30" i="10"/>
  <c r="G30" i="10"/>
  <c r="F30" i="10"/>
  <c r="N29" i="10"/>
  <c r="C29" i="10"/>
  <c r="D29" i="10" s="1"/>
  <c r="N28" i="10"/>
  <c r="D28" i="10"/>
  <c r="C28" i="10"/>
  <c r="N27" i="10"/>
  <c r="D27" i="10"/>
  <c r="C27" i="10"/>
  <c r="N26" i="10"/>
  <c r="D26" i="10"/>
  <c r="C26" i="10"/>
  <c r="N25" i="10"/>
  <c r="D25" i="10"/>
  <c r="C25" i="10"/>
  <c r="N24" i="10"/>
  <c r="D24" i="10"/>
  <c r="C24" i="10"/>
  <c r="N23" i="10"/>
  <c r="N30" i="10" s="1"/>
  <c r="D23" i="10"/>
  <c r="C23" i="10"/>
  <c r="N22" i="10"/>
  <c r="C22" i="10"/>
  <c r="D22" i="10" s="1"/>
  <c r="N21" i="10"/>
  <c r="C21" i="10"/>
  <c r="D21" i="10" s="1"/>
  <c r="M20" i="10"/>
  <c r="L20" i="10"/>
  <c r="K20" i="10"/>
  <c r="J20" i="10"/>
  <c r="I20" i="10"/>
  <c r="H20" i="10"/>
  <c r="H140" i="10" s="1"/>
  <c r="G20" i="10"/>
  <c r="F20" i="10"/>
  <c r="N19" i="10"/>
  <c r="D19" i="10"/>
  <c r="N18" i="10"/>
  <c r="C18" i="10"/>
  <c r="D18" i="10" s="1"/>
  <c r="N17" i="10"/>
  <c r="C17" i="10"/>
  <c r="D17" i="10" s="1"/>
  <c r="N16" i="10"/>
  <c r="C16" i="10"/>
  <c r="D16" i="10" s="1"/>
  <c r="N15" i="10"/>
  <c r="D15" i="10"/>
  <c r="C15" i="10"/>
  <c r="N14" i="10"/>
  <c r="D14" i="10"/>
  <c r="C14" i="10"/>
  <c r="N13" i="10"/>
  <c r="C13" i="10"/>
  <c r="D13" i="10" s="1"/>
  <c r="N12" i="10"/>
  <c r="C12" i="10"/>
  <c r="D12" i="10" s="1"/>
  <c r="N11" i="10"/>
  <c r="C11" i="10"/>
  <c r="D11" i="10" s="1"/>
  <c r="N10" i="10"/>
  <c r="D10" i="10"/>
  <c r="C10" i="10"/>
  <c r="N9" i="10"/>
  <c r="D9" i="10"/>
  <c r="C9" i="10"/>
  <c r="N8" i="10"/>
  <c r="D8" i="10"/>
  <c r="C8" i="10"/>
  <c r="N7" i="10"/>
  <c r="D7" i="10"/>
  <c r="C7" i="10"/>
  <c r="N6" i="10"/>
  <c r="D6" i="10"/>
  <c r="C6" i="10"/>
  <c r="F3" i="10"/>
  <c r="H2" i="10"/>
  <c r="I2" i="10" s="1"/>
  <c r="J2" i="10" s="1"/>
  <c r="K2" i="10" s="1"/>
  <c r="L2" i="10" s="1"/>
  <c r="M2" i="10" s="1"/>
  <c r="G142" i="9"/>
  <c r="M139" i="9"/>
  <c r="L139" i="9"/>
  <c r="K139" i="9"/>
  <c r="J139" i="9"/>
  <c r="I139" i="9"/>
  <c r="H139" i="9"/>
  <c r="G139" i="9"/>
  <c r="F139" i="9"/>
  <c r="N138" i="9"/>
  <c r="D138" i="9"/>
  <c r="C138" i="9"/>
  <c r="N137" i="9"/>
  <c r="D137" i="9"/>
  <c r="C137" i="9"/>
  <c r="N136" i="9"/>
  <c r="C136" i="9"/>
  <c r="D136" i="9" s="1"/>
  <c r="N135" i="9"/>
  <c r="D135" i="9"/>
  <c r="C135" i="9"/>
  <c r="N134" i="9"/>
  <c r="C134" i="9"/>
  <c r="D134" i="9" s="1"/>
  <c r="N133" i="9"/>
  <c r="D133" i="9"/>
  <c r="C133" i="9"/>
  <c r="N132" i="9"/>
  <c r="D132" i="9"/>
  <c r="C132" i="9"/>
  <c r="M131" i="9"/>
  <c r="L131" i="9"/>
  <c r="K131" i="9"/>
  <c r="J131" i="9"/>
  <c r="I131" i="9"/>
  <c r="H131" i="9"/>
  <c r="G131" i="9"/>
  <c r="F131" i="9"/>
  <c r="N130" i="9"/>
  <c r="C130" i="9"/>
  <c r="D130" i="9" s="1"/>
  <c r="N129" i="9"/>
  <c r="C129" i="9"/>
  <c r="D129" i="9" s="1"/>
  <c r="N128" i="9"/>
  <c r="N131" i="9" s="1"/>
  <c r="C128" i="9"/>
  <c r="D128" i="9" s="1"/>
  <c r="N127" i="9"/>
  <c r="D127" i="9"/>
  <c r="C127" i="9"/>
  <c r="N126" i="9"/>
  <c r="D126" i="9"/>
  <c r="C126" i="9"/>
  <c r="N125" i="9"/>
  <c r="D125" i="9"/>
  <c r="C125" i="9"/>
  <c r="M124" i="9"/>
  <c r="L124" i="9"/>
  <c r="K124" i="9"/>
  <c r="J124" i="9"/>
  <c r="I124" i="9"/>
  <c r="H124" i="9"/>
  <c r="G124" i="9"/>
  <c r="F124" i="9"/>
  <c r="N123" i="9"/>
  <c r="D123" i="9"/>
  <c r="C123" i="9"/>
  <c r="N122" i="9"/>
  <c r="D122" i="9"/>
  <c r="C122" i="9"/>
  <c r="N121" i="9"/>
  <c r="N124" i="9" s="1"/>
  <c r="C121" i="9"/>
  <c r="D121" i="9" s="1"/>
  <c r="M120" i="9"/>
  <c r="L120" i="9"/>
  <c r="K120" i="9"/>
  <c r="J120" i="9"/>
  <c r="I120" i="9"/>
  <c r="H120" i="9"/>
  <c r="G120" i="9"/>
  <c r="F120" i="9"/>
  <c r="N119" i="9"/>
  <c r="D119" i="9"/>
  <c r="N118" i="9"/>
  <c r="C118" i="9"/>
  <c r="D118" i="9" s="1"/>
  <c r="N117" i="9"/>
  <c r="D117" i="9"/>
  <c r="C117" i="9"/>
  <c r="N116" i="9"/>
  <c r="D116" i="9"/>
  <c r="C116" i="9"/>
  <c r="N115" i="9"/>
  <c r="C115" i="9"/>
  <c r="D115" i="9" s="1"/>
  <c r="N114" i="9"/>
  <c r="C114" i="9"/>
  <c r="D114" i="9" s="1"/>
  <c r="N113" i="9"/>
  <c r="N120" i="9" s="1"/>
  <c r="C113" i="9"/>
  <c r="D113" i="9" s="1"/>
  <c r="M112" i="9"/>
  <c r="L112" i="9"/>
  <c r="K112" i="9"/>
  <c r="J112" i="9"/>
  <c r="I112" i="9"/>
  <c r="H112" i="9"/>
  <c r="G112" i="9"/>
  <c r="F112" i="9"/>
  <c r="D112" i="9"/>
  <c r="N111" i="9"/>
  <c r="N112" i="9" s="1"/>
  <c r="D111" i="9"/>
  <c r="C111" i="9"/>
  <c r="N110" i="9"/>
  <c r="D110" i="9"/>
  <c r="C110" i="9"/>
  <c r="N109" i="9"/>
  <c r="D109" i="9"/>
  <c r="C109" i="9"/>
  <c r="N108" i="9"/>
  <c r="C108" i="9"/>
  <c r="D108" i="9" s="1"/>
  <c r="N107" i="9"/>
  <c r="C107" i="9"/>
  <c r="D107" i="9" s="1"/>
  <c r="M106" i="9"/>
  <c r="M140" i="9" s="1"/>
  <c r="L106" i="9"/>
  <c r="K106" i="9"/>
  <c r="J106" i="9"/>
  <c r="I106" i="9"/>
  <c r="H106" i="9"/>
  <c r="G106" i="9"/>
  <c r="F106" i="9"/>
  <c r="N105" i="9"/>
  <c r="D105" i="9"/>
  <c r="C105" i="9"/>
  <c r="N104" i="9"/>
  <c r="C104" i="9"/>
  <c r="D104" i="9" s="1"/>
  <c r="N103" i="9"/>
  <c r="D103" i="9"/>
  <c r="C103" i="9"/>
  <c r="N102" i="9"/>
  <c r="C102" i="9"/>
  <c r="D102" i="9" s="1"/>
  <c r="N101" i="9"/>
  <c r="D101" i="9"/>
  <c r="C101" i="9"/>
  <c r="N99" i="9"/>
  <c r="C99" i="9"/>
  <c r="D99" i="9" s="1"/>
  <c r="N98" i="9"/>
  <c r="C98" i="9"/>
  <c r="D98" i="9" s="1"/>
  <c r="N97" i="9"/>
  <c r="N106" i="9" s="1"/>
  <c r="D97" i="9"/>
  <c r="C97" i="9"/>
  <c r="N96" i="9"/>
  <c r="D96" i="9"/>
  <c r="C96" i="9"/>
  <c r="M95" i="9"/>
  <c r="L95" i="9"/>
  <c r="K95" i="9"/>
  <c r="J95" i="9"/>
  <c r="I95" i="9"/>
  <c r="H95" i="9"/>
  <c r="G95" i="9"/>
  <c r="F95" i="9"/>
  <c r="D95" i="9"/>
  <c r="N94" i="9"/>
  <c r="C94" i="9"/>
  <c r="D94" i="9" s="1"/>
  <c r="N93" i="9"/>
  <c r="D93" i="9"/>
  <c r="C93" i="9"/>
  <c r="N92" i="9"/>
  <c r="C92" i="9"/>
  <c r="D92" i="9" s="1"/>
  <c r="N91" i="9"/>
  <c r="D91" i="9"/>
  <c r="C91" i="9"/>
  <c r="N90" i="9"/>
  <c r="D90" i="9"/>
  <c r="C90" i="9"/>
  <c r="N89" i="9"/>
  <c r="N95" i="9" s="1"/>
  <c r="D89" i="9"/>
  <c r="C89" i="9"/>
  <c r="M88" i="9"/>
  <c r="L88" i="9"/>
  <c r="K88" i="9"/>
  <c r="J88" i="9"/>
  <c r="I88" i="9"/>
  <c r="H88" i="9"/>
  <c r="G88" i="9"/>
  <c r="F88" i="9"/>
  <c r="N87" i="9"/>
  <c r="D87" i="9"/>
  <c r="C87" i="9"/>
  <c r="N86" i="9"/>
  <c r="D86" i="9"/>
  <c r="C86" i="9"/>
  <c r="N85" i="9"/>
  <c r="D85" i="9"/>
  <c r="C85" i="9"/>
  <c r="N84" i="9"/>
  <c r="C84" i="9"/>
  <c r="D84" i="9" s="1"/>
  <c r="N83" i="9"/>
  <c r="C83" i="9"/>
  <c r="D83" i="9" s="1"/>
  <c r="N82" i="9"/>
  <c r="C82" i="9"/>
  <c r="D82" i="9" s="1"/>
  <c r="N81" i="9"/>
  <c r="N88" i="9" s="1"/>
  <c r="D81" i="9"/>
  <c r="C81" i="9"/>
  <c r="M80" i="9"/>
  <c r="L80" i="9"/>
  <c r="K80" i="9"/>
  <c r="J80" i="9"/>
  <c r="I80" i="9"/>
  <c r="H80" i="9"/>
  <c r="G80" i="9"/>
  <c r="F80" i="9"/>
  <c r="N79" i="9"/>
  <c r="D79" i="9"/>
  <c r="C79" i="9"/>
  <c r="N78" i="9"/>
  <c r="C78" i="9"/>
  <c r="D78" i="9" s="1"/>
  <c r="N77" i="9"/>
  <c r="C77" i="9"/>
  <c r="D77" i="9" s="1"/>
  <c r="N76" i="9"/>
  <c r="D76" i="9"/>
  <c r="C76" i="9"/>
  <c r="N75" i="9"/>
  <c r="D75" i="9"/>
  <c r="C75" i="9"/>
  <c r="N74" i="9"/>
  <c r="D74" i="9"/>
  <c r="C74" i="9"/>
  <c r="N73" i="9"/>
  <c r="D73" i="9"/>
  <c r="C73" i="9"/>
  <c r="N72" i="9"/>
  <c r="D72" i="9"/>
  <c r="N71" i="9"/>
  <c r="D71" i="9"/>
  <c r="C71" i="9"/>
  <c r="N70" i="9"/>
  <c r="N80" i="9" s="1"/>
  <c r="D70" i="9"/>
  <c r="N69" i="9"/>
  <c r="D69" i="9"/>
  <c r="C69" i="9"/>
  <c r="M68" i="9"/>
  <c r="L68" i="9"/>
  <c r="K68" i="9"/>
  <c r="J68" i="9"/>
  <c r="I68" i="9"/>
  <c r="H68" i="9"/>
  <c r="G68" i="9"/>
  <c r="F68" i="9"/>
  <c r="N67" i="9"/>
  <c r="D67" i="9"/>
  <c r="C67" i="9"/>
  <c r="N66" i="9"/>
  <c r="D66" i="9"/>
  <c r="C66" i="9"/>
  <c r="N65" i="9"/>
  <c r="D65" i="9"/>
  <c r="C65" i="9"/>
  <c r="N64" i="9"/>
  <c r="D64" i="9"/>
  <c r="C64" i="9"/>
  <c r="N63" i="9"/>
  <c r="D63" i="9"/>
  <c r="C63" i="9"/>
  <c r="N62" i="9"/>
  <c r="D62" i="9"/>
  <c r="N61" i="9"/>
  <c r="N68" i="9" s="1"/>
  <c r="D61" i="9"/>
  <c r="C61" i="9"/>
  <c r="N60" i="9"/>
  <c r="D60" i="9"/>
  <c r="N59" i="9"/>
  <c r="C59" i="9"/>
  <c r="D59" i="9" s="1"/>
  <c r="M58" i="9"/>
  <c r="L58" i="9"/>
  <c r="K58" i="9"/>
  <c r="J58" i="9"/>
  <c r="I58" i="9"/>
  <c r="H58" i="9"/>
  <c r="G58" i="9"/>
  <c r="F58" i="9"/>
  <c r="N57" i="9"/>
  <c r="D57" i="9"/>
  <c r="C57" i="9"/>
  <c r="N56" i="9"/>
  <c r="D56" i="9"/>
  <c r="N55" i="9"/>
  <c r="N58" i="9" s="1"/>
  <c r="D55" i="9"/>
  <c r="N54" i="9"/>
  <c r="D54" i="9"/>
  <c r="N53" i="9"/>
  <c r="D53" i="9"/>
  <c r="N52" i="9"/>
  <c r="D52" i="9"/>
  <c r="N51" i="9"/>
  <c r="D51" i="9"/>
  <c r="N50" i="9"/>
  <c r="D50" i="9"/>
  <c r="N49" i="9"/>
  <c r="D49" i="9"/>
  <c r="N48" i="9"/>
  <c r="M48" i="9"/>
  <c r="L48" i="9"/>
  <c r="K48" i="9"/>
  <c r="J48" i="9"/>
  <c r="I48" i="9"/>
  <c r="H48" i="9"/>
  <c r="G48" i="9"/>
  <c r="F48" i="9"/>
  <c r="N47" i="9"/>
  <c r="D47" i="9"/>
  <c r="C47" i="9"/>
  <c r="N46" i="9"/>
  <c r="C46" i="9"/>
  <c r="D46" i="9" s="1"/>
  <c r="N45" i="9"/>
  <c r="C45" i="9"/>
  <c r="D45" i="9" s="1"/>
  <c r="N44" i="9"/>
  <c r="C44" i="9"/>
  <c r="D44" i="9" s="1"/>
  <c r="N43" i="9"/>
  <c r="D43" i="9"/>
  <c r="C43" i="9"/>
  <c r="N42" i="9"/>
  <c r="D42" i="9"/>
  <c r="C42" i="9"/>
  <c r="N41" i="9"/>
  <c r="C41" i="9"/>
  <c r="D41" i="9" s="1"/>
  <c r="N40" i="9"/>
  <c r="D40" i="9"/>
  <c r="C40" i="9"/>
  <c r="M39" i="9"/>
  <c r="L39" i="9"/>
  <c r="K39" i="9"/>
  <c r="J39" i="9"/>
  <c r="I39" i="9"/>
  <c r="H39" i="9"/>
  <c r="G39" i="9"/>
  <c r="F39" i="9"/>
  <c r="N38" i="9"/>
  <c r="C38" i="9"/>
  <c r="D38" i="9" s="1"/>
  <c r="N37" i="9"/>
  <c r="D37" i="9"/>
  <c r="C37" i="9"/>
  <c r="N36" i="9"/>
  <c r="D36" i="9"/>
  <c r="C36" i="9"/>
  <c r="N35" i="9"/>
  <c r="D35" i="9"/>
  <c r="C35" i="9"/>
  <c r="C34" i="9"/>
  <c r="D34" i="9" s="1"/>
  <c r="N33" i="9"/>
  <c r="C33" i="9"/>
  <c r="D33" i="9" s="1"/>
  <c r="N32" i="9"/>
  <c r="D32" i="9"/>
  <c r="C32" i="9"/>
  <c r="N31" i="9"/>
  <c r="D31" i="9"/>
  <c r="C31" i="9"/>
  <c r="M30" i="9"/>
  <c r="L30" i="9"/>
  <c r="K30" i="9"/>
  <c r="J30" i="9"/>
  <c r="I30" i="9"/>
  <c r="H30" i="9"/>
  <c r="G30" i="9"/>
  <c r="F30" i="9"/>
  <c r="N29" i="9"/>
  <c r="C29" i="9"/>
  <c r="D29" i="9" s="1"/>
  <c r="N28" i="9"/>
  <c r="D28" i="9"/>
  <c r="C28" i="9"/>
  <c r="N27" i="9"/>
  <c r="D27" i="9"/>
  <c r="C27" i="9"/>
  <c r="N26" i="9"/>
  <c r="C26" i="9"/>
  <c r="D26" i="9" s="1"/>
  <c r="N25" i="9"/>
  <c r="D25" i="9"/>
  <c r="C25" i="9"/>
  <c r="N24" i="9"/>
  <c r="D24" i="9"/>
  <c r="C24" i="9"/>
  <c r="N23" i="9"/>
  <c r="C23" i="9"/>
  <c r="D23" i="9" s="1"/>
  <c r="N22" i="9"/>
  <c r="C22" i="9"/>
  <c r="D22" i="9" s="1"/>
  <c r="N21" i="9"/>
  <c r="C21" i="9"/>
  <c r="D21" i="9" s="1"/>
  <c r="N20" i="9"/>
  <c r="M20" i="9"/>
  <c r="L20" i="9"/>
  <c r="K20" i="9"/>
  <c r="J20" i="9"/>
  <c r="J140" i="9" s="1"/>
  <c r="I20" i="9"/>
  <c r="H20" i="9"/>
  <c r="G20" i="9"/>
  <c r="F20" i="9"/>
  <c r="N19" i="9"/>
  <c r="D19" i="9"/>
  <c r="N18" i="9"/>
  <c r="C18" i="9"/>
  <c r="D18" i="9" s="1"/>
  <c r="N17" i="9"/>
  <c r="D17" i="9"/>
  <c r="C17" i="9"/>
  <c r="N16" i="9"/>
  <c r="D16" i="9"/>
  <c r="C16" i="9"/>
  <c r="N15" i="9"/>
  <c r="D15" i="9"/>
  <c r="C15" i="9"/>
  <c r="N14" i="9"/>
  <c r="C14" i="9"/>
  <c r="D14" i="9" s="1"/>
  <c r="N13" i="9"/>
  <c r="C13" i="9"/>
  <c r="D13" i="9" s="1"/>
  <c r="N12" i="9"/>
  <c r="C12" i="9"/>
  <c r="D12" i="9" s="1"/>
  <c r="N11" i="9"/>
  <c r="D11" i="9"/>
  <c r="C11" i="9"/>
  <c r="N10" i="9"/>
  <c r="D10" i="9"/>
  <c r="C10" i="9"/>
  <c r="N9" i="9"/>
  <c r="C9" i="9"/>
  <c r="D9" i="9" s="1"/>
  <c r="N8" i="9"/>
  <c r="D8" i="9"/>
  <c r="C8" i="9"/>
  <c r="N7" i="9"/>
  <c r="D7" i="9"/>
  <c r="C7" i="9"/>
  <c r="N6" i="9"/>
  <c r="C6" i="9"/>
  <c r="D6" i="9" s="1"/>
  <c r="F3" i="9"/>
  <c r="H2" i="9"/>
  <c r="I2" i="9" s="1"/>
  <c r="J2" i="9" s="1"/>
  <c r="K2" i="9" s="1"/>
  <c r="L2" i="9" s="1"/>
  <c r="M2" i="9" s="1"/>
  <c r="G142" i="8"/>
  <c r="N139" i="8"/>
  <c r="V137" i="8" s="1"/>
  <c r="M139" i="8"/>
  <c r="L139" i="8"/>
  <c r="K139" i="8"/>
  <c r="J139" i="8"/>
  <c r="I139" i="8"/>
  <c r="H139" i="8"/>
  <c r="G139" i="8"/>
  <c r="F139" i="8"/>
  <c r="N138" i="8"/>
  <c r="C138" i="8"/>
  <c r="D138" i="8" s="1"/>
  <c r="N137" i="8"/>
  <c r="D137" i="8"/>
  <c r="C137" i="8"/>
  <c r="N136" i="8"/>
  <c r="D136" i="8"/>
  <c r="C136" i="8"/>
  <c r="N135" i="8"/>
  <c r="C135" i="8"/>
  <c r="D135" i="8" s="1"/>
  <c r="N134" i="8"/>
  <c r="C134" i="8"/>
  <c r="D134" i="8" s="1"/>
  <c r="N133" i="8"/>
  <c r="C133" i="8"/>
  <c r="D133" i="8" s="1"/>
  <c r="N132" i="8"/>
  <c r="D132" i="8"/>
  <c r="C132" i="8"/>
  <c r="M131" i="8"/>
  <c r="L131" i="8"/>
  <c r="K131" i="8"/>
  <c r="J131" i="8"/>
  <c r="I131" i="8"/>
  <c r="H131" i="8"/>
  <c r="G131" i="8"/>
  <c r="F131" i="8"/>
  <c r="N130" i="8"/>
  <c r="C130" i="8"/>
  <c r="D130" i="8" s="1"/>
  <c r="N129" i="8"/>
  <c r="C129" i="8"/>
  <c r="D129" i="8" s="1"/>
  <c r="N128" i="8"/>
  <c r="C128" i="8"/>
  <c r="D128" i="8" s="1"/>
  <c r="N127" i="8"/>
  <c r="C127" i="8"/>
  <c r="D127" i="8" s="1"/>
  <c r="N126" i="8"/>
  <c r="D126" i="8"/>
  <c r="C126" i="8"/>
  <c r="N125" i="8"/>
  <c r="D125" i="8"/>
  <c r="C125" i="8"/>
  <c r="M124" i="8"/>
  <c r="L124" i="8"/>
  <c r="K124" i="8"/>
  <c r="J124" i="8"/>
  <c r="I124" i="8"/>
  <c r="H124" i="8"/>
  <c r="G124" i="8"/>
  <c r="F124" i="8"/>
  <c r="N123" i="8"/>
  <c r="D123" i="8"/>
  <c r="C123" i="8"/>
  <c r="N122" i="8"/>
  <c r="D122" i="8"/>
  <c r="C122" i="8"/>
  <c r="N121" i="8"/>
  <c r="D121" i="8"/>
  <c r="C121" i="8"/>
  <c r="M120" i="8"/>
  <c r="L120" i="8"/>
  <c r="K120" i="8"/>
  <c r="J120" i="8"/>
  <c r="I120" i="8"/>
  <c r="H120" i="8"/>
  <c r="G120" i="8"/>
  <c r="F120" i="8"/>
  <c r="N119" i="8"/>
  <c r="D119" i="8"/>
  <c r="N118" i="8"/>
  <c r="D118" i="8"/>
  <c r="C118" i="8"/>
  <c r="N117" i="8"/>
  <c r="D117" i="8"/>
  <c r="C117" i="8"/>
  <c r="N116" i="8"/>
  <c r="D116" i="8"/>
  <c r="C116" i="8"/>
  <c r="N115" i="8"/>
  <c r="D115" i="8"/>
  <c r="C115" i="8"/>
  <c r="N114" i="8"/>
  <c r="C114" i="8"/>
  <c r="D114" i="8" s="1"/>
  <c r="N113" i="8"/>
  <c r="C113" i="8"/>
  <c r="D113" i="8" s="1"/>
  <c r="M112" i="8"/>
  <c r="L112" i="8"/>
  <c r="K112" i="8"/>
  <c r="J112" i="8"/>
  <c r="I112" i="8"/>
  <c r="H112" i="8"/>
  <c r="G112" i="8"/>
  <c r="F112" i="8"/>
  <c r="D112" i="8"/>
  <c r="N111" i="8"/>
  <c r="D111" i="8"/>
  <c r="C111" i="8"/>
  <c r="N110" i="8"/>
  <c r="D110" i="8"/>
  <c r="C110" i="8"/>
  <c r="N109" i="8"/>
  <c r="C109" i="8"/>
  <c r="D109" i="8" s="1"/>
  <c r="N108" i="8"/>
  <c r="D108" i="8"/>
  <c r="C108" i="8"/>
  <c r="N107" i="8"/>
  <c r="C107" i="8"/>
  <c r="D107" i="8" s="1"/>
  <c r="M106" i="8"/>
  <c r="L106" i="8"/>
  <c r="K106" i="8"/>
  <c r="J106" i="8"/>
  <c r="I106" i="8"/>
  <c r="H106" i="8"/>
  <c r="G106" i="8"/>
  <c r="F106" i="8"/>
  <c r="N105" i="8"/>
  <c r="D105" i="8"/>
  <c r="C105" i="8"/>
  <c r="N104" i="8"/>
  <c r="D104" i="8"/>
  <c r="C104" i="8"/>
  <c r="N103" i="8"/>
  <c r="C103" i="8"/>
  <c r="D103" i="8" s="1"/>
  <c r="N102" i="8"/>
  <c r="C102" i="8"/>
  <c r="D102" i="8" s="1"/>
  <c r="N101" i="8"/>
  <c r="C101" i="8"/>
  <c r="D101" i="8" s="1"/>
  <c r="N99" i="8"/>
  <c r="D99" i="8"/>
  <c r="C99" i="8"/>
  <c r="N98" i="8"/>
  <c r="N106" i="8" s="1"/>
  <c r="D98" i="8"/>
  <c r="C98" i="8"/>
  <c r="N97" i="8"/>
  <c r="D97" i="8"/>
  <c r="C97" i="8"/>
  <c r="N96" i="8"/>
  <c r="D96" i="8"/>
  <c r="C96" i="8"/>
  <c r="M95" i="8"/>
  <c r="L95" i="8"/>
  <c r="K95" i="8"/>
  <c r="J95" i="8"/>
  <c r="I95" i="8"/>
  <c r="H95" i="8"/>
  <c r="G95" i="8"/>
  <c r="F95" i="8"/>
  <c r="D95" i="8"/>
  <c r="N94" i="8"/>
  <c r="C94" i="8"/>
  <c r="D94" i="8" s="1"/>
  <c r="N93" i="8"/>
  <c r="C93" i="8"/>
  <c r="D93" i="8" s="1"/>
  <c r="N92" i="8"/>
  <c r="N95" i="8" s="1"/>
  <c r="D92" i="8"/>
  <c r="C92" i="8"/>
  <c r="N91" i="8"/>
  <c r="D91" i="8"/>
  <c r="C91" i="8"/>
  <c r="N90" i="8"/>
  <c r="D90" i="8"/>
  <c r="C90" i="8"/>
  <c r="N89" i="8"/>
  <c r="D89" i="8"/>
  <c r="C89" i="8"/>
  <c r="M88" i="8"/>
  <c r="L88" i="8"/>
  <c r="K88" i="8"/>
  <c r="J88" i="8"/>
  <c r="I88" i="8"/>
  <c r="H88" i="8"/>
  <c r="G88" i="8"/>
  <c r="F88" i="8"/>
  <c r="N87" i="8"/>
  <c r="D87" i="8"/>
  <c r="C87" i="8"/>
  <c r="N86" i="8"/>
  <c r="D86" i="8"/>
  <c r="C86" i="8"/>
  <c r="N85" i="8"/>
  <c r="N88" i="8" s="1"/>
  <c r="D85" i="8"/>
  <c r="C85" i="8"/>
  <c r="N84" i="8"/>
  <c r="D84" i="8"/>
  <c r="C84" i="8"/>
  <c r="N83" i="8"/>
  <c r="C83" i="8"/>
  <c r="D83" i="8" s="1"/>
  <c r="N82" i="8"/>
  <c r="C82" i="8"/>
  <c r="D82" i="8" s="1"/>
  <c r="N81" i="8"/>
  <c r="D81" i="8"/>
  <c r="C81" i="8"/>
  <c r="M80" i="8"/>
  <c r="L80" i="8"/>
  <c r="K80" i="8"/>
  <c r="J80" i="8"/>
  <c r="I80" i="8"/>
  <c r="H80" i="8"/>
  <c r="G80" i="8"/>
  <c r="F80" i="8"/>
  <c r="N79" i="8"/>
  <c r="C79" i="8"/>
  <c r="D79" i="8" s="1"/>
  <c r="N78" i="8"/>
  <c r="D78" i="8"/>
  <c r="C78" i="8"/>
  <c r="N77" i="8"/>
  <c r="C77" i="8"/>
  <c r="D77" i="8" s="1"/>
  <c r="N76" i="8"/>
  <c r="C76" i="8"/>
  <c r="D76" i="8" s="1"/>
  <c r="N75" i="8"/>
  <c r="D75" i="8"/>
  <c r="C75" i="8"/>
  <c r="N74" i="8"/>
  <c r="N80" i="8" s="1"/>
  <c r="D74" i="8"/>
  <c r="C74" i="8"/>
  <c r="N73" i="8"/>
  <c r="D73" i="8"/>
  <c r="C73" i="8"/>
  <c r="N72" i="8"/>
  <c r="D72" i="8"/>
  <c r="N71" i="8"/>
  <c r="C71" i="8"/>
  <c r="D71" i="8" s="1"/>
  <c r="N70" i="8"/>
  <c r="D70" i="8"/>
  <c r="N69" i="8"/>
  <c r="D69" i="8"/>
  <c r="C69" i="8"/>
  <c r="M68" i="8"/>
  <c r="L68" i="8"/>
  <c r="K68" i="8"/>
  <c r="J68" i="8"/>
  <c r="I68" i="8"/>
  <c r="H68" i="8"/>
  <c r="G68" i="8"/>
  <c r="F68" i="8"/>
  <c r="N67" i="8"/>
  <c r="D67" i="8"/>
  <c r="C67" i="8"/>
  <c r="N66" i="8"/>
  <c r="C66" i="8"/>
  <c r="D66" i="8" s="1"/>
  <c r="N65" i="8"/>
  <c r="D65" i="8"/>
  <c r="C65" i="8"/>
  <c r="N64" i="8"/>
  <c r="D64" i="8"/>
  <c r="C64" i="8"/>
  <c r="N63" i="8"/>
  <c r="C63" i="8"/>
  <c r="D63" i="8" s="1"/>
  <c r="N62" i="8"/>
  <c r="D62" i="8"/>
  <c r="N61" i="8"/>
  <c r="D61" i="8"/>
  <c r="C61" i="8"/>
  <c r="N60" i="8"/>
  <c r="N68" i="8" s="1"/>
  <c r="D60" i="8"/>
  <c r="N59" i="8"/>
  <c r="C59" i="8"/>
  <c r="D59" i="8" s="1"/>
  <c r="M58" i="8"/>
  <c r="L58" i="8"/>
  <c r="K58" i="8"/>
  <c r="J58" i="8"/>
  <c r="I58" i="8"/>
  <c r="H58" i="8"/>
  <c r="H140" i="8" s="1"/>
  <c r="G58" i="8"/>
  <c r="F58" i="8"/>
  <c r="N57" i="8"/>
  <c r="D57" i="8"/>
  <c r="C57" i="8"/>
  <c r="N56" i="8"/>
  <c r="D56" i="8"/>
  <c r="N55" i="8"/>
  <c r="D55" i="8"/>
  <c r="N54" i="8"/>
  <c r="D54" i="8"/>
  <c r="N53" i="8"/>
  <c r="D53" i="8"/>
  <c r="N52" i="8"/>
  <c r="D52" i="8"/>
  <c r="N51" i="8"/>
  <c r="D51" i="8"/>
  <c r="N50" i="8"/>
  <c r="D50" i="8"/>
  <c r="N49" i="8"/>
  <c r="D49" i="8"/>
  <c r="M48" i="8"/>
  <c r="L48" i="8"/>
  <c r="K48" i="8"/>
  <c r="J48" i="8"/>
  <c r="I48" i="8"/>
  <c r="H48" i="8"/>
  <c r="G48" i="8"/>
  <c r="G140" i="8" s="1"/>
  <c r="F48" i="8"/>
  <c r="N47" i="8"/>
  <c r="D47" i="8"/>
  <c r="C47" i="8"/>
  <c r="N46" i="8"/>
  <c r="D46" i="8"/>
  <c r="C46" i="8"/>
  <c r="N45" i="8"/>
  <c r="C45" i="8"/>
  <c r="D45" i="8" s="1"/>
  <c r="N44" i="8"/>
  <c r="C44" i="8"/>
  <c r="D44" i="8" s="1"/>
  <c r="N43" i="8"/>
  <c r="C43" i="8"/>
  <c r="D43" i="8" s="1"/>
  <c r="N42" i="8"/>
  <c r="D42" i="8"/>
  <c r="C42" i="8"/>
  <c r="N41" i="8"/>
  <c r="N48" i="8" s="1"/>
  <c r="D41" i="8"/>
  <c r="C41" i="8"/>
  <c r="N40" i="8"/>
  <c r="D40" i="8"/>
  <c r="C40" i="8"/>
  <c r="M39" i="8"/>
  <c r="L39" i="8"/>
  <c r="K39" i="8"/>
  <c r="J39" i="8"/>
  <c r="I39" i="8"/>
  <c r="H39" i="8"/>
  <c r="G39" i="8"/>
  <c r="F39" i="8"/>
  <c r="N38" i="8"/>
  <c r="C38" i="8"/>
  <c r="D38" i="8" s="1"/>
  <c r="N37" i="8"/>
  <c r="D37" i="8"/>
  <c r="C37" i="8"/>
  <c r="N36" i="8"/>
  <c r="C36" i="8"/>
  <c r="D36" i="8" s="1"/>
  <c r="N35" i="8"/>
  <c r="D35" i="8"/>
  <c r="C35" i="8"/>
  <c r="C34" i="8"/>
  <c r="D34" i="8" s="1"/>
  <c r="N33" i="8"/>
  <c r="C33" i="8"/>
  <c r="D33" i="8" s="1"/>
  <c r="N32" i="8"/>
  <c r="D32" i="8"/>
  <c r="C32" i="8"/>
  <c r="N31" i="8"/>
  <c r="D31" i="8"/>
  <c r="C31" i="8"/>
  <c r="M30" i="8"/>
  <c r="L30" i="8"/>
  <c r="K30" i="8"/>
  <c r="J30" i="8"/>
  <c r="I30" i="8"/>
  <c r="H30" i="8"/>
  <c r="G30" i="8"/>
  <c r="F30" i="8"/>
  <c r="N29" i="8"/>
  <c r="C29" i="8"/>
  <c r="D29" i="8" s="1"/>
  <c r="N28" i="8"/>
  <c r="D28" i="8"/>
  <c r="C28" i="8"/>
  <c r="N27" i="8"/>
  <c r="D27" i="8"/>
  <c r="C27" i="8"/>
  <c r="N26" i="8"/>
  <c r="D26" i="8"/>
  <c r="C26" i="8"/>
  <c r="N25" i="8"/>
  <c r="D25" i="8"/>
  <c r="C25" i="8"/>
  <c r="N24" i="8"/>
  <c r="C24" i="8"/>
  <c r="D24" i="8" s="1"/>
  <c r="N23" i="8"/>
  <c r="N30" i="8" s="1"/>
  <c r="D23" i="8"/>
  <c r="C23" i="8"/>
  <c r="N22" i="8"/>
  <c r="C22" i="8"/>
  <c r="D22" i="8" s="1"/>
  <c r="N21" i="8"/>
  <c r="C21" i="8"/>
  <c r="D21" i="8" s="1"/>
  <c r="M20" i="8"/>
  <c r="M140" i="8" s="1"/>
  <c r="L20" i="8"/>
  <c r="L140" i="8" s="1"/>
  <c r="K20" i="8"/>
  <c r="K140" i="8" s="1"/>
  <c r="J20" i="8"/>
  <c r="J140" i="8" s="1"/>
  <c r="I20" i="8"/>
  <c r="H20" i="8"/>
  <c r="G20" i="8"/>
  <c r="F20" i="8"/>
  <c r="N19" i="8"/>
  <c r="D19" i="8"/>
  <c r="N18" i="8"/>
  <c r="C18" i="8"/>
  <c r="D18" i="8" s="1"/>
  <c r="N17" i="8"/>
  <c r="D17" i="8"/>
  <c r="C17" i="8"/>
  <c r="N16" i="8"/>
  <c r="C16" i="8"/>
  <c r="D16" i="8" s="1"/>
  <c r="N15" i="8"/>
  <c r="D15" i="8"/>
  <c r="C15" i="8"/>
  <c r="N14" i="8"/>
  <c r="D14" i="8"/>
  <c r="C14" i="8"/>
  <c r="N13" i="8"/>
  <c r="C13" i="8"/>
  <c r="D13" i="8" s="1"/>
  <c r="N12" i="8"/>
  <c r="C12" i="8"/>
  <c r="D12" i="8" s="1"/>
  <c r="N11" i="8"/>
  <c r="C11" i="8"/>
  <c r="D11" i="8" s="1"/>
  <c r="N10" i="8"/>
  <c r="D10" i="8"/>
  <c r="C10" i="8"/>
  <c r="N9" i="8"/>
  <c r="D9" i="8"/>
  <c r="C9" i="8"/>
  <c r="N8" i="8"/>
  <c r="D8" i="8"/>
  <c r="C8" i="8"/>
  <c r="N7" i="8"/>
  <c r="C7" i="8"/>
  <c r="D7" i="8" s="1"/>
  <c r="N6" i="8"/>
  <c r="C6" i="8"/>
  <c r="D6" i="8" s="1"/>
  <c r="F3" i="8"/>
  <c r="L2" i="8"/>
  <c r="M2" i="8" s="1"/>
  <c r="K2" i="8"/>
  <c r="H2" i="8"/>
  <c r="I2" i="8" s="1"/>
  <c r="J2" i="8" s="1"/>
  <c r="G725" i="6"/>
  <c r="A725" i="6"/>
  <c r="G724" i="6"/>
  <c r="A724" i="6"/>
  <c r="G723" i="6"/>
  <c r="A723" i="6"/>
  <c r="G722" i="6"/>
  <c r="A722" i="6"/>
  <c r="G721" i="6"/>
  <c r="A721" i="6"/>
  <c r="G720" i="6"/>
  <c r="A720" i="6"/>
  <c r="G719" i="6"/>
  <c r="A719" i="6"/>
  <c r="G718" i="6"/>
  <c r="A718" i="6"/>
  <c r="G717" i="6"/>
  <c r="A717" i="6"/>
  <c r="G716" i="6"/>
  <c r="A716" i="6"/>
  <c r="G715" i="6"/>
  <c r="A715" i="6"/>
  <c r="G714" i="6"/>
  <c r="A714" i="6"/>
  <c r="G713" i="6"/>
  <c r="A713" i="6"/>
  <c r="G712" i="6"/>
  <c r="A712" i="6"/>
  <c r="G711" i="6"/>
  <c r="A711" i="6"/>
  <c r="G710" i="6"/>
  <c r="A710" i="6"/>
  <c r="G709" i="6"/>
  <c r="A709" i="6"/>
  <c r="G708" i="6"/>
  <c r="A708" i="6"/>
  <c r="G707" i="6"/>
  <c r="A707" i="6"/>
  <c r="G706" i="6"/>
  <c r="A706" i="6"/>
  <c r="G705" i="6"/>
  <c r="A705" i="6"/>
  <c r="G704" i="6"/>
  <c r="A704" i="6"/>
  <c r="G703" i="6"/>
  <c r="A703" i="6"/>
  <c r="G702" i="6"/>
  <c r="A702" i="6"/>
  <c r="G701" i="6"/>
  <c r="A701" i="6"/>
  <c r="G700" i="6"/>
  <c r="A700" i="6"/>
  <c r="G699" i="6"/>
  <c r="A699" i="6"/>
  <c r="G698" i="6"/>
  <c r="A698" i="6"/>
  <c r="G697" i="6"/>
  <c r="A697" i="6"/>
  <c r="G696" i="6"/>
  <c r="A696" i="6"/>
  <c r="G695" i="6"/>
  <c r="A695" i="6"/>
  <c r="G694" i="6"/>
  <c r="A694" i="6"/>
  <c r="G693" i="6"/>
  <c r="A693" i="6"/>
  <c r="G692" i="6"/>
  <c r="A692" i="6"/>
  <c r="G691" i="6"/>
  <c r="A691" i="6"/>
  <c r="G690" i="6"/>
  <c r="A690" i="6"/>
  <c r="G689" i="6"/>
  <c r="A689" i="6"/>
  <c r="G688" i="6"/>
  <c r="A688" i="6"/>
  <c r="G687" i="6"/>
  <c r="A687" i="6"/>
  <c r="G686" i="6"/>
  <c r="A686" i="6"/>
  <c r="G685" i="6"/>
  <c r="A685" i="6"/>
  <c r="G684" i="6"/>
  <c r="A684" i="6"/>
  <c r="G683" i="6"/>
  <c r="A683" i="6"/>
  <c r="G682" i="6"/>
  <c r="A682" i="6"/>
  <c r="G681" i="6"/>
  <c r="A681" i="6"/>
  <c r="G680" i="6"/>
  <c r="A680" i="6"/>
  <c r="G679" i="6"/>
  <c r="A679" i="6"/>
  <c r="G678" i="6"/>
  <c r="A678" i="6"/>
  <c r="G677" i="6"/>
  <c r="A677" i="6"/>
  <c r="G676" i="6"/>
  <c r="A676" i="6"/>
  <c r="G675" i="6"/>
  <c r="A675" i="6"/>
  <c r="G674" i="6"/>
  <c r="A674" i="6"/>
  <c r="G673" i="6"/>
  <c r="A673" i="6"/>
  <c r="G672" i="6"/>
  <c r="A672" i="6"/>
  <c r="G671" i="6"/>
  <c r="A671" i="6"/>
  <c r="G670" i="6"/>
  <c r="A670" i="6"/>
  <c r="G669" i="6"/>
  <c r="A669" i="6"/>
  <c r="G668" i="6"/>
  <c r="A668" i="6"/>
  <c r="G667" i="6"/>
  <c r="A667" i="6"/>
  <c r="G666" i="6"/>
  <c r="A666" i="6"/>
  <c r="G665" i="6"/>
  <c r="A665" i="6"/>
  <c r="G664" i="6"/>
  <c r="A664" i="6"/>
  <c r="G663" i="6"/>
  <c r="A663" i="6"/>
  <c r="G662" i="6"/>
  <c r="A662" i="6"/>
  <c r="G661" i="6"/>
  <c r="A661" i="6"/>
  <c r="G660" i="6"/>
  <c r="A660" i="6"/>
  <c r="G659" i="6"/>
  <c r="A659" i="6"/>
  <c r="G658" i="6"/>
  <c r="A658" i="6"/>
  <c r="G657" i="6"/>
  <c r="A657" i="6"/>
  <c r="G656" i="6"/>
  <c r="A656" i="6"/>
  <c r="G655" i="6"/>
  <c r="A655" i="6"/>
  <c r="G654" i="6"/>
  <c r="A654" i="6"/>
  <c r="G653" i="6"/>
  <c r="A653" i="6"/>
  <c r="A652" i="6"/>
  <c r="G651" i="6"/>
  <c r="A651" i="6"/>
  <c r="G650" i="6"/>
  <c r="A650" i="6"/>
  <c r="A649" i="6"/>
  <c r="G648" i="6"/>
  <c r="A648" i="6"/>
  <c r="A647" i="6"/>
  <c r="G646" i="6"/>
  <c r="A646" i="6"/>
  <c r="A645" i="6"/>
  <c r="G644" i="6"/>
  <c r="A644" i="6"/>
  <c r="G643" i="6"/>
  <c r="A643" i="6"/>
  <c r="G642" i="6"/>
  <c r="A642" i="6"/>
  <c r="A641" i="6"/>
  <c r="G640" i="6"/>
  <c r="A640" i="6"/>
  <c r="G639" i="6"/>
  <c r="A639" i="6"/>
  <c r="G638" i="6"/>
  <c r="A638" i="6"/>
  <c r="A637" i="6"/>
  <c r="G636" i="6"/>
  <c r="A636" i="6"/>
  <c r="G635" i="6"/>
  <c r="A635" i="6"/>
  <c r="G634" i="6"/>
  <c r="A634" i="6"/>
  <c r="G633" i="6"/>
  <c r="A633" i="6"/>
  <c r="G632" i="6"/>
  <c r="A632" i="6"/>
  <c r="G631" i="6"/>
  <c r="A631" i="6"/>
  <c r="G630" i="6"/>
  <c r="A630" i="6"/>
  <c r="G629" i="6"/>
  <c r="A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3" i="6"/>
  <c r="G612" i="6"/>
  <c r="G611" i="6"/>
  <c r="G609" i="6"/>
  <c r="G607" i="6"/>
  <c r="G606" i="6"/>
  <c r="G605" i="6"/>
  <c r="G603" i="6"/>
  <c r="G602" i="6"/>
  <c r="G599" i="6"/>
  <c r="G598" i="6"/>
  <c r="G596" i="6"/>
  <c r="G595" i="6"/>
  <c r="G593" i="6"/>
  <c r="G592" i="6"/>
  <c r="G591" i="6"/>
  <c r="G590" i="6"/>
  <c r="G589" i="6"/>
  <c r="G588" i="6"/>
  <c r="G587" i="6"/>
  <c r="G586" i="6"/>
  <c r="G584" i="6"/>
  <c r="G583" i="6"/>
  <c r="G581" i="6"/>
  <c r="G580" i="6"/>
  <c r="G578" i="6"/>
  <c r="G577" i="6"/>
  <c r="G575" i="6"/>
  <c r="G574" i="6"/>
  <c r="G572" i="6"/>
  <c r="G571" i="6"/>
  <c r="G568" i="6"/>
  <c r="G567" i="6"/>
  <c r="G566" i="6"/>
  <c r="G564" i="6"/>
  <c r="G562" i="6"/>
  <c r="G561" i="6"/>
  <c r="G560" i="6"/>
  <c r="G559" i="6"/>
  <c r="G557" i="6"/>
  <c r="G556" i="6"/>
  <c r="G555" i="6"/>
  <c r="G552" i="6"/>
  <c r="G551" i="6"/>
  <c r="G549" i="6"/>
  <c r="G548" i="6"/>
  <c r="G547" i="6"/>
  <c r="G544" i="6"/>
  <c r="G543" i="6"/>
  <c r="G542" i="6"/>
  <c r="G539" i="6"/>
  <c r="G538" i="6"/>
  <c r="G533" i="6"/>
  <c r="G532" i="6"/>
  <c r="G531" i="6"/>
  <c r="G530" i="6"/>
  <c r="G525" i="6"/>
  <c r="G524" i="6"/>
  <c r="G523" i="6"/>
  <c r="G520" i="6"/>
  <c r="G519" i="6"/>
  <c r="G516" i="6"/>
  <c r="G514" i="6"/>
  <c r="G513" i="6"/>
  <c r="G512" i="6"/>
  <c r="G511" i="6"/>
  <c r="G510" i="6"/>
  <c r="G509" i="6"/>
  <c r="G508" i="6"/>
  <c r="G507" i="6"/>
  <c r="G504" i="6"/>
  <c r="G503" i="6"/>
  <c r="G500" i="6"/>
  <c r="G499" i="6"/>
  <c r="G498" i="6"/>
  <c r="G497" i="6"/>
  <c r="G496" i="6"/>
  <c r="G495" i="6"/>
  <c r="G493" i="6"/>
  <c r="G492" i="6"/>
  <c r="G489" i="6"/>
  <c r="G488" i="6"/>
  <c r="G486" i="6"/>
  <c r="G485" i="6"/>
  <c r="G483" i="6"/>
  <c r="G482" i="6"/>
  <c r="G481" i="6"/>
  <c r="G480" i="6"/>
  <c r="G479" i="6"/>
  <c r="G478" i="6"/>
  <c r="G475" i="6"/>
  <c r="G474" i="6"/>
  <c r="G473" i="6"/>
  <c r="G471" i="6"/>
  <c r="G470" i="6"/>
  <c r="G469" i="6"/>
  <c r="G464" i="6"/>
  <c r="G463" i="6"/>
  <c r="G461" i="6"/>
  <c r="G460" i="6"/>
  <c r="G457" i="6"/>
  <c r="G456" i="6"/>
  <c r="G455" i="6"/>
  <c r="G454" i="6"/>
  <c r="G452" i="6"/>
  <c r="G451" i="6"/>
  <c r="G450" i="6"/>
  <c r="G449" i="6"/>
  <c r="G439" i="6"/>
  <c r="G438" i="6"/>
  <c r="G437" i="6"/>
  <c r="G436" i="6"/>
  <c r="G435" i="6"/>
  <c r="G434" i="6"/>
  <c r="G433" i="6"/>
  <c r="G432" i="6"/>
  <c r="G431" i="6"/>
  <c r="G430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5" i="6"/>
  <c r="G404" i="6"/>
  <c r="G403" i="6"/>
  <c r="G400" i="6"/>
  <c r="G399" i="6"/>
  <c r="G398" i="6"/>
  <c r="G397" i="6"/>
  <c r="G396" i="6"/>
  <c r="G395" i="6"/>
  <c r="G394" i="6"/>
  <c r="G393" i="6"/>
  <c r="G392" i="6"/>
  <c r="G386" i="6"/>
  <c r="G385" i="6"/>
  <c r="G384" i="6"/>
  <c r="G380" i="6"/>
  <c r="G379" i="6"/>
  <c r="G378" i="6"/>
  <c r="G377" i="6"/>
  <c r="G376" i="6"/>
  <c r="G375" i="6"/>
  <c r="G374" i="6"/>
  <c r="G373" i="6"/>
  <c r="G372" i="6"/>
  <c r="G370" i="6"/>
  <c r="G369" i="6"/>
  <c r="G368" i="6"/>
  <c r="G367" i="6"/>
  <c r="G366" i="6"/>
  <c r="G365" i="6"/>
  <c r="G364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6" i="6"/>
  <c r="G345" i="6"/>
  <c r="G344" i="6"/>
  <c r="G343" i="6"/>
  <c r="G342" i="6"/>
  <c r="G341" i="6"/>
  <c r="G336" i="6"/>
  <c r="G335" i="6"/>
  <c r="G334" i="6"/>
  <c r="G333" i="6"/>
  <c r="G332" i="6"/>
  <c r="G331" i="6"/>
  <c r="G330" i="6"/>
  <c r="G329" i="6"/>
  <c r="G327" i="6"/>
  <c r="G326" i="6"/>
  <c r="G325" i="6"/>
  <c r="G324" i="6"/>
  <c r="G323" i="6"/>
  <c r="G313" i="6"/>
  <c r="G312" i="6"/>
  <c r="G311" i="6"/>
  <c r="G310" i="6"/>
  <c r="G309" i="6"/>
  <c r="G308" i="6"/>
  <c r="G307" i="6"/>
  <c r="G304" i="6"/>
  <c r="G303" i="6"/>
  <c r="G302" i="6"/>
  <c r="G301" i="6"/>
  <c r="G300" i="6"/>
  <c r="G299" i="6"/>
  <c r="G298" i="6"/>
  <c r="G294" i="6"/>
  <c r="G293" i="6"/>
  <c r="G292" i="6"/>
  <c r="G291" i="6"/>
  <c r="G290" i="6"/>
  <c r="G289" i="6"/>
  <c r="G288" i="6"/>
  <c r="G287" i="6"/>
  <c r="G283" i="6"/>
  <c r="G282" i="6"/>
  <c r="G281" i="6"/>
  <c r="G280" i="6"/>
  <c r="G279" i="6"/>
  <c r="G278" i="6"/>
  <c r="G277" i="6"/>
  <c r="G276" i="6"/>
  <c r="G274" i="6"/>
  <c r="G273" i="6"/>
  <c r="G272" i="6"/>
  <c r="G271" i="6"/>
  <c r="G270" i="6"/>
  <c r="G269" i="6"/>
  <c r="G268" i="6"/>
  <c r="G267" i="6"/>
  <c r="G266" i="6"/>
  <c r="G263" i="6"/>
  <c r="G262" i="6"/>
  <c r="G261" i="6"/>
  <c r="G260" i="6"/>
  <c r="G259" i="6"/>
  <c r="G258" i="6"/>
  <c r="G257" i="6"/>
  <c r="G256" i="6"/>
  <c r="G253" i="6"/>
  <c r="G252" i="6"/>
  <c r="G251" i="6"/>
  <c r="G250" i="6"/>
  <c r="G249" i="6"/>
  <c r="G248" i="6"/>
  <c r="G247" i="6"/>
  <c r="G246" i="6"/>
  <c r="G245" i="6"/>
  <c r="G243" i="6"/>
  <c r="G242" i="6"/>
  <c r="G241" i="6"/>
  <c r="G240" i="6"/>
  <c r="G239" i="6"/>
  <c r="G238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1" i="6"/>
  <c r="G220" i="6"/>
  <c r="G218" i="6"/>
  <c r="G217" i="6"/>
  <c r="G216" i="6"/>
  <c r="G214" i="6"/>
  <c r="G211" i="6"/>
  <c r="G210" i="6"/>
  <c r="G208" i="6"/>
  <c r="G207" i="6"/>
  <c r="G205" i="6"/>
  <c r="G204" i="6"/>
  <c r="G202" i="6"/>
  <c r="G200" i="6"/>
  <c r="G199" i="6"/>
  <c r="G198" i="6"/>
  <c r="G197" i="6"/>
  <c r="G196" i="6"/>
  <c r="G195" i="6"/>
  <c r="O193" i="6"/>
  <c r="G193" i="6"/>
  <c r="O192" i="6"/>
  <c r="O191" i="6"/>
  <c r="G191" i="6"/>
  <c r="G190" i="6"/>
  <c r="G189" i="6"/>
  <c r="G188" i="6"/>
  <c r="O187" i="6"/>
  <c r="G187" i="6"/>
  <c r="O186" i="6"/>
  <c r="G186" i="6"/>
  <c r="O185" i="6"/>
  <c r="G185" i="6"/>
  <c r="O184" i="6"/>
  <c r="G184" i="6"/>
  <c r="O183" i="6"/>
  <c r="O182" i="6"/>
  <c r="O181" i="6"/>
  <c r="O180" i="6"/>
  <c r="G180" i="6"/>
  <c r="O179" i="6"/>
  <c r="G179" i="6"/>
  <c r="O178" i="6"/>
  <c r="G178" i="6"/>
  <c r="O177" i="6"/>
  <c r="G177" i="6"/>
  <c r="O176" i="6"/>
  <c r="O175" i="6"/>
  <c r="G175" i="6"/>
  <c r="O174" i="6"/>
  <c r="G174" i="6"/>
  <c r="O173" i="6"/>
  <c r="G173" i="6"/>
  <c r="O172" i="6"/>
  <c r="G172" i="6"/>
  <c r="O171" i="6"/>
  <c r="O170" i="6"/>
  <c r="G170" i="6"/>
  <c r="O169" i="6"/>
  <c r="G169" i="6"/>
  <c r="O168" i="6"/>
  <c r="G168" i="6"/>
  <c r="O167" i="6"/>
  <c r="G167" i="6"/>
  <c r="O166" i="6"/>
  <c r="G166" i="6"/>
  <c r="O165" i="6"/>
  <c r="O164" i="6"/>
  <c r="G164" i="6"/>
  <c r="O163" i="6"/>
  <c r="G163" i="6"/>
  <c r="O162" i="6"/>
  <c r="G162" i="6"/>
  <c r="O161" i="6"/>
  <c r="G161" i="6"/>
  <c r="O160" i="6"/>
  <c r="G160" i="6"/>
  <c r="O159" i="6"/>
  <c r="O158" i="6"/>
  <c r="G158" i="6"/>
  <c r="O157" i="6"/>
  <c r="O156" i="6"/>
  <c r="G156" i="6"/>
  <c r="O155" i="6"/>
  <c r="G155" i="6"/>
  <c r="O154" i="6"/>
  <c r="G154" i="6"/>
  <c r="O153" i="6"/>
  <c r="G153" i="6"/>
  <c r="O152" i="6"/>
  <c r="G152" i="6"/>
  <c r="O151" i="6"/>
  <c r="G151" i="6"/>
  <c r="O150" i="6"/>
  <c r="G150" i="6"/>
  <c r="O149" i="6"/>
  <c r="O148" i="6"/>
  <c r="O147" i="6"/>
  <c r="G147" i="6"/>
  <c r="O146" i="6"/>
  <c r="G146" i="6"/>
  <c r="O145" i="6"/>
  <c r="O144" i="6"/>
  <c r="G144" i="6"/>
  <c r="O143" i="6"/>
  <c r="G143" i="6"/>
  <c r="O142" i="6"/>
  <c r="G142" i="6"/>
  <c r="O141" i="6"/>
  <c r="G141" i="6"/>
  <c r="O140" i="6"/>
  <c r="G140" i="6"/>
  <c r="O139" i="6"/>
  <c r="G139" i="6"/>
  <c r="O138" i="6"/>
  <c r="G138" i="6"/>
  <c r="O137" i="6"/>
  <c r="G137" i="6"/>
  <c r="O136" i="6"/>
  <c r="G136" i="6"/>
  <c r="O135" i="6"/>
  <c r="G135" i="6"/>
  <c r="O134" i="6"/>
  <c r="G134" i="6"/>
  <c r="O133" i="6"/>
  <c r="G133" i="6"/>
  <c r="O132" i="6"/>
  <c r="G132" i="6"/>
  <c r="O131" i="6"/>
  <c r="G131" i="6"/>
  <c r="O130" i="6"/>
  <c r="G130" i="6"/>
  <c r="O129" i="6"/>
  <c r="G129" i="6"/>
  <c r="O128" i="6"/>
  <c r="G128" i="6"/>
  <c r="G127" i="6"/>
  <c r="O126" i="6"/>
  <c r="G126" i="6"/>
  <c r="O125" i="6"/>
  <c r="G125" i="6"/>
  <c r="O124" i="6"/>
  <c r="G124" i="6"/>
  <c r="O123" i="6"/>
  <c r="G123" i="6"/>
  <c r="O122" i="6"/>
  <c r="G122" i="6"/>
  <c r="O121" i="6"/>
  <c r="O120" i="6"/>
  <c r="O119" i="6"/>
  <c r="O118" i="6"/>
  <c r="G118" i="6"/>
  <c r="O117" i="6"/>
  <c r="G117" i="6"/>
  <c r="O116" i="6"/>
  <c r="O115" i="6"/>
  <c r="G115" i="6"/>
  <c r="O114" i="6"/>
  <c r="G114" i="6"/>
  <c r="O113" i="6"/>
  <c r="O112" i="6"/>
  <c r="O111" i="6"/>
  <c r="G111" i="6"/>
  <c r="O110" i="6"/>
  <c r="G110" i="6"/>
  <c r="O109" i="6"/>
  <c r="O108" i="6"/>
  <c r="G108" i="6"/>
  <c r="O107" i="6"/>
  <c r="G107" i="6"/>
  <c r="O106" i="6"/>
  <c r="O105" i="6"/>
  <c r="G105" i="6"/>
  <c r="O104" i="6"/>
  <c r="G104" i="6"/>
  <c r="O103" i="6"/>
  <c r="G103" i="6"/>
  <c r="O102" i="6"/>
  <c r="O101" i="6"/>
  <c r="O100" i="6"/>
  <c r="G100" i="6"/>
  <c r="G99" i="6"/>
  <c r="O98" i="6"/>
  <c r="G98" i="6"/>
  <c r="O97" i="6"/>
  <c r="G97" i="6"/>
  <c r="O96" i="6"/>
  <c r="O95" i="6"/>
  <c r="G95" i="6"/>
  <c r="O94" i="6"/>
  <c r="G94" i="6"/>
  <c r="O93" i="6"/>
  <c r="G93" i="6"/>
  <c r="O92" i="6"/>
  <c r="O91" i="6"/>
  <c r="G91" i="6"/>
  <c r="O90" i="6"/>
  <c r="G90" i="6"/>
  <c r="O89" i="6"/>
  <c r="G89" i="6"/>
  <c r="O88" i="6"/>
  <c r="O87" i="6"/>
  <c r="G87" i="6"/>
  <c r="O86" i="6"/>
  <c r="G86" i="6"/>
  <c r="O85" i="6"/>
  <c r="G85" i="6"/>
  <c r="O84" i="6"/>
  <c r="O83" i="6"/>
  <c r="G83" i="6"/>
  <c r="O82" i="6"/>
  <c r="G82" i="6"/>
  <c r="G81" i="6"/>
  <c r="G76" i="6"/>
  <c r="G75" i="6"/>
  <c r="G74" i="6"/>
  <c r="G73" i="6"/>
  <c r="G72" i="6"/>
  <c r="G71" i="6"/>
  <c r="G70" i="6"/>
  <c r="G69" i="6"/>
  <c r="G68" i="6"/>
  <c r="G64" i="6"/>
  <c r="G63" i="6"/>
  <c r="G62" i="6"/>
  <c r="O61" i="6"/>
  <c r="G61" i="6"/>
  <c r="G60" i="6"/>
  <c r="G59" i="6"/>
  <c r="G58" i="6"/>
  <c r="G57" i="6"/>
  <c r="G56" i="6"/>
  <c r="G55" i="6"/>
  <c r="G53" i="6"/>
  <c r="G52" i="6"/>
  <c r="G51" i="6"/>
  <c r="G50" i="6"/>
  <c r="G49" i="6"/>
  <c r="G48" i="6"/>
  <c r="G47" i="6"/>
  <c r="G46" i="6"/>
  <c r="G45" i="6"/>
  <c r="G44" i="6"/>
  <c r="G42" i="6"/>
  <c r="G41" i="6"/>
  <c r="G40" i="6"/>
  <c r="G39" i="6"/>
  <c r="G37" i="6"/>
  <c r="G36" i="6"/>
  <c r="G35" i="6"/>
  <c r="G34" i="6"/>
  <c r="G33" i="6"/>
  <c r="G31" i="6"/>
  <c r="G30" i="6"/>
  <c r="G28" i="6"/>
  <c r="G27" i="6"/>
  <c r="G26" i="6"/>
  <c r="G23" i="6"/>
  <c r="G22" i="6"/>
  <c r="G21" i="6"/>
  <c r="G20" i="6"/>
  <c r="G19" i="6"/>
  <c r="G18" i="6"/>
  <c r="G13" i="6"/>
  <c r="G12" i="6"/>
  <c r="G10" i="6"/>
  <c r="G9" i="6"/>
  <c r="G6" i="6"/>
  <c r="G5" i="6"/>
  <c r="G3" i="6"/>
  <c r="G2" i="6"/>
  <c r="C2" i="5"/>
  <c r="C140" i="3"/>
  <c r="C139" i="3"/>
  <c r="C138" i="3"/>
  <c r="C137" i="3"/>
  <c r="C136" i="3"/>
  <c r="C135" i="3"/>
  <c r="C134" i="3"/>
  <c r="C132" i="3"/>
  <c r="C131" i="3"/>
  <c r="C130" i="3"/>
  <c r="C129" i="3"/>
  <c r="C128" i="3"/>
  <c r="D128" i="3" s="1"/>
  <c r="C127" i="3"/>
  <c r="D125" i="3"/>
  <c r="C125" i="3"/>
  <c r="D124" i="3"/>
  <c r="C124" i="3"/>
  <c r="C123" i="3"/>
  <c r="C120" i="3"/>
  <c r="C119" i="3"/>
  <c r="D119" i="3" s="1"/>
  <c r="C118" i="3"/>
  <c r="D118" i="3" s="1"/>
  <c r="C117" i="3"/>
  <c r="C116" i="3"/>
  <c r="C115" i="3"/>
  <c r="D114" i="3"/>
  <c r="C113" i="3"/>
  <c r="C111" i="3"/>
  <c r="C110" i="3"/>
  <c r="C109" i="3"/>
  <c r="C108" i="3"/>
  <c r="C106" i="3"/>
  <c r="C105" i="3"/>
  <c r="C104" i="3"/>
  <c r="C103" i="3"/>
  <c r="C102" i="3"/>
  <c r="C100" i="3"/>
  <c r="C99" i="3"/>
  <c r="C98" i="3"/>
  <c r="C97" i="3"/>
  <c r="D96" i="3"/>
  <c r="C95" i="3"/>
  <c r="C94" i="3"/>
  <c r="C93" i="3"/>
  <c r="C92" i="3"/>
  <c r="C91" i="3"/>
  <c r="C90" i="3"/>
  <c r="C88" i="3"/>
  <c r="C87" i="3"/>
  <c r="C86" i="3"/>
  <c r="C85" i="3"/>
  <c r="C84" i="3"/>
  <c r="C83" i="3"/>
  <c r="C82" i="3"/>
  <c r="C80" i="3"/>
  <c r="C79" i="3"/>
  <c r="C78" i="3"/>
  <c r="C77" i="3"/>
  <c r="C76" i="3"/>
  <c r="C75" i="3"/>
  <c r="C74" i="3"/>
  <c r="D74" i="3" s="1"/>
  <c r="C72" i="3"/>
  <c r="C70" i="3"/>
  <c r="D65" i="3"/>
  <c r="D64" i="3"/>
  <c r="D61" i="3"/>
  <c r="C56" i="3"/>
  <c r="D56" i="3" s="1"/>
  <c r="D54" i="3"/>
  <c r="D53" i="3"/>
  <c r="D52" i="3"/>
  <c r="D49" i="3"/>
  <c r="C46" i="3"/>
  <c r="C45" i="3"/>
  <c r="C44" i="3"/>
  <c r="C43" i="3"/>
  <c r="C42" i="3"/>
  <c r="C41" i="3"/>
  <c r="C40" i="3"/>
  <c r="C39" i="3"/>
  <c r="C37" i="3"/>
  <c r="C36" i="3"/>
  <c r="C35" i="3"/>
  <c r="C34" i="3"/>
  <c r="C33" i="3"/>
  <c r="C32" i="3"/>
  <c r="C31" i="3"/>
  <c r="C29" i="3"/>
  <c r="C28" i="3"/>
  <c r="C27" i="3"/>
  <c r="C26" i="3"/>
  <c r="C25" i="3"/>
  <c r="C24" i="3"/>
  <c r="C23" i="3"/>
  <c r="C22" i="3"/>
  <c r="C21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P4" i="3"/>
  <c r="N4" i="3"/>
  <c r="F4" i="3" a="1"/>
  <c r="F4" i="3" s="1"/>
  <c r="E4" i="3" a="1"/>
  <c r="E4" i="3" s="1"/>
  <c r="Z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H100" i="2"/>
  <c r="G100" i="2"/>
  <c r="AB99" i="2"/>
  <c r="AA99" i="2"/>
  <c r="Y99" i="2"/>
  <c r="X99" i="2"/>
  <c r="I99" i="2"/>
  <c r="A99" i="2"/>
  <c r="AB98" i="2"/>
  <c r="Y98" i="2"/>
  <c r="X98" i="2"/>
  <c r="AA98" i="2" s="1"/>
  <c r="AC98" i="2" s="1"/>
  <c r="I98" i="2"/>
  <c r="A98" i="2"/>
  <c r="AB97" i="2"/>
  <c r="AA97" i="2"/>
  <c r="Y97" i="2"/>
  <c r="X97" i="2"/>
  <c r="I97" i="2"/>
  <c r="A97" i="2"/>
  <c r="AB96" i="2"/>
  <c r="X96" i="2"/>
  <c r="I96" i="2"/>
  <c r="A96" i="2"/>
  <c r="AB95" i="2"/>
  <c r="AA95" i="2"/>
  <c r="AC95" i="2" s="1"/>
  <c r="Y95" i="2"/>
  <c r="X95" i="2"/>
  <c r="I95" i="2"/>
  <c r="A95" i="2"/>
  <c r="AB94" i="2"/>
  <c r="Y94" i="2"/>
  <c r="X94" i="2"/>
  <c r="AA94" i="2" s="1"/>
  <c r="AC94" i="2" s="1"/>
  <c r="I94" i="2"/>
  <c r="A94" i="2"/>
  <c r="AB93" i="2"/>
  <c r="AA93" i="2"/>
  <c r="Y93" i="2"/>
  <c r="X93" i="2"/>
  <c r="I93" i="2"/>
  <c r="A93" i="2"/>
  <c r="AB92" i="2"/>
  <c r="Y92" i="2"/>
  <c r="X92" i="2"/>
  <c r="AA92" i="2" s="1"/>
  <c r="AC92" i="2" s="1"/>
  <c r="I92" i="2"/>
  <c r="A92" i="2"/>
  <c r="AB91" i="2"/>
  <c r="AA91" i="2"/>
  <c r="AC91" i="2" s="1"/>
  <c r="Y91" i="2"/>
  <c r="X91" i="2"/>
  <c r="I91" i="2"/>
  <c r="A91" i="2"/>
  <c r="AB90" i="2"/>
  <c r="Y90" i="2"/>
  <c r="X90" i="2"/>
  <c r="AA90" i="2" s="1"/>
  <c r="AC90" i="2" s="1"/>
  <c r="I90" i="2"/>
  <c r="A90" i="2"/>
  <c r="AB89" i="2"/>
  <c r="AA89" i="2"/>
  <c r="Y89" i="2"/>
  <c r="X89" i="2"/>
  <c r="I89" i="2"/>
  <c r="A89" i="2"/>
  <c r="AB88" i="2"/>
  <c r="X88" i="2"/>
  <c r="I88" i="2"/>
  <c r="A88" i="2"/>
  <c r="AB87" i="2"/>
  <c r="AA87" i="2"/>
  <c r="X87" i="2"/>
  <c r="Y87" i="2" s="1"/>
  <c r="I87" i="2"/>
  <c r="A87" i="2"/>
  <c r="AB86" i="2"/>
  <c r="X86" i="2"/>
  <c r="AA86" i="2" s="1"/>
  <c r="AC86" i="2" s="1"/>
  <c r="I86" i="2"/>
  <c r="A86" i="2"/>
  <c r="AB85" i="2"/>
  <c r="AA85" i="2"/>
  <c r="AC85" i="2" s="1"/>
  <c r="X85" i="2"/>
  <c r="Y85" i="2" s="1"/>
  <c r="I85" i="2"/>
  <c r="A85" i="2"/>
  <c r="AB84" i="2"/>
  <c r="X84" i="2"/>
  <c r="AA84" i="2" s="1"/>
  <c r="AC84" i="2" s="1"/>
  <c r="I84" i="2"/>
  <c r="A84" i="2"/>
  <c r="AB83" i="2"/>
  <c r="AA83" i="2"/>
  <c r="AC83" i="2" s="1"/>
  <c r="X83" i="2"/>
  <c r="Y83" i="2" s="1"/>
  <c r="I83" i="2"/>
  <c r="A83" i="2"/>
  <c r="AB82" i="2"/>
  <c r="X82" i="2"/>
  <c r="AA82" i="2" s="1"/>
  <c r="AC82" i="2" s="1"/>
  <c r="I82" i="2"/>
  <c r="A82" i="2"/>
  <c r="AB81" i="2"/>
  <c r="AA81" i="2"/>
  <c r="AC81" i="2" s="1"/>
  <c r="X81" i="2"/>
  <c r="Y81" i="2" s="1"/>
  <c r="I81" i="2"/>
  <c r="A81" i="2"/>
  <c r="AB80" i="2"/>
  <c r="X80" i="2"/>
  <c r="I80" i="2"/>
  <c r="A80" i="2"/>
  <c r="AB79" i="2"/>
  <c r="AA79" i="2"/>
  <c r="AC79" i="2" s="1"/>
  <c r="X79" i="2"/>
  <c r="Y79" i="2" s="1"/>
  <c r="I79" i="2"/>
  <c r="A79" i="2"/>
  <c r="AB78" i="2"/>
  <c r="Y78" i="2"/>
  <c r="X78" i="2"/>
  <c r="AA78" i="2" s="1"/>
  <c r="AC78" i="2" s="1"/>
  <c r="I78" i="2"/>
  <c r="A78" i="2"/>
  <c r="AB77" i="2"/>
  <c r="AA77" i="2"/>
  <c r="AC77" i="2" s="1"/>
  <c r="X77" i="2"/>
  <c r="Y77" i="2" s="1"/>
  <c r="I77" i="2"/>
  <c r="A77" i="2"/>
  <c r="AB76" i="2"/>
  <c r="Y76" i="2"/>
  <c r="X76" i="2"/>
  <c r="AA76" i="2" s="1"/>
  <c r="AC76" i="2" s="1"/>
  <c r="I76" i="2"/>
  <c r="A76" i="2"/>
  <c r="AB75" i="2"/>
  <c r="AA75" i="2"/>
  <c r="AC75" i="2" s="1"/>
  <c r="X75" i="2"/>
  <c r="Y75" i="2" s="1"/>
  <c r="I75" i="2"/>
  <c r="A75" i="2"/>
  <c r="AB74" i="2"/>
  <c r="X74" i="2"/>
  <c r="I74" i="2"/>
  <c r="A74" i="2"/>
  <c r="AB73" i="2"/>
  <c r="AA73" i="2"/>
  <c r="AC73" i="2" s="1"/>
  <c r="X73" i="2"/>
  <c r="Y73" i="2" s="1"/>
  <c r="I73" i="2"/>
  <c r="A73" i="2"/>
  <c r="AB72" i="2"/>
  <c r="X72" i="2"/>
  <c r="AA72" i="2" s="1"/>
  <c r="I72" i="2"/>
  <c r="A72" i="2"/>
  <c r="AB71" i="2"/>
  <c r="AA71" i="2"/>
  <c r="AC71" i="2" s="1"/>
  <c r="X71" i="2"/>
  <c r="Y71" i="2" s="1"/>
  <c r="I71" i="2"/>
  <c r="A71" i="2"/>
  <c r="AB70" i="2"/>
  <c r="X70" i="2"/>
  <c r="AA70" i="2" s="1"/>
  <c r="I70" i="2"/>
  <c r="A70" i="2"/>
  <c r="AB69" i="2"/>
  <c r="AA69" i="2"/>
  <c r="AC69" i="2" s="1"/>
  <c r="X69" i="2"/>
  <c r="Y69" i="2" s="1"/>
  <c r="I69" i="2"/>
  <c r="A69" i="2"/>
  <c r="AB68" i="2"/>
  <c r="X68" i="2"/>
  <c r="AA68" i="2" s="1"/>
  <c r="I68" i="2"/>
  <c r="A68" i="2"/>
  <c r="AB67" i="2"/>
  <c r="AA67" i="2"/>
  <c r="AC67" i="2" s="1"/>
  <c r="X67" i="2"/>
  <c r="Y67" i="2" s="1"/>
  <c r="I67" i="2"/>
  <c r="AB66" i="2"/>
  <c r="Y66" i="2"/>
  <c r="X66" i="2"/>
  <c r="AA66" i="2" s="1"/>
  <c r="AC66" i="2" s="1"/>
  <c r="I66" i="2"/>
  <c r="A66" i="2"/>
  <c r="AB65" i="2"/>
  <c r="X65" i="2"/>
  <c r="I65" i="2"/>
  <c r="AB64" i="2"/>
  <c r="X64" i="2"/>
  <c r="AA64" i="2" s="1"/>
  <c r="AC64" i="2" s="1"/>
  <c r="I64" i="2"/>
  <c r="A64" i="2"/>
  <c r="AC63" i="2"/>
  <c r="AB63" i="2"/>
  <c r="AA63" i="2"/>
  <c r="X63" i="2"/>
  <c r="Y63" i="2" s="1"/>
  <c r="I63" i="2"/>
  <c r="A63" i="2"/>
  <c r="AB62" i="2"/>
  <c r="X62" i="2"/>
  <c r="AA62" i="2" s="1"/>
  <c r="AC62" i="2" s="1"/>
  <c r="I62" i="2"/>
  <c r="A62" i="2"/>
  <c r="AB61" i="2"/>
  <c r="AA61" i="2"/>
  <c r="X61" i="2"/>
  <c r="Y61" i="2" s="1"/>
  <c r="I61" i="2"/>
  <c r="A61" i="2"/>
  <c r="AB60" i="2"/>
  <c r="X60" i="2"/>
  <c r="AA60" i="2" s="1"/>
  <c r="AC60" i="2" s="1"/>
  <c r="I60" i="2"/>
  <c r="A60" i="2"/>
  <c r="AB59" i="2"/>
  <c r="AC59" i="2" s="1"/>
  <c r="AA59" i="2"/>
  <c r="X59" i="2"/>
  <c r="Y59" i="2" s="1"/>
  <c r="I59" i="2"/>
  <c r="A59" i="2"/>
  <c r="AB58" i="2"/>
  <c r="X58" i="2"/>
  <c r="AA58" i="2" s="1"/>
  <c r="AC58" i="2" s="1"/>
  <c r="I58" i="2"/>
  <c r="AB57" i="2"/>
  <c r="AA57" i="2"/>
  <c r="Y57" i="2"/>
  <c r="X57" i="2"/>
  <c r="I57" i="2"/>
  <c r="AB56" i="2"/>
  <c r="AC56" i="2" s="1"/>
  <c r="X56" i="2"/>
  <c r="AA56" i="2" s="1"/>
  <c r="I56" i="2"/>
  <c r="AB55" i="2"/>
  <c r="Y55" i="2"/>
  <c r="X55" i="2"/>
  <c r="AA55" i="2" s="1"/>
  <c r="AC55" i="2" s="1"/>
  <c r="I55" i="2"/>
  <c r="A55" i="2"/>
  <c r="AB54" i="2"/>
  <c r="AA54" i="2"/>
  <c r="X54" i="2"/>
  <c r="Y54" i="2" s="1"/>
  <c r="I54" i="2"/>
  <c r="A54" i="2"/>
  <c r="AB53" i="2"/>
  <c r="Y53" i="2"/>
  <c r="X53" i="2"/>
  <c r="AA53" i="2" s="1"/>
  <c r="I53" i="2"/>
  <c r="A53" i="2"/>
  <c r="AB52" i="2"/>
  <c r="AA52" i="2"/>
  <c r="X52" i="2"/>
  <c r="Y52" i="2" s="1"/>
  <c r="I52" i="2"/>
  <c r="A52" i="2"/>
  <c r="AB51" i="2"/>
  <c r="Y51" i="2"/>
  <c r="X51" i="2"/>
  <c r="AA51" i="2" s="1"/>
  <c r="AC51" i="2" s="1"/>
  <c r="I51" i="2"/>
  <c r="A51" i="2"/>
  <c r="AB50" i="2"/>
  <c r="AA50" i="2"/>
  <c r="X50" i="2"/>
  <c r="Y50" i="2" s="1"/>
  <c r="I50" i="2"/>
  <c r="A50" i="2"/>
  <c r="AB49" i="2"/>
  <c r="Y49" i="2"/>
  <c r="X49" i="2"/>
  <c r="AA49" i="2" s="1"/>
  <c r="I49" i="2"/>
  <c r="A49" i="2"/>
  <c r="AB48" i="2"/>
  <c r="AA48" i="2"/>
  <c r="X48" i="2"/>
  <c r="Y48" i="2" s="1"/>
  <c r="I48" i="2"/>
  <c r="A48" i="2"/>
  <c r="AB47" i="2"/>
  <c r="Y47" i="2"/>
  <c r="X47" i="2"/>
  <c r="AA47" i="2" s="1"/>
  <c r="AC47" i="2" s="1"/>
  <c r="I47" i="2"/>
  <c r="A47" i="2"/>
  <c r="AB46" i="2"/>
  <c r="AA46" i="2"/>
  <c r="X46" i="2"/>
  <c r="Y46" i="2" s="1"/>
  <c r="I46" i="2"/>
  <c r="A46" i="2"/>
  <c r="AB45" i="2"/>
  <c r="Y45" i="2"/>
  <c r="X45" i="2"/>
  <c r="AA45" i="2" s="1"/>
  <c r="I45" i="2"/>
  <c r="A45" i="2"/>
  <c r="AB44" i="2"/>
  <c r="AA44" i="2"/>
  <c r="X44" i="2"/>
  <c r="Y44" i="2" s="1"/>
  <c r="I44" i="2"/>
  <c r="A44" i="2"/>
  <c r="AB43" i="2"/>
  <c r="Y43" i="2"/>
  <c r="X43" i="2"/>
  <c r="AA43" i="2" s="1"/>
  <c r="I43" i="2"/>
  <c r="A43" i="2"/>
  <c r="AB42" i="2"/>
  <c r="AA42" i="2"/>
  <c r="X42" i="2"/>
  <c r="Y42" i="2" s="1"/>
  <c r="I42" i="2"/>
  <c r="A42" i="2"/>
  <c r="AB41" i="2"/>
  <c r="Y41" i="2"/>
  <c r="X41" i="2"/>
  <c r="AA41" i="2" s="1"/>
  <c r="AC41" i="2" s="1"/>
  <c r="I41" i="2"/>
  <c r="A41" i="2"/>
  <c r="AB40" i="2"/>
  <c r="AA40" i="2"/>
  <c r="X40" i="2"/>
  <c r="Y40" i="2" s="1"/>
  <c r="I40" i="2"/>
  <c r="A40" i="2"/>
  <c r="AB39" i="2"/>
  <c r="Y39" i="2"/>
  <c r="X39" i="2"/>
  <c r="AA39" i="2" s="1"/>
  <c r="I39" i="2"/>
  <c r="A39" i="2"/>
  <c r="AB38" i="2"/>
  <c r="AA38" i="2"/>
  <c r="X38" i="2"/>
  <c r="Y38" i="2" s="1"/>
  <c r="I38" i="2"/>
  <c r="A38" i="2"/>
  <c r="AB37" i="2"/>
  <c r="Y37" i="2"/>
  <c r="X37" i="2"/>
  <c r="AA37" i="2" s="1"/>
  <c r="AC37" i="2" s="1"/>
  <c r="I37" i="2"/>
  <c r="A37" i="2"/>
  <c r="AB36" i="2"/>
  <c r="AA36" i="2"/>
  <c r="X36" i="2"/>
  <c r="Y36" i="2" s="1"/>
  <c r="I36" i="2"/>
  <c r="A36" i="2"/>
  <c r="AB35" i="2"/>
  <c r="Y35" i="2"/>
  <c r="X35" i="2"/>
  <c r="AA35" i="2" s="1"/>
  <c r="I35" i="2"/>
  <c r="A35" i="2"/>
  <c r="AB34" i="2"/>
  <c r="AA34" i="2"/>
  <c r="X34" i="2"/>
  <c r="Y34" i="2" s="1"/>
  <c r="I34" i="2"/>
  <c r="A34" i="2"/>
  <c r="AB33" i="2"/>
  <c r="Y33" i="2"/>
  <c r="X33" i="2"/>
  <c r="AA33" i="2" s="1"/>
  <c r="AC33" i="2" s="1"/>
  <c r="I33" i="2"/>
  <c r="A33" i="2"/>
  <c r="AB32" i="2"/>
  <c r="AA32" i="2"/>
  <c r="X32" i="2"/>
  <c r="Y32" i="2" s="1"/>
  <c r="I32" i="2"/>
  <c r="A32" i="2"/>
  <c r="AB31" i="2"/>
  <c r="Y31" i="2"/>
  <c r="X31" i="2"/>
  <c r="AA31" i="2" s="1"/>
  <c r="I31" i="2"/>
  <c r="A31" i="2"/>
  <c r="AB30" i="2"/>
  <c r="AA30" i="2"/>
  <c r="X30" i="2"/>
  <c r="Y30" i="2" s="1"/>
  <c r="I30" i="2"/>
  <c r="A30" i="2"/>
  <c r="AB29" i="2"/>
  <c r="Y29" i="2"/>
  <c r="X29" i="2"/>
  <c r="AA29" i="2" s="1"/>
  <c r="AC29" i="2" s="1"/>
  <c r="I29" i="2"/>
  <c r="A29" i="2"/>
  <c r="AB28" i="2"/>
  <c r="AA28" i="2"/>
  <c r="X28" i="2"/>
  <c r="Y28" i="2" s="1"/>
  <c r="I28" i="2"/>
  <c r="A28" i="2"/>
  <c r="AB27" i="2"/>
  <c r="Y27" i="2"/>
  <c r="X27" i="2"/>
  <c r="AA27" i="2" s="1"/>
  <c r="AC27" i="2" s="1"/>
  <c r="I27" i="2"/>
  <c r="A27" i="2"/>
  <c r="AB26" i="2"/>
  <c r="AA26" i="2"/>
  <c r="AC26" i="2" s="1"/>
  <c r="X26" i="2"/>
  <c r="Y26" i="2" s="1"/>
  <c r="I26" i="2"/>
  <c r="A26" i="2"/>
  <c r="AB25" i="2"/>
  <c r="Y25" i="2"/>
  <c r="X25" i="2"/>
  <c r="AA25" i="2" s="1"/>
  <c r="I25" i="2"/>
  <c r="A25" i="2"/>
  <c r="AB24" i="2"/>
  <c r="AA24" i="2"/>
  <c r="X24" i="2"/>
  <c r="Y24" i="2" s="1"/>
  <c r="I24" i="2"/>
  <c r="A24" i="2"/>
  <c r="AB23" i="2"/>
  <c r="Y23" i="2"/>
  <c r="X23" i="2"/>
  <c r="AA23" i="2" s="1"/>
  <c r="I23" i="2"/>
  <c r="A23" i="2"/>
  <c r="AB22" i="2"/>
  <c r="AA22" i="2"/>
  <c r="X22" i="2"/>
  <c r="Y22" i="2" s="1"/>
  <c r="I22" i="2"/>
  <c r="A22" i="2"/>
  <c r="AB21" i="2"/>
  <c r="Y21" i="2"/>
  <c r="X21" i="2"/>
  <c r="AA21" i="2" s="1"/>
  <c r="I21" i="2"/>
  <c r="A21" i="2"/>
  <c r="AB20" i="2"/>
  <c r="AA20" i="2"/>
  <c r="X20" i="2"/>
  <c r="Y20" i="2" s="1"/>
  <c r="I20" i="2"/>
  <c r="A20" i="2"/>
  <c r="AB19" i="2"/>
  <c r="X19" i="2"/>
  <c r="I19" i="2"/>
  <c r="AB18" i="2"/>
  <c r="AA18" i="2"/>
  <c r="AC18" i="2" s="1"/>
  <c r="Y18" i="2"/>
  <c r="X18" i="2"/>
  <c r="I18" i="2"/>
  <c r="A18" i="2"/>
  <c r="AB17" i="2"/>
  <c r="AA17" i="2"/>
  <c r="AC17" i="2" s="1"/>
  <c r="X17" i="2"/>
  <c r="Y17" i="2" s="1"/>
  <c r="I17" i="2"/>
  <c r="A17" i="2"/>
  <c r="AB16" i="2"/>
  <c r="AA16" i="2"/>
  <c r="AC16" i="2" s="1"/>
  <c r="Y16" i="2"/>
  <c r="X16" i="2"/>
  <c r="I16" i="2"/>
  <c r="A16" i="2"/>
  <c r="AB15" i="2"/>
  <c r="Y15" i="2"/>
  <c r="X15" i="2"/>
  <c r="AA15" i="2" s="1"/>
  <c r="AC15" i="2" s="1"/>
  <c r="I15" i="2"/>
  <c r="A15" i="2"/>
  <c r="AB14" i="2"/>
  <c r="AA14" i="2"/>
  <c r="AC14" i="2" s="1"/>
  <c r="Y14" i="2"/>
  <c r="X14" i="2"/>
  <c r="I14" i="2"/>
  <c r="A14" i="2"/>
  <c r="AB13" i="2"/>
  <c r="AA13" i="2"/>
  <c r="AC13" i="2" s="1"/>
  <c r="X13" i="2"/>
  <c r="Y13" i="2" s="1"/>
  <c r="I13" i="2"/>
  <c r="A13" i="2"/>
  <c r="AB12" i="2"/>
  <c r="AA12" i="2"/>
  <c r="AC12" i="2" s="1"/>
  <c r="Y12" i="2"/>
  <c r="X12" i="2"/>
  <c r="I12" i="2"/>
  <c r="A12" i="2"/>
  <c r="AC11" i="2"/>
  <c r="AB11" i="2"/>
  <c r="AA11" i="2"/>
  <c r="Y11" i="2"/>
  <c r="X11" i="2"/>
  <c r="I11" i="2"/>
  <c r="A11" i="2"/>
  <c r="AB10" i="2"/>
  <c r="AA10" i="2"/>
  <c r="AC10" i="2" s="1"/>
  <c r="Y10" i="2"/>
  <c r="X10" i="2"/>
  <c r="I10" i="2"/>
  <c r="A10" i="2"/>
  <c r="AB9" i="2"/>
  <c r="X9" i="2"/>
  <c r="I9" i="2"/>
  <c r="A9" i="2"/>
  <c r="AB8" i="2"/>
  <c r="AA8" i="2"/>
  <c r="AC8" i="2" s="1"/>
  <c r="Y8" i="2"/>
  <c r="X8" i="2"/>
  <c r="I8" i="2"/>
  <c r="A8" i="2"/>
  <c r="AB7" i="2"/>
  <c r="AA7" i="2"/>
  <c r="AC7" i="2" s="1"/>
  <c r="Y7" i="2"/>
  <c r="X7" i="2"/>
  <c r="I7" i="2"/>
  <c r="A7" i="2"/>
  <c r="AB6" i="2"/>
  <c r="AA6" i="2"/>
  <c r="Y6" i="2"/>
  <c r="X6" i="2"/>
  <c r="I6" i="2"/>
  <c r="A6" i="2"/>
  <c r="P5" i="2"/>
  <c r="R5" i="2" s="1"/>
  <c r="T5" i="2" s="1"/>
  <c r="V5" i="2" s="1"/>
  <c r="N5" i="2"/>
  <c r="L5" i="2"/>
  <c r="J3" i="2"/>
  <c r="H3" i="2"/>
  <c r="G3" i="2"/>
  <c r="C3" i="2"/>
  <c r="R1" i="2"/>
  <c r="M1" i="2"/>
  <c r="N1" i="2" s="1"/>
  <c r="O1" i="2" s="1"/>
  <c r="P1" i="2" s="1"/>
  <c r="Q1" i="2" s="1"/>
  <c r="L1" i="2"/>
  <c r="J1" i="2"/>
  <c r="I1" i="2"/>
  <c r="E1" i="2"/>
  <c r="F1" i="2" s="1"/>
  <c r="C1" i="2"/>
  <c r="D1" i="2" s="1"/>
  <c r="AD100" i="1"/>
  <c r="AD99" i="1"/>
  <c r="W99" i="1"/>
  <c r="Y99" i="1" s="1"/>
  <c r="V99" i="1" a="1"/>
  <c r="V99" i="1" s="1"/>
  <c r="X99" i="1" s="1"/>
  <c r="U99" i="1"/>
  <c r="T99" i="1" a="1"/>
  <c r="T99" i="1" s="1"/>
  <c r="S99" i="1"/>
  <c r="R99" i="1" a="1"/>
  <c r="R99" i="1" s="1"/>
  <c r="Q99" i="1"/>
  <c r="P99" i="1" a="1"/>
  <c r="P99" i="1" s="1"/>
  <c r="O99" i="1"/>
  <c r="N99" i="1" a="1"/>
  <c r="N99" i="1" s="1"/>
  <c r="M99" i="1"/>
  <c r="L99" i="1" a="1"/>
  <c r="L99" i="1" s="1"/>
  <c r="K99" i="1"/>
  <c r="J99" i="1" a="1"/>
  <c r="J99" i="1" s="1"/>
  <c r="H99" i="1" a="1"/>
  <c r="H99" i="1" s="1"/>
  <c r="AB99" i="1" s="1"/>
  <c r="G99" i="1" a="1"/>
  <c r="G99" i="1"/>
  <c r="A99" i="1"/>
  <c r="AD98" i="1"/>
  <c r="W98" i="1"/>
  <c r="Y98" i="1" s="1"/>
  <c r="V98" i="1" a="1"/>
  <c r="V98" i="1" s="1"/>
  <c r="X98" i="1" s="1"/>
  <c r="U98" i="1"/>
  <c r="T98" i="1" a="1"/>
  <c r="T98" i="1" s="1"/>
  <c r="S98" i="1"/>
  <c r="R98" i="1" a="1"/>
  <c r="R98" i="1" s="1"/>
  <c r="Q98" i="1"/>
  <c r="P98" i="1" a="1"/>
  <c r="P98" i="1" s="1"/>
  <c r="O98" i="1"/>
  <c r="N98" i="1" a="1"/>
  <c r="N98" i="1" s="1"/>
  <c r="M98" i="1"/>
  <c r="L98" i="1" a="1"/>
  <c r="L98" i="1"/>
  <c r="K98" i="1"/>
  <c r="J98" i="1" a="1"/>
  <c r="J98" i="1" s="1"/>
  <c r="H98" i="1" a="1"/>
  <c r="H98" i="1" s="1"/>
  <c r="AB98" i="1" s="1"/>
  <c r="G98" i="1" a="1"/>
  <c r="G98" i="1" s="1"/>
  <c r="A98" i="1"/>
  <c r="AD97" i="1"/>
  <c r="W97" i="1"/>
  <c r="Y97" i="1" s="1"/>
  <c r="V97" i="1" a="1"/>
  <c r="V97" i="1" s="1"/>
  <c r="X97" i="1" s="1"/>
  <c r="AA97" i="1" s="1"/>
  <c r="U97" i="1"/>
  <c r="T97" i="1" a="1"/>
  <c r="T97" i="1"/>
  <c r="S97" i="1"/>
  <c r="R97" i="1" a="1"/>
  <c r="R97" i="1" s="1"/>
  <c r="Q97" i="1"/>
  <c r="P97" i="1" a="1"/>
  <c r="P97" i="1" s="1"/>
  <c r="O97" i="1"/>
  <c r="N97" i="1" a="1"/>
  <c r="N97" i="1" s="1"/>
  <c r="M97" i="1"/>
  <c r="L97" i="1" a="1"/>
  <c r="L97" i="1" s="1"/>
  <c r="K97" i="1"/>
  <c r="J97" i="1" a="1"/>
  <c r="J97" i="1" s="1"/>
  <c r="H97" i="1" a="1"/>
  <c r="H97" i="1" s="1"/>
  <c r="G97" i="1" a="1"/>
  <c r="G97" i="1" s="1"/>
  <c r="A97" i="1"/>
  <c r="AD96" i="1"/>
  <c r="W96" i="1"/>
  <c r="Y96" i="1" s="1"/>
  <c r="V96" i="1" a="1"/>
  <c r="V96" i="1" s="1"/>
  <c r="X96" i="1" s="1"/>
  <c r="AA96" i="1" s="1"/>
  <c r="U96" i="1"/>
  <c r="T96" i="1" a="1"/>
  <c r="T96" i="1" s="1"/>
  <c r="S96" i="1"/>
  <c r="R96" i="1" a="1"/>
  <c r="R96" i="1" s="1"/>
  <c r="Q96" i="1"/>
  <c r="P96" i="1" a="1"/>
  <c r="P96" i="1" s="1"/>
  <c r="O96" i="1"/>
  <c r="N96" i="1" a="1"/>
  <c r="N96" i="1" s="1"/>
  <c r="M96" i="1"/>
  <c r="L96" i="1" a="1"/>
  <c r="L96" i="1" s="1"/>
  <c r="K96" i="1"/>
  <c r="J96" i="1" a="1"/>
  <c r="J96" i="1" s="1"/>
  <c r="H96" i="1" a="1"/>
  <c r="H96" i="1" s="1"/>
  <c r="AB96" i="1" s="1"/>
  <c r="G96" i="1" a="1"/>
  <c r="G96" i="1" s="1"/>
  <c r="A96" i="1"/>
  <c r="AD95" i="1"/>
  <c r="W95" i="1"/>
  <c r="Y95" i="1" s="1"/>
  <c r="V95" i="1" a="1"/>
  <c r="V95" i="1" s="1"/>
  <c r="X95" i="1" s="1"/>
  <c r="U95" i="1"/>
  <c r="T95" i="1" a="1"/>
  <c r="T95" i="1" s="1"/>
  <c r="S95" i="1"/>
  <c r="R95" i="1" a="1"/>
  <c r="R95" i="1" s="1"/>
  <c r="Q95" i="1"/>
  <c r="P95" i="1" a="1"/>
  <c r="P95" i="1" s="1"/>
  <c r="O95" i="1"/>
  <c r="N95" i="1" a="1"/>
  <c r="N95" i="1" s="1"/>
  <c r="M95" i="1"/>
  <c r="L95" i="1" a="1"/>
  <c r="L95" i="1" s="1"/>
  <c r="K95" i="1"/>
  <c r="J95" i="1" a="1"/>
  <c r="J95" i="1" s="1"/>
  <c r="H95" i="1" a="1"/>
  <c r="H95" i="1" s="1"/>
  <c r="AB95" i="1" s="1"/>
  <c r="G95" i="1" a="1"/>
  <c r="G95" i="1" s="1"/>
  <c r="A95" i="1"/>
  <c r="AD94" i="1"/>
  <c r="W94" i="1"/>
  <c r="Y94" i="1" s="1"/>
  <c r="V94" i="1" a="1"/>
  <c r="V94" i="1" s="1"/>
  <c r="X94" i="1" s="1"/>
  <c r="U94" i="1"/>
  <c r="T94" i="1" a="1"/>
  <c r="T94" i="1" s="1"/>
  <c r="S94" i="1"/>
  <c r="R94" i="1" a="1"/>
  <c r="R94" i="1" s="1"/>
  <c r="Q94" i="1"/>
  <c r="P94" i="1" a="1"/>
  <c r="P94" i="1" s="1"/>
  <c r="O94" i="1"/>
  <c r="N94" i="1" a="1"/>
  <c r="N94" i="1" s="1"/>
  <c r="M94" i="1"/>
  <c r="L94" i="1" a="1"/>
  <c r="L94" i="1" s="1"/>
  <c r="K94" i="1"/>
  <c r="J94" i="1" a="1"/>
  <c r="J94" i="1" s="1"/>
  <c r="H94" i="1" a="1"/>
  <c r="H94" i="1" s="1"/>
  <c r="AB94" i="1" s="1"/>
  <c r="G94" i="1" a="1"/>
  <c r="G94" i="1" s="1"/>
  <c r="A94" i="1"/>
  <c r="AD93" i="1"/>
  <c r="W93" i="1"/>
  <c r="Y93" i="1" s="1"/>
  <c r="V93" i="1" a="1"/>
  <c r="V93" i="1" s="1"/>
  <c r="X93" i="1" s="1"/>
  <c r="AA93" i="1" s="1"/>
  <c r="U93" i="1"/>
  <c r="T93" i="1" a="1"/>
  <c r="T93" i="1" s="1"/>
  <c r="S93" i="1"/>
  <c r="R93" i="1" a="1"/>
  <c r="R93" i="1" s="1"/>
  <c r="Q93" i="1"/>
  <c r="P93" i="1" a="1"/>
  <c r="P93" i="1" s="1"/>
  <c r="O93" i="1"/>
  <c r="N93" i="1" a="1"/>
  <c r="N93" i="1" s="1"/>
  <c r="M93" i="1"/>
  <c r="L93" i="1" a="1"/>
  <c r="L93" i="1" s="1"/>
  <c r="K93" i="1"/>
  <c r="J93" i="1" a="1"/>
  <c r="J93" i="1" s="1"/>
  <c r="H93" i="1" a="1"/>
  <c r="H93" i="1"/>
  <c r="AB93" i="1" s="1"/>
  <c r="G93" i="1" a="1"/>
  <c r="G93" i="1" s="1"/>
  <c r="A93" i="1"/>
  <c r="AD92" i="1"/>
  <c r="W92" i="1"/>
  <c r="Y92" i="1" s="1"/>
  <c r="V92" i="1" a="1"/>
  <c r="V92" i="1" s="1"/>
  <c r="X92" i="1" s="1"/>
  <c r="AA92" i="1" s="1"/>
  <c r="U92" i="1"/>
  <c r="T92" i="1" a="1"/>
  <c r="T92" i="1" s="1"/>
  <c r="S92" i="1"/>
  <c r="R92" i="1" a="1"/>
  <c r="R92" i="1" s="1"/>
  <c r="Q92" i="1"/>
  <c r="P92" i="1" a="1"/>
  <c r="P92" i="1" s="1"/>
  <c r="O92" i="1"/>
  <c r="N92" i="1" a="1"/>
  <c r="N92" i="1" s="1"/>
  <c r="M92" i="1"/>
  <c r="L92" i="1" a="1"/>
  <c r="L92" i="1" s="1"/>
  <c r="K92" i="1"/>
  <c r="J92" i="1" a="1"/>
  <c r="J92" i="1" s="1"/>
  <c r="H92" i="1" a="1"/>
  <c r="H92" i="1" s="1"/>
  <c r="AB92" i="1" s="1"/>
  <c r="G92" i="1" a="1"/>
  <c r="G92" i="1" s="1"/>
  <c r="A92" i="1"/>
  <c r="AD91" i="1"/>
  <c r="W91" i="1"/>
  <c r="Y91" i="1" s="1"/>
  <c r="V91" i="1" a="1"/>
  <c r="V91" i="1" s="1"/>
  <c r="X91" i="1" s="1"/>
  <c r="AA91" i="1" s="1"/>
  <c r="U91" i="1"/>
  <c r="T91" i="1" a="1"/>
  <c r="T91" i="1" s="1"/>
  <c r="S91" i="1"/>
  <c r="R91" i="1" a="1"/>
  <c r="R91" i="1" s="1"/>
  <c r="Q91" i="1"/>
  <c r="P91" i="1" a="1"/>
  <c r="P91" i="1" s="1"/>
  <c r="O91" i="1"/>
  <c r="N91" i="1" a="1"/>
  <c r="N91" i="1" s="1"/>
  <c r="M91" i="1"/>
  <c r="L91" i="1" a="1"/>
  <c r="L91" i="1" s="1"/>
  <c r="K91" i="1"/>
  <c r="J91" i="1" a="1"/>
  <c r="J91" i="1" s="1"/>
  <c r="H91" i="1" a="1"/>
  <c r="H91" i="1" s="1"/>
  <c r="AB91" i="1" s="1"/>
  <c r="G91" i="1" a="1"/>
  <c r="G91" i="1" s="1"/>
  <c r="A91" i="1"/>
  <c r="AD90" i="1"/>
  <c r="W90" i="1"/>
  <c r="Y90" i="1" s="1"/>
  <c r="V90" i="1" a="1"/>
  <c r="V90" i="1" s="1"/>
  <c r="X90" i="1" s="1"/>
  <c r="U90" i="1"/>
  <c r="T90" i="1" a="1"/>
  <c r="T90" i="1" s="1"/>
  <c r="S90" i="1"/>
  <c r="R90" i="1" a="1"/>
  <c r="R90" i="1" s="1"/>
  <c r="Q90" i="1"/>
  <c r="P90" i="1" a="1"/>
  <c r="P90" i="1" s="1"/>
  <c r="O90" i="1"/>
  <c r="N90" i="1" a="1"/>
  <c r="N90" i="1" s="1"/>
  <c r="M90" i="1"/>
  <c r="L90" i="1" a="1"/>
  <c r="L90" i="1" s="1"/>
  <c r="K90" i="1"/>
  <c r="J90" i="1" a="1"/>
  <c r="J90" i="1" s="1"/>
  <c r="H90" i="1" a="1"/>
  <c r="H90" i="1" s="1"/>
  <c r="G90" i="1" a="1"/>
  <c r="G90" i="1"/>
  <c r="A90" i="1"/>
  <c r="AD89" i="1"/>
  <c r="W89" i="1"/>
  <c r="Y89" i="1" s="1"/>
  <c r="V89" i="1" a="1"/>
  <c r="V89" i="1" s="1"/>
  <c r="X89" i="1" s="1"/>
  <c r="AA89" i="1" s="1"/>
  <c r="U89" i="1"/>
  <c r="T89" i="1" a="1"/>
  <c r="T89" i="1" s="1"/>
  <c r="S89" i="1"/>
  <c r="R89" i="1" a="1"/>
  <c r="R89" i="1" s="1"/>
  <c r="Q89" i="1"/>
  <c r="P89" i="1" a="1"/>
  <c r="P89" i="1" s="1"/>
  <c r="O89" i="1"/>
  <c r="N89" i="1" a="1"/>
  <c r="N89" i="1" s="1"/>
  <c r="M89" i="1"/>
  <c r="L89" i="1" a="1"/>
  <c r="L89" i="1" s="1"/>
  <c r="K89" i="1"/>
  <c r="J89" i="1" a="1"/>
  <c r="J89" i="1" s="1"/>
  <c r="H89" i="1" a="1"/>
  <c r="H89" i="1" s="1"/>
  <c r="G89" i="1" a="1"/>
  <c r="G89" i="1" s="1"/>
  <c r="A89" i="1"/>
  <c r="AD88" i="1"/>
  <c r="W88" i="1"/>
  <c r="Y88" i="1" s="1"/>
  <c r="V88" i="1" a="1"/>
  <c r="V88" i="1" s="1"/>
  <c r="X88" i="1" s="1"/>
  <c r="AA88" i="1" s="1"/>
  <c r="U88" i="1"/>
  <c r="T88" i="1" a="1"/>
  <c r="T88" i="1" s="1"/>
  <c r="S88" i="1"/>
  <c r="R88" i="1" a="1"/>
  <c r="R88" i="1" s="1"/>
  <c r="Q88" i="1"/>
  <c r="P88" i="1" a="1"/>
  <c r="P88" i="1" s="1"/>
  <c r="O88" i="1"/>
  <c r="N88" i="1" a="1"/>
  <c r="N88" i="1" s="1"/>
  <c r="M88" i="1"/>
  <c r="L88" i="1" a="1"/>
  <c r="L88" i="1" s="1"/>
  <c r="K88" i="1"/>
  <c r="J88" i="1" a="1"/>
  <c r="J88" i="1" s="1"/>
  <c r="H88" i="1" a="1"/>
  <c r="H88" i="1" s="1"/>
  <c r="AB88" i="1" s="1"/>
  <c r="G88" i="1" a="1"/>
  <c r="G88" i="1" s="1"/>
  <c r="A88" i="1"/>
  <c r="AD87" i="1"/>
  <c r="W87" i="1"/>
  <c r="Y87" i="1" s="1"/>
  <c r="V87" i="1" a="1"/>
  <c r="V87" i="1" s="1"/>
  <c r="X87" i="1" s="1"/>
  <c r="AA87" i="1" s="1"/>
  <c r="U87" i="1"/>
  <c r="T87" i="1" a="1"/>
  <c r="T87" i="1" s="1"/>
  <c r="S87" i="1"/>
  <c r="R87" i="1" a="1"/>
  <c r="R87" i="1" s="1"/>
  <c r="Q87" i="1"/>
  <c r="P87" i="1" a="1"/>
  <c r="P87" i="1" s="1"/>
  <c r="O87" i="1"/>
  <c r="N87" i="1" a="1"/>
  <c r="N87" i="1" s="1"/>
  <c r="M87" i="1"/>
  <c r="L87" i="1" a="1"/>
  <c r="L87" i="1" s="1"/>
  <c r="K87" i="1"/>
  <c r="J87" i="1" a="1"/>
  <c r="J87" i="1" s="1"/>
  <c r="H87" i="1" a="1"/>
  <c r="H87" i="1" s="1"/>
  <c r="AB87" i="1" s="1"/>
  <c r="G87" i="1" a="1"/>
  <c r="G87" i="1" s="1"/>
  <c r="A87" i="1"/>
  <c r="AD86" i="1"/>
  <c r="W86" i="1"/>
  <c r="Y86" i="1" s="1"/>
  <c r="V86" i="1" a="1"/>
  <c r="V86" i="1" s="1"/>
  <c r="X86" i="1" s="1"/>
  <c r="U86" i="1"/>
  <c r="T86" i="1" a="1"/>
  <c r="T86" i="1" s="1"/>
  <c r="S86" i="1"/>
  <c r="R86" i="1" a="1"/>
  <c r="R86" i="1" s="1"/>
  <c r="Q86" i="1"/>
  <c r="P86" i="1" a="1"/>
  <c r="P86" i="1" s="1"/>
  <c r="O86" i="1"/>
  <c r="N86" i="1" a="1"/>
  <c r="N86" i="1" s="1"/>
  <c r="M86" i="1"/>
  <c r="L86" i="1" a="1"/>
  <c r="L86" i="1" s="1"/>
  <c r="K86" i="1"/>
  <c r="J86" i="1" a="1"/>
  <c r="J86" i="1" s="1"/>
  <c r="H86" i="1" a="1"/>
  <c r="H86" i="1" s="1"/>
  <c r="G86" i="1" a="1"/>
  <c r="G86" i="1" s="1"/>
  <c r="A86" i="1"/>
  <c r="AD85" i="1"/>
  <c r="W85" i="1"/>
  <c r="Y85" i="1" s="1"/>
  <c r="V85" i="1" a="1"/>
  <c r="V85" i="1" s="1"/>
  <c r="X85" i="1" s="1"/>
  <c r="AA85" i="1" s="1"/>
  <c r="U85" i="1"/>
  <c r="T85" i="1" a="1"/>
  <c r="T85" i="1" s="1"/>
  <c r="S85" i="1"/>
  <c r="R85" i="1" a="1"/>
  <c r="R85" i="1"/>
  <c r="Q85" i="1"/>
  <c r="P85" i="1" a="1"/>
  <c r="P85" i="1" s="1"/>
  <c r="O85" i="1"/>
  <c r="N85" i="1" a="1"/>
  <c r="N85" i="1" s="1"/>
  <c r="M85" i="1"/>
  <c r="L85" i="1" a="1"/>
  <c r="L85" i="1" s="1"/>
  <c r="K85" i="1"/>
  <c r="J85" i="1" a="1"/>
  <c r="J85" i="1" s="1"/>
  <c r="H85" i="1" a="1"/>
  <c r="H85" i="1" s="1"/>
  <c r="AB85" i="1" s="1"/>
  <c r="G85" i="1" a="1"/>
  <c r="G85" i="1" s="1"/>
  <c r="A85" i="1"/>
  <c r="AD84" i="1"/>
  <c r="W84" i="1"/>
  <c r="Y84" i="1" s="1"/>
  <c r="V84" i="1" a="1"/>
  <c r="V84" i="1"/>
  <c r="X84" i="1" s="1"/>
  <c r="U84" i="1"/>
  <c r="T84" i="1" a="1"/>
  <c r="T84" i="1" s="1"/>
  <c r="S84" i="1"/>
  <c r="R84" i="1" a="1"/>
  <c r="R84" i="1" s="1"/>
  <c r="Q84" i="1"/>
  <c r="P84" i="1" a="1"/>
  <c r="P84" i="1"/>
  <c r="O84" i="1"/>
  <c r="N84" i="1" a="1"/>
  <c r="N84" i="1" s="1"/>
  <c r="M84" i="1"/>
  <c r="L84" i="1" a="1"/>
  <c r="L84" i="1" s="1"/>
  <c r="K84" i="1"/>
  <c r="J84" i="1" a="1"/>
  <c r="J84" i="1" s="1"/>
  <c r="H84" i="1" a="1"/>
  <c r="H84" i="1" s="1"/>
  <c r="AB84" i="1" s="1"/>
  <c r="G84" i="1" a="1"/>
  <c r="G84" i="1" s="1"/>
  <c r="A84" i="1"/>
  <c r="AD83" i="1"/>
  <c r="W83" i="1"/>
  <c r="Y83" i="1" s="1"/>
  <c r="V83" i="1" a="1"/>
  <c r="V83" i="1" s="1"/>
  <c r="X83" i="1" s="1"/>
  <c r="AA83" i="1" s="1"/>
  <c r="U83" i="1"/>
  <c r="T83" i="1" a="1"/>
  <c r="T83" i="1" s="1"/>
  <c r="S83" i="1"/>
  <c r="R83" i="1" a="1"/>
  <c r="R83" i="1" s="1"/>
  <c r="Q83" i="1"/>
  <c r="P83" i="1" a="1"/>
  <c r="P83" i="1" s="1"/>
  <c r="O83" i="1"/>
  <c r="N83" i="1" a="1"/>
  <c r="N83" i="1" s="1"/>
  <c r="M83" i="1"/>
  <c r="L83" i="1" a="1"/>
  <c r="L83" i="1" s="1"/>
  <c r="K83" i="1"/>
  <c r="J83" i="1" a="1"/>
  <c r="J83" i="1" s="1"/>
  <c r="H83" i="1" a="1"/>
  <c r="H83" i="1" s="1"/>
  <c r="AB83" i="1" s="1"/>
  <c r="G83" i="1" a="1"/>
  <c r="G83" i="1" s="1"/>
  <c r="A83" i="1"/>
  <c r="AD82" i="1"/>
  <c r="W82" i="1"/>
  <c r="Y82" i="1" s="1"/>
  <c r="V82" i="1" a="1"/>
  <c r="V82" i="1" s="1"/>
  <c r="X82" i="1" s="1"/>
  <c r="AA82" i="1" s="1"/>
  <c r="U82" i="1"/>
  <c r="T82" i="1" a="1"/>
  <c r="T82" i="1" s="1"/>
  <c r="S82" i="1"/>
  <c r="R82" i="1" a="1"/>
  <c r="R82" i="1" s="1"/>
  <c r="Q82" i="1"/>
  <c r="P82" i="1" a="1"/>
  <c r="P82" i="1" s="1"/>
  <c r="O82" i="1"/>
  <c r="N82" i="1" a="1"/>
  <c r="N82" i="1" s="1"/>
  <c r="M82" i="1"/>
  <c r="L82" i="1" a="1"/>
  <c r="L82" i="1" s="1"/>
  <c r="K82" i="1"/>
  <c r="J82" i="1" a="1"/>
  <c r="J82" i="1" s="1"/>
  <c r="H82" i="1" a="1"/>
  <c r="H82" i="1" s="1"/>
  <c r="G82" i="1" a="1"/>
  <c r="G82" i="1" s="1"/>
  <c r="A82" i="1"/>
  <c r="AD81" i="1"/>
  <c r="W81" i="1"/>
  <c r="Y81" i="1" s="1"/>
  <c r="V81" i="1" a="1"/>
  <c r="V81" i="1" s="1"/>
  <c r="X81" i="1" s="1"/>
  <c r="U81" i="1"/>
  <c r="T81" i="1" a="1"/>
  <c r="T81" i="1" s="1"/>
  <c r="S81" i="1"/>
  <c r="R81" i="1" a="1"/>
  <c r="R81" i="1" s="1"/>
  <c r="Q81" i="1"/>
  <c r="P81" i="1" a="1"/>
  <c r="P81" i="1" s="1"/>
  <c r="O81" i="1"/>
  <c r="N81" i="1" a="1"/>
  <c r="N81" i="1" s="1"/>
  <c r="M81" i="1"/>
  <c r="L81" i="1" a="1"/>
  <c r="L81" i="1" s="1"/>
  <c r="K81" i="1"/>
  <c r="J81" i="1" a="1"/>
  <c r="J81" i="1" s="1"/>
  <c r="H81" i="1" a="1"/>
  <c r="H81" i="1" s="1"/>
  <c r="G81" i="1" a="1"/>
  <c r="G81" i="1" s="1"/>
  <c r="A81" i="1"/>
  <c r="AD80" i="1"/>
  <c r="W80" i="1"/>
  <c r="Y80" i="1" s="1"/>
  <c r="V80" i="1" a="1"/>
  <c r="V80" i="1" s="1"/>
  <c r="X80" i="1" s="1"/>
  <c r="AA80" i="1" s="1"/>
  <c r="U80" i="1"/>
  <c r="T80" i="1" a="1"/>
  <c r="T80" i="1" s="1"/>
  <c r="S80" i="1"/>
  <c r="R80" i="1" a="1"/>
  <c r="R80" i="1" s="1"/>
  <c r="Q80" i="1"/>
  <c r="P80" i="1" a="1"/>
  <c r="P80" i="1" s="1"/>
  <c r="O80" i="1"/>
  <c r="N80" i="1" a="1"/>
  <c r="N80" i="1" s="1"/>
  <c r="M80" i="1"/>
  <c r="L80" i="1" a="1"/>
  <c r="L80" i="1" s="1"/>
  <c r="K80" i="1"/>
  <c r="J80" i="1" a="1"/>
  <c r="J80" i="1" s="1"/>
  <c r="H80" i="1" a="1"/>
  <c r="H80" i="1" s="1"/>
  <c r="G80" i="1" a="1"/>
  <c r="G80" i="1" s="1"/>
  <c r="A80" i="1"/>
  <c r="AD79" i="1"/>
  <c r="W79" i="1"/>
  <c r="Y79" i="1" s="1"/>
  <c r="V79" i="1" a="1"/>
  <c r="V79" i="1" s="1"/>
  <c r="X79" i="1" s="1"/>
  <c r="U79" i="1"/>
  <c r="T79" i="1" a="1"/>
  <c r="T79" i="1" s="1"/>
  <c r="S79" i="1"/>
  <c r="R79" i="1" a="1"/>
  <c r="R79" i="1" s="1"/>
  <c r="Q79" i="1"/>
  <c r="P79" i="1" a="1"/>
  <c r="P79" i="1" s="1"/>
  <c r="O79" i="1"/>
  <c r="N79" i="1" a="1"/>
  <c r="N79" i="1" s="1"/>
  <c r="M79" i="1"/>
  <c r="L79" i="1" a="1"/>
  <c r="L79" i="1" s="1"/>
  <c r="K79" i="1"/>
  <c r="J79" i="1" a="1"/>
  <c r="J79" i="1" s="1"/>
  <c r="H79" i="1" a="1"/>
  <c r="H79" i="1" s="1"/>
  <c r="AB79" i="1" s="1"/>
  <c r="G79" i="1" a="1"/>
  <c r="G79" i="1" s="1"/>
  <c r="A79" i="1"/>
  <c r="AD78" i="1"/>
  <c r="W78" i="1"/>
  <c r="Y78" i="1" s="1"/>
  <c r="V78" i="1" a="1"/>
  <c r="V78" i="1" s="1"/>
  <c r="X78" i="1" s="1"/>
  <c r="U78" i="1"/>
  <c r="T78" i="1" a="1"/>
  <c r="T78" i="1" s="1"/>
  <c r="S78" i="1"/>
  <c r="R78" i="1" a="1"/>
  <c r="R78" i="1" s="1"/>
  <c r="Q78" i="1"/>
  <c r="P78" i="1" a="1"/>
  <c r="P78" i="1" s="1"/>
  <c r="O78" i="1"/>
  <c r="N78" i="1" a="1"/>
  <c r="N78" i="1" s="1"/>
  <c r="M78" i="1"/>
  <c r="L78" i="1" a="1"/>
  <c r="L78" i="1" s="1"/>
  <c r="K78" i="1"/>
  <c r="J78" i="1" a="1"/>
  <c r="J78" i="1" s="1"/>
  <c r="H78" i="1" a="1"/>
  <c r="H78" i="1" s="1"/>
  <c r="AB78" i="1" s="1"/>
  <c r="G78" i="1" a="1"/>
  <c r="G78" i="1" s="1"/>
  <c r="I78" i="1" s="1"/>
  <c r="AD77" i="1"/>
  <c r="W77" i="1"/>
  <c r="Y77" i="1" s="1"/>
  <c r="V77" i="1" a="1"/>
  <c r="V77" i="1" s="1"/>
  <c r="X77" i="1" s="1"/>
  <c r="AA77" i="1" s="1"/>
  <c r="U77" i="1"/>
  <c r="T77" i="1" a="1"/>
  <c r="T77" i="1"/>
  <c r="S77" i="1"/>
  <c r="R77" i="1" a="1"/>
  <c r="R77" i="1" s="1"/>
  <c r="Q77" i="1"/>
  <c r="P77" i="1" a="1"/>
  <c r="P77" i="1" s="1"/>
  <c r="O77" i="1"/>
  <c r="N77" i="1" a="1"/>
  <c r="N77" i="1" s="1"/>
  <c r="M77" i="1"/>
  <c r="L77" i="1" a="1"/>
  <c r="L77" i="1"/>
  <c r="K77" i="1"/>
  <c r="J77" i="1" a="1"/>
  <c r="J77" i="1" s="1"/>
  <c r="H77" i="1" a="1"/>
  <c r="H77" i="1" s="1"/>
  <c r="AB77" i="1" s="1"/>
  <c r="G77" i="1" a="1"/>
  <c r="G77" i="1" s="1"/>
  <c r="AD76" i="1"/>
  <c r="W76" i="1"/>
  <c r="Y76" i="1" s="1"/>
  <c r="V76" i="1" a="1"/>
  <c r="V76" i="1" s="1"/>
  <c r="X76" i="1" s="1"/>
  <c r="AA76" i="1" s="1"/>
  <c r="U76" i="1"/>
  <c r="T76" i="1" a="1"/>
  <c r="T76" i="1" s="1"/>
  <c r="S76" i="1"/>
  <c r="R76" i="1" a="1"/>
  <c r="R76" i="1" s="1"/>
  <c r="Q76" i="1"/>
  <c r="P76" i="1" a="1"/>
  <c r="P76" i="1" s="1"/>
  <c r="O76" i="1"/>
  <c r="N76" i="1" a="1"/>
  <c r="N76" i="1" s="1"/>
  <c r="M76" i="1"/>
  <c r="L76" i="1" a="1"/>
  <c r="L76" i="1" s="1"/>
  <c r="K76" i="1"/>
  <c r="J76" i="1" a="1"/>
  <c r="J76" i="1" s="1"/>
  <c r="H76" i="1" a="1"/>
  <c r="H76" i="1" s="1"/>
  <c r="AB76" i="1" s="1"/>
  <c r="G76" i="1" a="1"/>
  <c r="G76" i="1" s="1"/>
  <c r="A76" i="1"/>
  <c r="AD75" i="1"/>
  <c r="W75" i="1"/>
  <c r="Y75" i="1" s="1"/>
  <c r="V75" i="1" a="1"/>
  <c r="V75" i="1" s="1"/>
  <c r="X75" i="1" s="1"/>
  <c r="AA75" i="1" s="1"/>
  <c r="U75" i="1"/>
  <c r="T75" i="1" a="1"/>
  <c r="T75" i="1" s="1"/>
  <c r="S75" i="1"/>
  <c r="R75" i="1" a="1"/>
  <c r="R75" i="1" s="1"/>
  <c r="Q75" i="1"/>
  <c r="P75" i="1" a="1"/>
  <c r="P75" i="1" s="1"/>
  <c r="O75" i="1"/>
  <c r="N75" i="1" a="1"/>
  <c r="N75" i="1" s="1"/>
  <c r="M75" i="1"/>
  <c r="L75" i="1" a="1"/>
  <c r="L75" i="1" s="1"/>
  <c r="K75" i="1"/>
  <c r="J75" i="1" a="1"/>
  <c r="J75" i="1" s="1"/>
  <c r="H75" i="1" a="1"/>
  <c r="H75" i="1" s="1"/>
  <c r="G75" i="1" a="1"/>
  <c r="G75" i="1" s="1"/>
  <c r="A75" i="1"/>
  <c r="AD74" i="1"/>
  <c r="AB74" i="1"/>
  <c r="W74" i="1"/>
  <c r="Y74" i="1" s="1"/>
  <c r="V74" i="1" a="1"/>
  <c r="V74" i="1" s="1"/>
  <c r="X74" i="1" s="1"/>
  <c r="AA74" i="1" s="1"/>
  <c r="AC74" i="1" s="1"/>
  <c r="U74" i="1"/>
  <c r="T74" i="1" a="1"/>
  <c r="T74" i="1" s="1"/>
  <c r="S74" i="1"/>
  <c r="R74" i="1" a="1"/>
  <c r="R74" i="1" s="1"/>
  <c r="Q74" i="1"/>
  <c r="P74" i="1" a="1"/>
  <c r="P74" i="1" s="1"/>
  <c r="O74" i="1"/>
  <c r="N74" i="1" a="1"/>
  <c r="N74" i="1" s="1"/>
  <c r="M74" i="1"/>
  <c r="L74" i="1" a="1"/>
  <c r="L74" i="1"/>
  <c r="K74" i="1"/>
  <c r="J74" i="1" a="1"/>
  <c r="J74" i="1" s="1"/>
  <c r="H74" i="1" a="1"/>
  <c r="H74" i="1" s="1"/>
  <c r="G74" i="1" a="1"/>
  <c r="G74" i="1" s="1"/>
  <c r="A74" i="1"/>
  <c r="AD73" i="1"/>
  <c r="W73" i="1"/>
  <c r="Y73" i="1" s="1"/>
  <c r="V73" i="1" a="1"/>
  <c r="V73" i="1" s="1"/>
  <c r="X73" i="1" s="1"/>
  <c r="U73" i="1"/>
  <c r="T73" i="1" a="1"/>
  <c r="T73" i="1" s="1"/>
  <c r="S73" i="1"/>
  <c r="R73" i="1" a="1"/>
  <c r="R73" i="1" s="1"/>
  <c r="Q73" i="1"/>
  <c r="P73" i="1" a="1"/>
  <c r="P73" i="1" s="1"/>
  <c r="O73" i="1"/>
  <c r="N73" i="1" a="1"/>
  <c r="N73" i="1" s="1"/>
  <c r="M73" i="1"/>
  <c r="L73" i="1" a="1"/>
  <c r="L73" i="1" s="1"/>
  <c r="K73" i="1"/>
  <c r="J73" i="1" a="1"/>
  <c r="J73" i="1" s="1"/>
  <c r="H73" i="1" a="1"/>
  <c r="H73" i="1" s="1"/>
  <c r="AB73" i="1" s="1"/>
  <c r="G73" i="1" a="1"/>
  <c r="G73" i="1" s="1"/>
  <c r="A73" i="1"/>
  <c r="AD72" i="1"/>
  <c r="W72" i="1"/>
  <c r="Y72" i="1" s="1"/>
  <c r="V72" i="1" a="1"/>
  <c r="V72" i="1" s="1"/>
  <c r="X72" i="1" s="1"/>
  <c r="AA72" i="1" s="1"/>
  <c r="U72" i="1"/>
  <c r="T72" i="1" a="1"/>
  <c r="T72" i="1" s="1"/>
  <c r="S72" i="1"/>
  <c r="R72" i="1" a="1"/>
  <c r="R72" i="1" s="1"/>
  <c r="Q72" i="1"/>
  <c r="P72" i="1" a="1"/>
  <c r="P72" i="1" s="1"/>
  <c r="O72" i="1"/>
  <c r="N72" i="1" a="1"/>
  <c r="N72" i="1" s="1"/>
  <c r="M72" i="1"/>
  <c r="L72" i="1" a="1"/>
  <c r="L72" i="1" s="1"/>
  <c r="K72" i="1"/>
  <c r="J72" i="1" a="1"/>
  <c r="J72" i="1" s="1"/>
  <c r="H72" i="1" a="1"/>
  <c r="H72" i="1" s="1"/>
  <c r="G72" i="1" a="1"/>
  <c r="G72" i="1" s="1"/>
  <c r="A72" i="1"/>
  <c r="AD71" i="1"/>
  <c r="W71" i="1"/>
  <c r="Y71" i="1" s="1"/>
  <c r="V71" i="1" a="1"/>
  <c r="V71" i="1" s="1"/>
  <c r="X71" i="1" s="1"/>
  <c r="U71" i="1"/>
  <c r="T71" i="1" a="1"/>
  <c r="T71" i="1" s="1"/>
  <c r="S71" i="1"/>
  <c r="R71" i="1" a="1"/>
  <c r="R71" i="1" s="1"/>
  <c r="Q71" i="1"/>
  <c r="P71" i="1" a="1"/>
  <c r="P71" i="1" s="1"/>
  <c r="O71" i="1"/>
  <c r="N71" i="1" a="1"/>
  <c r="N71" i="1" s="1"/>
  <c r="M71" i="1"/>
  <c r="L71" i="1" a="1"/>
  <c r="L71" i="1" s="1"/>
  <c r="K71" i="1"/>
  <c r="J71" i="1" a="1"/>
  <c r="J71" i="1" s="1"/>
  <c r="H71" i="1" a="1"/>
  <c r="H71" i="1" s="1"/>
  <c r="AB71" i="1" s="1"/>
  <c r="G71" i="1" a="1"/>
  <c r="G71" i="1" s="1"/>
  <c r="A71" i="1"/>
  <c r="AD70" i="1"/>
  <c r="W70" i="1"/>
  <c r="Y70" i="1" s="1"/>
  <c r="V70" i="1" a="1"/>
  <c r="V70" i="1" s="1"/>
  <c r="X70" i="1" s="1"/>
  <c r="AA70" i="1" s="1"/>
  <c r="U70" i="1"/>
  <c r="T70" i="1" a="1"/>
  <c r="T70" i="1" s="1"/>
  <c r="S70" i="1"/>
  <c r="R70" i="1" a="1"/>
  <c r="R70" i="1" s="1"/>
  <c r="Q70" i="1"/>
  <c r="P70" i="1" a="1"/>
  <c r="P70" i="1" s="1"/>
  <c r="O70" i="1"/>
  <c r="N70" i="1" a="1"/>
  <c r="N70" i="1" s="1"/>
  <c r="M70" i="1"/>
  <c r="L70" i="1" a="1"/>
  <c r="L70" i="1" s="1"/>
  <c r="K70" i="1"/>
  <c r="J70" i="1" a="1"/>
  <c r="J70" i="1" s="1"/>
  <c r="H70" i="1" a="1"/>
  <c r="H70" i="1" s="1"/>
  <c r="G70" i="1" a="1"/>
  <c r="G70" i="1" s="1"/>
  <c r="A70" i="1"/>
  <c r="AD69" i="1"/>
  <c r="W69" i="1"/>
  <c r="Y69" i="1" s="1"/>
  <c r="V69" i="1" a="1"/>
  <c r="V69" i="1" s="1"/>
  <c r="X69" i="1" s="1"/>
  <c r="AA69" i="1" s="1"/>
  <c r="U69" i="1"/>
  <c r="T69" i="1" a="1"/>
  <c r="T69" i="1" s="1"/>
  <c r="S69" i="1"/>
  <c r="R69" i="1" a="1"/>
  <c r="R69" i="1" s="1"/>
  <c r="Q69" i="1"/>
  <c r="P69" i="1" a="1"/>
  <c r="P69" i="1" s="1"/>
  <c r="O69" i="1"/>
  <c r="N69" i="1" a="1"/>
  <c r="N69" i="1" s="1"/>
  <c r="M69" i="1"/>
  <c r="L69" i="1" a="1"/>
  <c r="L69" i="1" s="1"/>
  <c r="K69" i="1"/>
  <c r="J69" i="1" a="1"/>
  <c r="J69" i="1"/>
  <c r="H69" i="1" a="1"/>
  <c r="H69" i="1" s="1"/>
  <c r="AB69" i="1" s="1"/>
  <c r="G69" i="1" a="1"/>
  <c r="G69" i="1" s="1"/>
  <c r="A69" i="1"/>
  <c r="AD68" i="1"/>
  <c r="W68" i="1"/>
  <c r="Y68" i="1" s="1"/>
  <c r="V68" i="1" a="1"/>
  <c r="V68" i="1" s="1"/>
  <c r="X68" i="1" s="1"/>
  <c r="AA68" i="1" s="1"/>
  <c r="U68" i="1"/>
  <c r="T68" i="1" a="1"/>
  <c r="T68" i="1" s="1"/>
  <c r="S68" i="1"/>
  <c r="R68" i="1" a="1"/>
  <c r="R68" i="1" s="1"/>
  <c r="Q68" i="1"/>
  <c r="P68" i="1" a="1"/>
  <c r="P68" i="1" s="1"/>
  <c r="O68" i="1"/>
  <c r="N68" i="1" a="1"/>
  <c r="N68" i="1" s="1"/>
  <c r="M68" i="1"/>
  <c r="L68" i="1" a="1"/>
  <c r="L68" i="1" s="1"/>
  <c r="K68" i="1"/>
  <c r="J68" i="1" a="1"/>
  <c r="J68" i="1" s="1"/>
  <c r="H68" i="1" a="1"/>
  <c r="H68" i="1" s="1"/>
  <c r="G68" i="1" a="1"/>
  <c r="G68" i="1" s="1"/>
  <c r="A68" i="1"/>
  <c r="AD67" i="1"/>
  <c r="W67" i="1"/>
  <c r="Y67" i="1" s="1"/>
  <c r="V67" i="1" a="1"/>
  <c r="V67" i="1" s="1"/>
  <c r="X67" i="1" s="1"/>
  <c r="AA67" i="1" s="1"/>
  <c r="U67" i="1"/>
  <c r="T67" i="1" a="1"/>
  <c r="T67" i="1" s="1"/>
  <c r="S67" i="1"/>
  <c r="R67" i="1" a="1"/>
  <c r="R67" i="1" s="1"/>
  <c r="Q67" i="1"/>
  <c r="P67" i="1" a="1"/>
  <c r="P67" i="1" s="1"/>
  <c r="O67" i="1"/>
  <c r="N67" i="1" a="1"/>
  <c r="N67" i="1"/>
  <c r="M67" i="1"/>
  <c r="L67" i="1" a="1"/>
  <c r="L67" i="1" s="1"/>
  <c r="K67" i="1"/>
  <c r="J67" i="1" a="1"/>
  <c r="J67" i="1" s="1"/>
  <c r="H67" i="1" a="1"/>
  <c r="H67" i="1" s="1"/>
  <c r="G67" i="1" a="1"/>
  <c r="G67" i="1" s="1"/>
  <c r="AD66" i="1"/>
  <c r="W66" i="1"/>
  <c r="Y66" i="1" s="1"/>
  <c r="V66" i="1" a="1"/>
  <c r="V66" i="1" s="1"/>
  <c r="X66" i="1" s="1"/>
  <c r="AA66" i="1" s="1"/>
  <c r="U66" i="1"/>
  <c r="T66" i="1" a="1"/>
  <c r="T66" i="1" s="1"/>
  <c r="S66" i="1"/>
  <c r="R66" i="1" a="1"/>
  <c r="R66" i="1" s="1"/>
  <c r="Q66" i="1"/>
  <c r="P66" i="1" a="1"/>
  <c r="P66" i="1" s="1"/>
  <c r="O66" i="1"/>
  <c r="N66" i="1" a="1"/>
  <c r="N66" i="1" s="1"/>
  <c r="M66" i="1"/>
  <c r="L66" i="1" a="1"/>
  <c r="L66" i="1" s="1"/>
  <c r="K66" i="1"/>
  <c r="J66" i="1" a="1"/>
  <c r="J66" i="1" s="1"/>
  <c r="H66" i="1" a="1"/>
  <c r="H66" i="1" s="1"/>
  <c r="G66" i="1" a="1"/>
  <c r="G66" i="1" s="1"/>
  <c r="A66" i="1"/>
  <c r="AD65" i="1"/>
  <c r="W65" i="1"/>
  <c r="Y65" i="1" s="1"/>
  <c r="V65" i="1" a="1"/>
  <c r="V65" i="1" s="1"/>
  <c r="X65" i="1" s="1"/>
  <c r="AA65" i="1" s="1"/>
  <c r="U65" i="1"/>
  <c r="T65" i="1" a="1"/>
  <c r="T65" i="1" s="1"/>
  <c r="S65" i="1"/>
  <c r="R65" i="1" a="1"/>
  <c r="R65" i="1" s="1"/>
  <c r="Q65" i="1"/>
  <c r="P65" i="1" a="1"/>
  <c r="P65" i="1" s="1"/>
  <c r="O65" i="1"/>
  <c r="N65" i="1" a="1"/>
  <c r="N65" i="1" s="1"/>
  <c r="M65" i="1"/>
  <c r="L65" i="1" a="1"/>
  <c r="L65" i="1" s="1"/>
  <c r="K65" i="1"/>
  <c r="J65" i="1" a="1"/>
  <c r="J65" i="1" s="1"/>
  <c r="H65" i="1" a="1"/>
  <c r="H65" i="1"/>
  <c r="G65" i="1" a="1"/>
  <c r="G65" i="1" s="1"/>
  <c r="AD64" i="1"/>
  <c r="W64" i="1"/>
  <c r="Y64" i="1" s="1"/>
  <c r="V64" i="1" a="1"/>
  <c r="V64" i="1" s="1"/>
  <c r="X64" i="1" s="1"/>
  <c r="AA64" i="1" s="1"/>
  <c r="U64" i="1"/>
  <c r="T64" i="1" a="1"/>
  <c r="T64" i="1" s="1"/>
  <c r="S64" i="1"/>
  <c r="R64" i="1" a="1"/>
  <c r="R64" i="1" s="1"/>
  <c r="Q64" i="1"/>
  <c r="P64" i="1" a="1"/>
  <c r="P64" i="1" s="1"/>
  <c r="O64" i="1"/>
  <c r="N64" i="1" a="1"/>
  <c r="N64" i="1" s="1"/>
  <c r="M64" i="1"/>
  <c r="L64" i="1" a="1"/>
  <c r="L64" i="1" s="1"/>
  <c r="K64" i="1"/>
  <c r="J64" i="1" a="1"/>
  <c r="J64" i="1" s="1"/>
  <c r="H64" i="1" a="1"/>
  <c r="H64" i="1" s="1"/>
  <c r="AB64" i="1" s="1"/>
  <c r="G64" i="1" a="1"/>
  <c r="G64" i="1" s="1"/>
  <c r="A64" i="1"/>
  <c r="AD63" i="1"/>
  <c r="W63" i="1"/>
  <c r="Y63" i="1" s="1"/>
  <c r="V63" i="1" a="1"/>
  <c r="V63" i="1" s="1"/>
  <c r="X63" i="1" s="1"/>
  <c r="AA63" i="1" s="1"/>
  <c r="U63" i="1"/>
  <c r="T63" i="1" a="1"/>
  <c r="T63" i="1"/>
  <c r="S63" i="1"/>
  <c r="R63" i="1" a="1"/>
  <c r="R63" i="1" s="1"/>
  <c r="Q63" i="1"/>
  <c r="P63" i="1" a="1"/>
  <c r="P63" i="1" s="1"/>
  <c r="O63" i="1"/>
  <c r="N63" i="1" a="1"/>
  <c r="N63" i="1" s="1"/>
  <c r="M63" i="1"/>
  <c r="L63" i="1" a="1"/>
  <c r="L63" i="1" s="1"/>
  <c r="K63" i="1"/>
  <c r="J63" i="1" a="1"/>
  <c r="J63" i="1" s="1"/>
  <c r="H63" i="1" a="1"/>
  <c r="H63" i="1" s="1"/>
  <c r="AB63" i="1" s="1"/>
  <c r="G63" i="1" a="1"/>
  <c r="G63" i="1" s="1"/>
  <c r="A63" i="1"/>
  <c r="AD62" i="1"/>
  <c r="W62" i="1"/>
  <c r="Y62" i="1" s="1"/>
  <c r="V62" i="1" a="1"/>
  <c r="V62" i="1" s="1"/>
  <c r="X62" i="1" s="1"/>
  <c r="AA62" i="1" s="1"/>
  <c r="U62" i="1"/>
  <c r="T62" i="1" a="1"/>
  <c r="T62" i="1" s="1"/>
  <c r="S62" i="1"/>
  <c r="R62" i="1" a="1"/>
  <c r="R62" i="1" s="1"/>
  <c r="Q62" i="1"/>
  <c r="P62" i="1" a="1"/>
  <c r="P62" i="1" s="1"/>
  <c r="O62" i="1"/>
  <c r="N62" i="1" a="1"/>
  <c r="N62" i="1" s="1"/>
  <c r="M62" i="1"/>
  <c r="L62" i="1" a="1"/>
  <c r="L62" i="1"/>
  <c r="K62" i="1"/>
  <c r="J62" i="1" a="1"/>
  <c r="J62" i="1" s="1"/>
  <c r="H62" i="1" a="1"/>
  <c r="H62" i="1" s="1"/>
  <c r="G62" i="1" a="1"/>
  <c r="G62" i="1" s="1"/>
  <c r="A62" i="1"/>
  <c r="AD61" i="1"/>
  <c r="W61" i="1"/>
  <c r="Y61" i="1" s="1"/>
  <c r="V61" i="1" a="1"/>
  <c r="V61" i="1" s="1"/>
  <c r="X61" i="1" s="1"/>
  <c r="U61" i="1"/>
  <c r="T61" i="1" a="1"/>
  <c r="T61" i="1" s="1"/>
  <c r="S61" i="1"/>
  <c r="R61" i="1" a="1"/>
  <c r="R61" i="1" s="1"/>
  <c r="Q61" i="1"/>
  <c r="P61" i="1" a="1"/>
  <c r="P61" i="1" s="1"/>
  <c r="O61" i="1"/>
  <c r="N61" i="1" a="1"/>
  <c r="N61" i="1" s="1"/>
  <c r="M61" i="1"/>
  <c r="L61" i="1" a="1"/>
  <c r="L61" i="1" s="1"/>
  <c r="K61" i="1"/>
  <c r="J61" i="1" a="1"/>
  <c r="J61" i="1" s="1"/>
  <c r="H61" i="1" a="1"/>
  <c r="H61" i="1" s="1"/>
  <c r="AB61" i="1" s="1"/>
  <c r="G61" i="1" a="1"/>
  <c r="G61" i="1" s="1"/>
  <c r="A61" i="1"/>
  <c r="AD60" i="1"/>
  <c r="W60" i="1"/>
  <c r="Y60" i="1" s="1"/>
  <c r="V60" i="1" a="1"/>
  <c r="V60" i="1"/>
  <c r="X60" i="1" s="1"/>
  <c r="AA60" i="1" s="1"/>
  <c r="U60" i="1"/>
  <c r="T60" i="1" a="1"/>
  <c r="T60" i="1" s="1"/>
  <c r="S60" i="1"/>
  <c r="R60" i="1" a="1"/>
  <c r="R60" i="1"/>
  <c r="Q60" i="1"/>
  <c r="P60" i="1" a="1"/>
  <c r="P60" i="1" s="1"/>
  <c r="O60" i="1"/>
  <c r="N60" i="1" a="1"/>
  <c r="N60" i="1" s="1"/>
  <c r="M60" i="1"/>
  <c r="L60" i="1" a="1"/>
  <c r="L60" i="1" s="1"/>
  <c r="K60" i="1"/>
  <c r="J60" i="1" a="1"/>
  <c r="J60" i="1" s="1"/>
  <c r="H60" i="1" a="1"/>
  <c r="H60" i="1" s="1"/>
  <c r="G60" i="1" a="1"/>
  <c r="G60" i="1" s="1"/>
  <c r="A60" i="1"/>
  <c r="AD59" i="1"/>
  <c r="W59" i="1"/>
  <c r="Y59" i="1" s="1"/>
  <c r="V59" i="1" a="1"/>
  <c r="V59" i="1" s="1"/>
  <c r="X59" i="1" s="1"/>
  <c r="AA59" i="1" s="1"/>
  <c r="U59" i="1"/>
  <c r="T59" i="1" a="1"/>
  <c r="T59" i="1" s="1"/>
  <c r="S59" i="1"/>
  <c r="R59" i="1" a="1"/>
  <c r="R59" i="1" s="1"/>
  <c r="Q59" i="1"/>
  <c r="P59" i="1" a="1"/>
  <c r="P59" i="1" s="1"/>
  <c r="O59" i="1"/>
  <c r="N59" i="1" a="1"/>
  <c r="N59" i="1" s="1"/>
  <c r="M59" i="1"/>
  <c r="L59" i="1" a="1"/>
  <c r="L59" i="1" s="1"/>
  <c r="K59" i="1"/>
  <c r="J59" i="1" a="1"/>
  <c r="J59" i="1" s="1"/>
  <c r="H59" i="1" a="1"/>
  <c r="H59" i="1" s="1"/>
  <c r="G59" i="1" a="1"/>
  <c r="G59" i="1" s="1"/>
  <c r="A59" i="1"/>
  <c r="AD58" i="1"/>
  <c r="W58" i="1"/>
  <c r="Y58" i="1" s="1"/>
  <c r="V58" i="1" a="1"/>
  <c r="V58" i="1" s="1"/>
  <c r="X58" i="1" s="1"/>
  <c r="AA58" i="1" s="1"/>
  <c r="U58" i="1"/>
  <c r="T58" i="1" a="1"/>
  <c r="T58" i="1" s="1"/>
  <c r="S58" i="1"/>
  <c r="R58" i="1" a="1"/>
  <c r="R58" i="1" s="1"/>
  <c r="Q58" i="1"/>
  <c r="P58" i="1" a="1"/>
  <c r="P58" i="1" s="1"/>
  <c r="O58" i="1"/>
  <c r="N58" i="1" a="1"/>
  <c r="N58" i="1" s="1"/>
  <c r="M58" i="1"/>
  <c r="L58" i="1" a="1"/>
  <c r="L58" i="1" s="1"/>
  <c r="K58" i="1"/>
  <c r="J58" i="1" a="1"/>
  <c r="J58" i="1" s="1"/>
  <c r="H58" i="1" a="1"/>
  <c r="H58" i="1" s="1"/>
  <c r="G58" i="1" a="1"/>
  <c r="G58" i="1" s="1"/>
  <c r="A58" i="1"/>
  <c r="AD57" i="1"/>
  <c r="W57" i="1"/>
  <c r="Y57" i="1" s="1"/>
  <c r="V57" i="1" a="1"/>
  <c r="V57" i="1" s="1"/>
  <c r="X57" i="1" s="1"/>
  <c r="AA57" i="1" s="1"/>
  <c r="U57" i="1"/>
  <c r="T57" i="1" a="1"/>
  <c r="T57" i="1" s="1"/>
  <c r="S57" i="1"/>
  <c r="R57" i="1" a="1"/>
  <c r="R57" i="1" s="1"/>
  <c r="Q57" i="1"/>
  <c r="P57" i="1" a="1"/>
  <c r="P57" i="1" s="1"/>
  <c r="O57" i="1"/>
  <c r="N57" i="1" a="1"/>
  <c r="N57" i="1" s="1"/>
  <c r="M57" i="1"/>
  <c r="L57" i="1" a="1"/>
  <c r="L57" i="1" s="1"/>
  <c r="K57" i="1"/>
  <c r="J57" i="1" a="1"/>
  <c r="J57" i="1" s="1"/>
  <c r="H57" i="1" a="1"/>
  <c r="H57" i="1" s="1"/>
  <c r="G57" i="1" a="1"/>
  <c r="G57" i="1" s="1"/>
  <c r="A57" i="1"/>
  <c r="AD56" i="1"/>
  <c r="W56" i="1"/>
  <c r="Y56" i="1" s="1"/>
  <c r="V56" i="1" a="1"/>
  <c r="V56" i="1" s="1"/>
  <c r="X56" i="1" s="1"/>
  <c r="AA56" i="1" s="1"/>
  <c r="U56" i="1"/>
  <c r="T56" i="1" a="1"/>
  <c r="T56" i="1" s="1"/>
  <c r="S56" i="1"/>
  <c r="R56" i="1" a="1"/>
  <c r="R56" i="1" s="1"/>
  <c r="Q56" i="1"/>
  <c r="P56" i="1" a="1"/>
  <c r="P56" i="1" s="1"/>
  <c r="O56" i="1"/>
  <c r="N56" i="1" a="1"/>
  <c r="N56" i="1" s="1"/>
  <c r="M56" i="1"/>
  <c r="L56" i="1" a="1"/>
  <c r="L56" i="1" s="1"/>
  <c r="K56" i="1"/>
  <c r="J56" i="1" a="1"/>
  <c r="J56" i="1" s="1"/>
  <c r="H56" i="1" a="1"/>
  <c r="H56" i="1" s="1"/>
  <c r="AB56" i="1" s="1"/>
  <c r="G56" i="1" a="1"/>
  <c r="G56" i="1" s="1"/>
  <c r="A56" i="1"/>
  <c r="AD55" i="1"/>
  <c r="W55" i="1"/>
  <c r="Y55" i="1" s="1"/>
  <c r="V55" i="1" a="1"/>
  <c r="V55" i="1" s="1"/>
  <c r="X55" i="1" s="1"/>
  <c r="AA55" i="1" s="1"/>
  <c r="U55" i="1"/>
  <c r="T55" i="1" a="1"/>
  <c r="T55" i="1" s="1"/>
  <c r="S55" i="1"/>
  <c r="R55" i="1" a="1"/>
  <c r="R55" i="1"/>
  <c r="Q55" i="1"/>
  <c r="P55" i="1" a="1"/>
  <c r="P55" i="1" s="1"/>
  <c r="O55" i="1"/>
  <c r="N55" i="1" a="1"/>
  <c r="N55" i="1" s="1"/>
  <c r="M55" i="1"/>
  <c r="L55" i="1" a="1"/>
  <c r="L55" i="1" s="1"/>
  <c r="K55" i="1"/>
  <c r="J55" i="1" a="1"/>
  <c r="J55" i="1" s="1"/>
  <c r="H55" i="1" a="1"/>
  <c r="H55" i="1" s="1"/>
  <c r="AB55" i="1" s="1"/>
  <c r="G55" i="1" a="1"/>
  <c r="G55" i="1" s="1"/>
  <c r="A55" i="1"/>
  <c r="AD54" i="1"/>
  <c r="W54" i="1"/>
  <c r="Y54" i="1" s="1"/>
  <c r="V54" i="1" a="1"/>
  <c r="V54" i="1" s="1"/>
  <c r="X54" i="1" s="1"/>
  <c r="U54" i="1"/>
  <c r="T54" i="1" a="1"/>
  <c r="T54" i="1" s="1"/>
  <c r="S54" i="1"/>
  <c r="R54" i="1" a="1"/>
  <c r="R54" i="1" s="1"/>
  <c r="Q54" i="1"/>
  <c r="P54" i="1" a="1"/>
  <c r="P54" i="1" s="1"/>
  <c r="O54" i="1"/>
  <c r="N54" i="1" a="1"/>
  <c r="N54" i="1" s="1"/>
  <c r="M54" i="1"/>
  <c r="L54" i="1" a="1"/>
  <c r="L54" i="1" s="1"/>
  <c r="K54" i="1"/>
  <c r="J54" i="1" a="1"/>
  <c r="J54" i="1" s="1"/>
  <c r="H54" i="1" a="1"/>
  <c r="H54" i="1" s="1"/>
  <c r="G54" i="1" a="1"/>
  <c r="G54" i="1" s="1"/>
  <c r="A54" i="1"/>
  <c r="AD53" i="1"/>
  <c r="W53" i="1"/>
  <c r="Y53" i="1" s="1"/>
  <c r="V53" i="1" a="1"/>
  <c r="V53" i="1" s="1"/>
  <c r="X53" i="1" s="1"/>
  <c r="U53" i="1"/>
  <c r="T53" i="1" a="1"/>
  <c r="T53" i="1" s="1"/>
  <c r="S53" i="1"/>
  <c r="R53" i="1" a="1"/>
  <c r="R53" i="1" s="1"/>
  <c r="Q53" i="1"/>
  <c r="P53" i="1" a="1"/>
  <c r="P53" i="1" s="1"/>
  <c r="O53" i="1"/>
  <c r="N53" i="1" a="1"/>
  <c r="N53" i="1" s="1"/>
  <c r="M53" i="1"/>
  <c r="L53" i="1" a="1"/>
  <c r="L53" i="1" s="1"/>
  <c r="K53" i="1"/>
  <c r="J53" i="1" a="1"/>
  <c r="J53" i="1" s="1"/>
  <c r="H53" i="1" a="1"/>
  <c r="H53" i="1" s="1"/>
  <c r="G53" i="1" a="1"/>
  <c r="G53" i="1" s="1"/>
  <c r="A53" i="1"/>
  <c r="AD52" i="1"/>
  <c r="W52" i="1"/>
  <c r="Y52" i="1" s="1"/>
  <c r="V52" i="1" a="1"/>
  <c r="V52" i="1" s="1"/>
  <c r="X52" i="1" s="1"/>
  <c r="AA52" i="1" s="1"/>
  <c r="U52" i="1"/>
  <c r="T52" i="1" a="1"/>
  <c r="T52" i="1" s="1"/>
  <c r="S52" i="1"/>
  <c r="R52" i="1" a="1"/>
  <c r="R52" i="1" s="1"/>
  <c r="Q52" i="1"/>
  <c r="P52" i="1" a="1"/>
  <c r="P52" i="1" s="1"/>
  <c r="O52" i="1"/>
  <c r="N52" i="1" a="1"/>
  <c r="N52" i="1" s="1"/>
  <c r="M52" i="1"/>
  <c r="L52" i="1" a="1"/>
  <c r="L52" i="1" s="1"/>
  <c r="K52" i="1"/>
  <c r="J52" i="1" a="1"/>
  <c r="J52" i="1" s="1"/>
  <c r="H52" i="1" a="1"/>
  <c r="H52" i="1" s="1"/>
  <c r="G52" i="1" a="1"/>
  <c r="G52" i="1" s="1"/>
  <c r="A52" i="1"/>
  <c r="AD51" i="1"/>
  <c r="W51" i="1"/>
  <c r="Y51" i="1" s="1"/>
  <c r="V51" i="1" a="1"/>
  <c r="V51" i="1" s="1"/>
  <c r="X51" i="1" s="1"/>
  <c r="AA51" i="1" s="1"/>
  <c r="U51" i="1"/>
  <c r="T51" i="1" a="1"/>
  <c r="T51" i="1" s="1"/>
  <c r="S51" i="1"/>
  <c r="R51" i="1" a="1"/>
  <c r="R51" i="1" s="1"/>
  <c r="Q51" i="1"/>
  <c r="P51" i="1" a="1"/>
  <c r="P51" i="1" s="1"/>
  <c r="O51" i="1"/>
  <c r="N51" i="1" a="1"/>
  <c r="N51" i="1" s="1"/>
  <c r="M51" i="1"/>
  <c r="L51" i="1" a="1"/>
  <c r="L51" i="1" s="1"/>
  <c r="K51" i="1"/>
  <c r="J51" i="1" a="1"/>
  <c r="J51" i="1" s="1"/>
  <c r="H51" i="1" a="1"/>
  <c r="H51" i="1" s="1"/>
  <c r="AB51" i="1" s="1"/>
  <c r="G51" i="1" a="1"/>
  <c r="G51" i="1" s="1"/>
  <c r="A51" i="1"/>
  <c r="AD50" i="1"/>
  <c r="W50" i="1"/>
  <c r="Y50" i="1" s="1"/>
  <c r="V50" i="1" a="1"/>
  <c r="V50" i="1" s="1"/>
  <c r="X50" i="1" s="1"/>
  <c r="AA50" i="1" s="1"/>
  <c r="U50" i="1"/>
  <c r="T50" i="1" a="1"/>
  <c r="T50" i="1" s="1"/>
  <c r="S50" i="1"/>
  <c r="R50" i="1" a="1"/>
  <c r="R50" i="1" s="1"/>
  <c r="Q50" i="1"/>
  <c r="P50" i="1" a="1"/>
  <c r="P50" i="1" s="1"/>
  <c r="O50" i="1"/>
  <c r="N50" i="1" a="1"/>
  <c r="N50" i="1" s="1"/>
  <c r="M50" i="1"/>
  <c r="L50" i="1" a="1"/>
  <c r="L50" i="1" s="1"/>
  <c r="K50" i="1"/>
  <c r="J50" i="1" a="1"/>
  <c r="J50" i="1" s="1"/>
  <c r="H50" i="1" a="1"/>
  <c r="H50" i="1"/>
  <c r="AB50" i="1" s="1"/>
  <c r="G50" i="1" a="1"/>
  <c r="G50" i="1" s="1"/>
  <c r="A50" i="1"/>
  <c r="AD49" i="1"/>
  <c r="W49" i="1"/>
  <c r="Y49" i="1" s="1"/>
  <c r="V49" i="1" a="1"/>
  <c r="V49" i="1" s="1"/>
  <c r="X49" i="1" s="1"/>
  <c r="AA49" i="1" s="1"/>
  <c r="U49" i="1"/>
  <c r="T49" i="1" a="1"/>
  <c r="T49" i="1" s="1"/>
  <c r="S49" i="1"/>
  <c r="R49" i="1" a="1"/>
  <c r="R49" i="1" s="1"/>
  <c r="Q49" i="1"/>
  <c r="P49" i="1" a="1"/>
  <c r="P49" i="1"/>
  <c r="O49" i="1"/>
  <c r="N49" i="1" a="1"/>
  <c r="N49" i="1" s="1"/>
  <c r="M49" i="1"/>
  <c r="L49" i="1" a="1"/>
  <c r="L49" i="1" s="1"/>
  <c r="K49" i="1"/>
  <c r="J49" i="1" a="1"/>
  <c r="J49" i="1" s="1"/>
  <c r="H49" i="1" a="1"/>
  <c r="H49" i="1" s="1"/>
  <c r="G49" i="1" a="1"/>
  <c r="G49" i="1" s="1"/>
  <c r="A49" i="1"/>
  <c r="AD48" i="1"/>
  <c r="W48" i="1"/>
  <c r="Y48" i="1" s="1"/>
  <c r="V48" i="1" a="1"/>
  <c r="V48" i="1" s="1"/>
  <c r="X48" i="1" s="1"/>
  <c r="AA48" i="1" s="1"/>
  <c r="U48" i="1"/>
  <c r="T48" i="1" a="1"/>
  <c r="T48" i="1" s="1"/>
  <c r="S48" i="1"/>
  <c r="R48" i="1" a="1"/>
  <c r="R48" i="1" s="1"/>
  <c r="Q48" i="1"/>
  <c r="P48" i="1" a="1"/>
  <c r="P48" i="1" s="1"/>
  <c r="O48" i="1"/>
  <c r="N48" i="1" a="1"/>
  <c r="N48" i="1" s="1"/>
  <c r="M48" i="1"/>
  <c r="L48" i="1" a="1"/>
  <c r="L48" i="1" s="1"/>
  <c r="K48" i="1"/>
  <c r="J48" i="1" a="1"/>
  <c r="J48" i="1" s="1"/>
  <c r="H48" i="1" a="1"/>
  <c r="H48" i="1" s="1"/>
  <c r="G48" i="1" a="1"/>
  <c r="G48" i="1" s="1"/>
  <c r="A48" i="1"/>
  <c r="AD47" i="1"/>
  <c r="W47" i="1"/>
  <c r="Y47" i="1" s="1"/>
  <c r="V47" i="1" a="1"/>
  <c r="V47" i="1" s="1"/>
  <c r="X47" i="1" s="1"/>
  <c r="AA47" i="1" s="1"/>
  <c r="U47" i="1"/>
  <c r="T47" i="1" a="1"/>
  <c r="T47" i="1" s="1"/>
  <c r="S47" i="1"/>
  <c r="R47" i="1" a="1"/>
  <c r="R47" i="1" s="1"/>
  <c r="Q47" i="1"/>
  <c r="P47" i="1" a="1"/>
  <c r="P47" i="1" s="1"/>
  <c r="O47" i="1"/>
  <c r="N47" i="1" a="1"/>
  <c r="N47" i="1" s="1"/>
  <c r="M47" i="1"/>
  <c r="L47" i="1" a="1"/>
  <c r="L47" i="1" s="1"/>
  <c r="K47" i="1"/>
  <c r="J47" i="1" a="1"/>
  <c r="J47" i="1" s="1"/>
  <c r="H47" i="1" a="1"/>
  <c r="H47" i="1" s="1"/>
  <c r="G47" i="1" a="1"/>
  <c r="G47" i="1" s="1"/>
  <c r="A47" i="1"/>
  <c r="AD46" i="1"/>
  <c r="W46" i="1"/>
  <c r="Y46" i="1" s="1"/>
  <c r="V46" i="1" a="1"/>
  <c r="V46" i="1" s="1"/>
  <c r="X46" i="1" s="1"/>
  <c r="AA46" i="1" s="1"/>
  <c r="U46" i="1"/>
  <c r="T46" i="1" a="1"/>
  <c r="T46" i="1" s="1"/>
  <c r="S46" i="1"/>
  <c r="R46" i="1" a="1"/>
  <c r="R46" i="1" s="1"/>
  <c r="Q46" i="1"/>
  <c r="P46" i="1" a="1"/>
  <c r="P46" i="1" s="1"/>
  <c r="O46" i="1"/>
  <c r="N46" i="1" a="1"/>
  <c r="N46" i="1" s="1"/>
  <c r="M46" i="1"/>
  <c r="L46" i="1" a="1"/>
  <c r="L46" i="1" s="1"/>
  <c r="K46" i="1"/>
  <c r="J46" i="1" a="1"/>
  <c r="J46" i="1" s="1"/>
  <c r="H46" i="1" a="1"/>
  <c r="H46" i="1" s="1"/>
  <c r="AB46" i="1" s="1"/>
  <c r="G46" i="1" a="1"/>
  <c r="G46" i="1" s="1"/>
  <c r="A46" i="1"/>
  <c r="AD45" i="1"/>
  <c r="W45" i="1"/>
  <c r="Y45" i="1" s="1"/>
  <c r="V45" i="1" a="1"/>
  <c r="V45" i="1" s="1"/>
  <c r="X45" i="1" s="1"/>
  <c r="U45" i="1"/>
  <c r="T45" i="1" a="1"/>
  <c r="T45" i="1" s="1"/>
  <c r="S45" i="1"/>
  <c r="R45" i="1" a="1"/>
  <c r="R45" i="1" s="1"/>
  <c r="Q45" i="1"/>
  <c r="P45" i="1" a="1"/>
  <c r="P45" i="1" s="1"/>
  <c r="O45" i="1"/>
  <c r="N45" i="1" a="1"/>
  <c r="N45" i="1" s="1"/>
  <c r="M45" i="1"/>
  <c r="L45" i="1" a="1"/>
  <c r="L45" i="1" s="1"/>
  <c r="K45" i="1"/>
  <c r="J45" i="1" a="1"/>
  <c r="J45" i="1" s="1"/>
  <c r="H45" i="1" a="1"/>
  <c r="H45" i="1" s="1"/>
  <c r="AB45" i="1" s="1"/>
  <c r="G45" i="1" a="1"/>
  <c r="G45" i="1" s="1"/>
  <c r="A45" i="1"/>
  <c r="AD44" i="1"/>
  <c r="W44" i="1"/>
  <c r="Y44" i="1" s="1"/>
  <c r="V44" i="1" a="1"/>
  <c r="V44" i="1" s="1"/>
  <c r="X44" i="1" s="1"/>
  <c r="AA44" i="1" s="1"/>
  <c r="U44" i="1"/>
  <c r="T44" i="1" a="1"/>
  <c r="T44" i="1" s="1"/>
  <c r="S44" i="1"/>
  <c r="R44" i="1" a="1"/>
  <c r="R44" i="1" s="1"/>
  <c r="Q44" i="1"/>
  <c r="P44" i="1" a="1"/>
  <c r="P44" i="1" s="1"/>
  <c r="O44" i="1"/>
  <c r="N44" i="1" a="1"/>
  <c r="N44" i="1" s="1"/>
  <c r="M44" i="1"/>
  <c r="L44" i="1" a="1"/>
  <c r="L44" i="1" s="1"/>
  <c r="K44" i="1"/>
  <c r="J44" i="1" a="1"/>
  <c r="J44" i="1" s="1"/>
  <c r="H44" i="1" a="1"/>
  <c r="H44" i="1" s="1"/>
  <c r="AB44" i="1" s="1"/>
  <c r="G44" i="1" a="1"/>
  <c r="G44" i="1" s="1"/>
  <c r="A44" i="1"/>
  <c r="AD43" i="1"/>
  <c r="W43" i="1"/>
  <c r="Y43" i="1" s="1"/>
  <c r="V43" i="1" a="1"/>
  <c r="V43" i="1"/>
  <c r="X43" i="1" s="1"/>
  <c r="AA43" i="1" s="1"/>
  <c r="U43" i="1"/>
  <c r="T43" i="1" a="1"/>
  <c r="T43" i="1" s="1"/>
  <c r="S43" i="1"/>
  <c r="R43" i="1" a="1"/>
  <c r="R43" i="1" s="1"/>
  <c r="Q43" i="1"/>
  <c r="P43" i="1" a="1"/>
  <c r="P43" i="1" s="1"/>
  <c r="O43" i="1"/>
  <c r="N43" i="1" a="1"/>
  <c r="N43" i="1" s="1"/>
  <c r="M43" i="1"/>
  <c r="L43" i="1" a="1"/>
  <c r="L43" i="1" s="1"/>
  <c r="K43" i="1"/>
  <c r="J43" i="1" a="1"/>
  <c r="J43" i="1" s="1"/>
  <c r="H43" i="1" a="1"/>
  <c r="H43" i="1" s="1"/>
  <c r="AB43" i="1" s="1"/>
  <c r="G43" i="1" a="1"/>
  <c r="G43" i="1" s="1"/>
  <c r="A43" i="1"/>
  <c r="AD42" i="1"/>
  <c r="W42" i="1"/>
  <c r="Y42" i="1" s="1"/>
  <c r="V42" i="1" a="1"/>
  <c r="V42" i="1" s="1"/>
  <c r="X42" i="1" s="1"/>
  <c r="U42" i="1"/>
  <c r="T42" i="1" a="1"/>
  <c r="T42" i="1" s="1"/>
  <c r="S42" i="1"/>
  <c r="R42" i="1" a="1"/>
  <c r="R42" i="1"/>
  <c r="Q42" i="1"/>
  <c r="P42" i="1" a="1"/>
  <c r="P42" i="1" s="1"/>
  <c r="O42" i="1"/>
  <c r="N42" i="1" a="1"/>
  <c r="N42" i="1" s="1"/>
  <c r="M42" i="1"/>
  <c r="L42" i="1" a="1"/>
  <c r="L42" i="1" s="1"/>
  <c r="K42" i="1"/>
  <c r="J42" i="1" a="1"/>
  <c r="J42" i="1" s="1"/>
  <c r="H42" i="1" a="1"/>
  <c r="H42" i="1" s="1"/>
  <c r="G42" i="1" a="1"/>
  <c r="G42" i="1" s="1"/>
  <c r="A42" i="1"/>
  <c r="AD41" i="1"/>
  <c r="W41" i="1"/>
  <c r="Y41" i="1" s="1"/>
  <c r="V41" i="1" a="1"/>
  <c r="V41" i="1" s="1"/>
  <c r="X41" i="1" s="1"/>
  <c r="AA41" i="1" s="1"/>
  <c r="U41" i="1"/>
  <c r="T41" i="1" a="1"/>
  <c r="T41" i="1"/>
  <c r="S41" i="1"/>
  <c r="R41" i="1" a="1"/>
  <c r="R41" i="1" s="1"/>
  <c r="Q41" i="1"/>
  <c r="P41" i="1" a="1"/>
  <c r="P41" i="1" s="1"/>
  <c r="O41" i="1"/>
  <c r="N41" i="1" a="1"/>
  <c r="N41" i="1" s="1"/>
  <c r="M41" i="1"/>
  <c r="L41" i="1" a="1"/>
  <c r="L41" i="1" s="1"/>
  <c r="K41" i="1"/>
  <c r="J41" i="1" a="1"/>
  <c r="J41" i="1" s="1"/>
  <c r="H41" i="1" a="1"/>
  <c r="H41" i="1" s="1"/>
  <c r="G41" i="1" a="1"/>
  <c r="G41" i="1" s="1"/>
  <c r="A41" i="1"/>
  <c r="AD40" i="1"/>
  <c r="W40" i="1"/>
  <c r="Y40" i="1" s="1"/>
  <c r="V40" i="1" a="1"/>
  <c r="V40" i="1" s="1"/>
  <c r="X40" i="1" s="1"/>
  <c r="AA40" i="1" s="1"/>
  <c r="U40" i="1"/>
  <c r="T40" i="1" a="1"/>
  <c r="T40" i="1" s="1"/>
  <c r="S40" i="1"/>
  <c r="R40" i="1" a="1"/>
  <c r="R40" i="1" s="1"/>
  <c r="Q40" i="1"/>
  <c r="P40" i="1" a="1"/>
  <c r="P40" i="1" s="1"/>
  <c r="O40" i="1"/>
  <c r="N40" i="1" a="1"/>
  <c r="N40" i="1" s="1"/>
  <c r="M40" i="1"/>
  <c r="L40" i="1" a="1"/>
  <c r="L40" i="1" s="1"/>
  <c r="K40" i="1"/>
  <c r="J40" i="1" a="1"/>
  <c r="J40" i="1" s="1"/>
  <c r="H40" i="1" a="1"/>
  <c r="H40" i="1" s="1"/>
  <c r="AB40" i="1" s="1"/>
  <c r="G40" i="1" a="1"/>
  <c r="G40" i="1" s="1"/>
  <c r="A40" i="1"/>
  <c r="AD39" i="1"/>
  <c r="W39" i="1"/>
  <c r="Y39" i="1" s="1"/>
  <c r="V39" i="1" a="1"/>
  <c r="V39" i="1" s="1"/>
  <c r="X39" i="1" s="1"/>
  <c r="AA39" i="1" s="1"/>
  <c r="U39" i="1"/>
  <c r="T39" i="1" a="1"/>
  <c r="T39" i="1" s="1"/>
  <c r="S39" i="1"/>
  <c r="R39" i="1" a="1"/>
  <c r="R39" i="1" s="1"/>
  <c r="Q39" i="1"/>
  <c r="P39" i="1" a="1"/>
  <c r="P39" i="1" s="1"/>
  <c r="O39" i="1"/>
  <c r="N39" i="1" a="1"/>
  <c r="N39" i="1"/>
  <c r="M39" i="1"/>
  <c r="L39" i="1" a="1"/>
  <c r="L39" i="1" s="1"/>
  <c r="K39" i="1"/>
  <c r="J39" i="1" a="1"/>
  <c r="J39" i="1" s="1"/>
  <c r="H39" i="1" a="1"/>
  <c r="H39" i="1" s="1"/>
  <c r="G39" i="1" a="1"/>
  <c r="G39" i="1" s="1"/>
  <c r="A39" i="1"/>
  <c r="AD38" i="1"/>
  <c r="W38" i="1"/>
  <c r="Y38" i="1" s="1"/>
  <c r="V38" i="1" a="1"/>
  <c r="V38" i="1" s="1"/>
  <c r="X38" i="1" s="1"/>
  <c r="AA38" i="1" s="1"/>
  <c r="U38" i="1"/>
  <c r="T38" i="1" a="1"/>
  <c r="T38" i="1" s="1"/>
  <c r="S38" i="1"/>
  <c r="R38" i="1" a="1"/>
  <c r="R38" i="1" s="1"/>
  <c r="Q38" i="1"/>
  <c r="P38" i="1" a="1"/>
  <c r="P38" i="1" s="1"/>
  <c r="O38" i="1"/>
  <c r="N38" i="1" a="1"/>
  <c r="N38" i="1"/>
  <c r="M38" i="1"/>
  <c r="L38" i="1" a="1"/>
  <c r="L38" i="1" s="1"/>
  <c r="K38" i="1"/>
  <c r="J38" i="1" a="1"/>
  <c r="J38" i="1" s="1"/>
  <c r="H38" i="1" a="1"/>
  <c r="H38" i="1" s="1"/>
  <c r="AB38" i="1" s="1"/>
  <c r="G38" i="1" a="1"/>
  <c r="G38" i="1"/>
  <c r="A38" i="1"/>
  <c r="AD37" i="1"/>
  <c r="W37" i="1"/>
  <c r="Y37" i="1" s="1"/>
  <c r="V37" i="1" a="1"/>
  <c r="V37" i="1" s="1"/>
  <c r="X37" i="1" s="1"/>
  <c r="AA37" i="1" s="1"/>
  <c r="U37" i="1"/>
  <c r="T37" i="1" a="1"/>
  <c r="T37" i="1"/>
  <c r="S37" i="1"/>
  <c r="R37" i="1" a="1"/>
  <c r="R37" i="1" s="1"/>
  <c r="Q37" i="1"/>
  <c r="P37" i="1" a="1"/>
  <c r="P37" i="1" s="1"/>
  <c r="O37" i="1"/>
  <c r="N37" i="1" a="1"/>
  <c r="N37" i="1" s="1"/>
  <c r="M37" i="1"/>
  <c r="L37" i="1" a="1"/>
  <c r="L37" i="1" s="1"/>
  <c r="K37" i="1"/>
  <c r="J37" i="1" a="1"/>
  <c r="J37" i="1" s="1"/>
  <c r="H37" i="1" a="1"/>
  <c r="H37" i="1" s="1"/>
  <c r="G37" i="1" a="1"/>
  <c r="G37" i="1" s="1"/>
  <c r="A37" i="1"/>
  <c r="AD36" i="1"/>
  <c r="W36" i="1"/>
  <c r="Y36" i="1" s="1"/>
  <c r="V36" i="1" a="1"/>
  <c r="V36" i="1" s="1"/>
  <c r="X36" i="1" s="1"/>
  <c r="AA36" i="1" s="1"/>
  <c r="U36" i="1"/>
  <c r="T36" i="1" a="1"/>
  <c r="T36" i="1" s="1"/>
  <c r="S36" i="1"/>
  <c r="R36" i="1" a="1"/>
  <c r="R36" i="1"/>
  <c r="Q36" i="1"/>
  <c r="P36" i="1" a="1"/>
  <c r="P36" i="1" s="1"/>
  <c r="O36" i="1"/>
  <c r="N36" i="1" a="1"/>
  <c r="N36" i="1" s="1"/>
  <c r="M36" i="1"/>
  <c r="L36" i="1" a="1"/>
  <c r="L36" i="1" s="1"/>
  <c r="K36" i="1"/>
  <c r="J36" i="1" a="1"/>
  <c r="J36" i="1" s="1"/>
  <c r="H36" i="1" a="1"/>
  <c r="H36" i="1" s="1"/>
  <c r="G36" i="1" a="1"/>
  <c r="G36" i="1" s="1"/>
  <c r="A36" i="1"/>
  <c r="AD35" i="1"/>
  <c r="W35" i="1"/>
  <c r="Y35" i="1" s="1"/>
  <c r="V35" i="1" a="1"/>
  <c r="V35" i="1" s="1"/>
  <c r="X35" i="1" s="1"/>
  <c r="U35" i="1"/>
  <c r="T35" i="1" a="1"/>
  <c r="T35" i="1" s="1"/>
  <c r="S35" i="1"/>
  <c r="R35" i="1" a="1"/>
  <c r="R35" i="1" s="1"/>
  <c r="Q35" i="1"/>
  <c r="P35" i="1" a="1"/>
  <c r="P35" i="1" s="1"/>
  <c r="O35" i="1"/>
  <c r="N35" i="1" a="1"/>
  <c r="N35" i="1"/>
  <c r="M35" i="1"/>
  <c r="L35" i="1" a="1"/>
  <c r="L35" i="1" s="1"/>
  <c r="K35" i="1"/>
  <c r="J35" i="1" a="1"/>
  <c r="J35" i="1" s="1"/>
  <c r="H35" i="1" a="1"/>
  <c r="H35" i="1" s="1"/>
  <c r="G35" i="1" a="1"/>
  <c r="G35" i="1" s="1"/>
  <c r="A35" i="1"/>
  <c r="AD34" i="1"/>
  <c r="W34" i="1"/>
  <c r="Y34" i="1" s="1"/>
  <c r="V34" i="1" a="1"/>
  <c r="V34" i="1" s="1"/>
  <c r="X34" i="1" s="1"/>
  <c r="AA34" i="1" s="1"/>
  <c r="U34" i="1"/>
  <c r="T34" i="1" a="1"/>
  <c r="T34" i="1" s="1"/>
  <c r="S34" i="1"/>
  <c r="R34" i="1" a="1"/>
  <c r="R34" i="1" s="1"/>
  <c r="Q34" i="1"/>
  <c r="P34" i="1" a="1"/>
  <c r="P34" i="1" s="1"/>
  <c r="O34" i="1"/>
  <c r="N34" i="1" a="1"/>
  <c r="N34" i="1" s="1"/>
  <c r="M34" i="1"/>
  <c r="L34" i="1" a="1"/>
  <c r="L34" i="1" s="1"/>
  <c r="K34" i="1"/>
  <c r="J34" i="1" a="1"/>
  <c r="J34" i="1" s="1"/>
  <c r="H34" i="1" a="1"/>
  <c r="H34" i="1" s="1"/>
  <c r="G34" i="1" a="1"/>
  <c r="G34" i="1" s="1"/>
  <c r="A34" i="1"/>
  <c r="AD33" i="1"/>
  <c r="W33" i="1"/>
  <c r="Y33" i="1" s="1"/>
  <c r="V33" i="1" a="1"/>
  <c r="V33" i="1" s="1"/>
  <c r="X33" i="1" s="1"/>
  <c r="AA33" i="1" s="1"/>
  <c r="U33" i="1"/>
  <c r="T33" i="1" a="1"/>
  <c r="T33" i="1" s="1"/>
  <c r="S33" i="1"/>
  <c r="R33" i="1" a="1"/>
  <c r="R33" i="1" s="1"/>
  <c r="Q33" i="1"/>
  <c r="P33" i="1" a="1"/>
  <c r="P33" i="1" s="1"/>
  <c r="O33" i="1"/>
  <c r="N33" i="1" a="1"/>
  <c r="N33" i="1" s="1"/>
  <c r="M33" i="1"/>
  <c r="L33" i="1" a="1"/>
  <c r="L33" i="1"/>
  <c r="K33" i="1"/>
  <c r="J33" i="1" a="1"/>
  <c r="J33" i="1" s="1"/>
  <c r="H33" i="1" a="1"/>
  <c r="H33" i="1" s="1"/>
  <c r="G33" i="1" a="1"/>
  <c r="G33" i="1" s="1"/>
  <c r="A33" i="1"/>
  <c r="AD32" i="1"/>
  <c r="W32" i="1"/>
  <c r="Y32" i="1" s="1"/>
  <c r="V32" i="1" a="1"/>
  <c r="V32" i="1" s="1"/>
  <c r="X32" i="1" s="1"/>
  <c r="AA32" i="1" s="1"/>
  <c r="U32" i="1"/>
  <c r="T32" i="1" a="1"/>
  <c r="T32" i="1" s="1"/>
  <c r="S32" i="1"/>
  <c r="R32" i="1" a="1"/>
  <c r="R32" i="1" s="1"/>
  <c r="Q32" i="1"/>
  <c r="P32" i="1" a="1"/>
  <c r="P32" i="1" s="1"/>
  <c r="O32" i="1"/>
  <c r="N32" i="1" a="1"/>
  <c r="N32" i="1" s="1"/>
  <c r="M32" i="1"/>
  <c r="L32" i="1" a="1"/>
  <c r="L32" i="1" s="1"/>
  <c r="K32" i="1"/>
  <c r="J32" i="1" a="1"/>
  <c r="J32" i="1" s="1"/>
  <c r="H32" i="1" a="1"/>
  <c r="H32" i="1" s="1"/>
  <c r="AB32" i="1" s="1"/>
  <c r="G32" i="1" a="1"/>
  <c r="G32" i="1" s="1"/>
  <c r="I32" i="1" s="1"/>
  <c r="A32" i="1"/>
  <c r="AD31" i="1"/>
  <c r="W31" i="1"/>
  <c r="Y31" i="1" s="1"/>
  <c r="V31" i="1" a="1"/>
  <c r="V31" i="1" s="1"/>
  <c r="X31" i="1" s="1"/>
  <c r="AA31" i="1" s="1"/>
  <c r="U31" i="1"/>
  <c r="T31" i="1" a="1"/>
  <c r="T31" i="1" s="1"/>
  <c r="S31" i="1"/>
  <c r="R31" i="1" a="1"/>
  <c r="R31" i="1" s="1"/>
  <c r="Q31" i="1"/>
  <c r="P31" i="1" a="1"/>
  <c r="P31" i="1" s="1"/>
  <c r="O31" i="1"/>
  <c r="N31" i="1" a="1"/>
  <c r="N31" i="1" s="1"/>
  <c r="M31" i="1"/>
  <c r="L31" i="1" a="1"/>
  <c r="L31" i="1" s="1"/>
  <c r="K31" i="1"/>
  <c r="J31" i="1" a="1"/>
  <c r="J31" i="1" s="1"/>
  <c r="H31" i="1" a="1"/>
  <c r="H31" i="1" s="1"/>
  <c r="AB31" i="1" s="1"/>
  <c r="G31" i="1" a="1"/>
  <c r="G31" i="1"/>
  <c r="A31" i="1"/>
  <c r="AD30" i="1"/>
  <c r="W30" i="1"/>
  <c r="Y30" i="1" s="1"/>
  <c r="V30" i="1" a="1"/>
  <c r="V30" i="1" s="1"/>
  <c r="X30" i="1" s="1"/>
  <c r="AA30" i="1" s="1"/>
  <c r="U30" i="1"/>
  <c r="T30" i="1" a="1"/>
  <c r="T30" i="1" s="1"/>
  <c r="S30" i="1"/>
  <c r="R30" i="1" a="1"/>
  <c r="R30" i="1" s="1"/>
  <c r="Q30" i="1"/>
  <c r="P30" i="1" a="1"/>
  <c r="P30" i="1" s="1"/>
  <c r="O30" i="1"/>
  <c r="N30" i="1" a="1"/>
  <c r="N30" i="1" s="1"/>
  <c r="M30" i="1"/>
  <c r="L30" i="1" a="1"/>
  <c r="L30" i="1" s="1"/>
  <c r="K30" i="1"/>
  <c r="J30" i="1" a="1"/>
  <c r="J30" i="1" s="1"/>
  <c r="H30" i="1" a="1"/>
  <c r="H30" i="1" s="1"/>
  <c r="G30" i="1" a="1"/>
  <c r="G30" i="1" s="1"/>
  <c r="A30" i="1"/>
  <c r="AD29" i="1"/>
  <c r="W29" i="1"/>
  <c r="Y29" i="1" s="1"/>
  <c r="V29" i="1" a="1"/>
  <c r="V29" i="1" s="1"/>
  <c r="X29" i="1" s="1"/>
  <c r="AA29" i="1" s="1"/>
  <c r="U29" i="1"/>
  <c r="T29" i="1" a="1"/>
  <c r="T29" i="1" s="1"/>
  <c r="S29" i="1"/>
  <c r="R29" i="1" a="1"/>
  <c r="R29" i="1" s="1"/>
  <c r="Q29" i="1"/>
  <c r="P29" i="1" a="1"/>
  <c r="P29" i="1" s="1"/>
  <c r="O29" i="1"/>
  <c r="N29" i="1" a="1"/>
  <c r="N29" i="1" s="1"/>
  <c r="M29" i="1"/>
  <c r="L29" i="1" a="1"/>
  <c r="L29" i="1" s="1"/>
  <c r="K29" i="1"/>
  <c r="J29" i="1" a="1"/>
  <c r="J29" i="1" s="1"/>
  <c r="H29" i="1" a="1"/>
  <c r="H29" i="1" s="1"/>
  <c r="AB29" i="1" s="1"/>
  <c r="G29" i="1" a="1"/>
  <c r="G29" i="1" s="1"/>
  <c r="A29" i="1"/>
  <c r="AD28" i="1"/>
  <c r="W28" i="1"/>
  <c r="Y28" i="1" s="1"/>
  <c r="V28" i="1" a="1"/>
  <c r="V28" i="1" s="1"/>
  <c r="X28" i="1" s="1"/>
  <c r="AA28" i="1" s="1"/>
  <c r="U28" i="1"/>
  <c r="T28" i="1" a="1"/>
  <c r="T28" i="1" s="1"/>
  <c r="S28" i="1"/>
  <c r="R28" i="1" a="1"/>
  <c r="R28" i="1" s="1"/>
  <c r="Q28" i="1"/>
  <c r="P28" i="1" a="1"/>
  <c r="P28" i="1" s="1"/>
  <c r="O28" i="1"/>
  <c r="N28" i="1" a="1"/>
  <c r="N28" i="1" s="1"/>
  <c r="M28" i="1"/>
  <c r="L28" i="1" a="1"/>
  <c r="L28" i="1" s="1"/>
  <c r="K28" i="1"/>
  <c r="J28" i="1" a="1"/>
  <c r="J28" i="1" s="1"/>
  <c r="H28" i="1" a="1"/>
  <c r="H28" i="1" s="1"/>
  <c r="G28" i="1" a="1"/>
  <c r="G28" i="1" s="1"/>
  <c r="A28" i="1"/>
  <c r="AD27" i="1"/>
  <c r="W27" i="1"/>
  <c r="Y27" i="1" s="1"/>
  <c r="V27" i="1" a="1"/>
  <c r="V27" i="1" s="1"/>
  <c r="X27" i="1" s="1"/>
  <c r="AA27" i="1" s="1"/>
  <c r="U27" i="1"/>
  <c r="T27" i="1" a="1"/>
  <c r="T27" i="1" s="1"/>
  <c r="S27" i="1"/>
  <c r="R27" i="1" a="1"/>
  <c r="R27" i="1"/>
  <c r="Q27" i="1"/>
  <c r="P27" i="1" a="1"/>
  <c r="P27" i="1" s="1"/>
  <c r="O27" i="1"/>
  <c r="N27" i="1" a="1"/>
  <c r="N27" i="1" s="1"/>
  <c r="M27" i="1"/>
  <c r="L27" i="1" a="1"/>
  <c r="L27" i="1"/>
  <c r="K27" i="1"/>
  <c r="J27" i="1" a="1"/>
  <c r="J27" i="1" s="1"/>
  <c r="H27" i="1" a="1"/>
  <c r="H27" i="1" s="1"/>
  <c r="AB27" i="1" s="1"/>
  <c r="G27" i="1" a="1"/>
  <c r="G27" i="1" s="1"/>
  <c r="A27" i="1"/>
  <c r="AD26" i="1"/>
  <c r="W26" i="1"/>
  <c r="Y26" i="1" s="1"/>
  <c r="V26" i="1" a="1"/>
  <c r="V26" i="1" s="1"/>
  <c r="X26" i="1" s="1"/>
  <c r="AA26" i="1" s="1"/>
  <c r="U26" i="1"/>
  <c r="T26" i="1" a="1"/>
  <c r="T26" i="1" s="1"/>
  <c r="S26" i="1"/>
  <c r="R26" i="1" a="1"/>
  <c r="R26" i="1" s="1"/>
  <c r="Q26" i="1"/>
  <c r="P26" i="1" a="1"/>
  <c r="P26" i="1" s="1"/>
  <c r="O26" i="1"/>
  <c r="N26" i="1" a="1"/>
  <c r="N26" i="1" s="1"/>
  <c r="M26" i="1"/>
  <c r="L26" i="1" a="1"/>
  <c r="L26" i="1"/>
  <c r="K26" i="1"/>
  <c r="J26" i="1" a="1"/>
  <c r="J26" i="1" s="1"/>
  <c r="H26" i="1" a="1"/>
  <c r="H26" i="1" s="1"/>
  <c r="G26" i="1" a="1"/>
  <c r="G26" i="1" s="1"/>
  <c r="A26" i="1"/>
  <c r="AD25" i="1"/>
  <c r="W25" i="1"/>
  <c r="Y25" i="1" s="1"/>
  <c r="V25" i="1" a="1"/>
  <c r="V25" i="1" s="1"/>
  <c r="X25" i="1" s="1"/>
  <c r="AA25" i="1" s="1"/>
  <c r="U25" i="1"/>
  <c r="T25" i="1" a="1"/>
  <c r="T25" i="1" s="1"/>
  <c r="S25" i="1"/>
  <c r="R25" i="1" a="1"/>
  <c r="R25" i="1" s="1"/>
  <c r="Q25" i="1"/>
  <c r="P25" i="1" a="1"/>
  <c r="P25" i="1" s="1"/>
  <c r="O25" i="1"/>
  <c r="N25" i="1" a="1"/>
  <c r="N25" i="1" s="1"/>
  <c r="M25" i="1"/>
  <c r="L25" i="1" a="1"/>
  <c r="L25" i="1" s="1"/>
  <c r="K25" i="1"/>
  <c r="J25" i="1" a="1"/>
  <c r="J25" i="1" s="1"/>
  <c r="H25" i="1" a="1"/>
  <c r="H25" i="1" s="1"/>
  <c r="AB25" i="1" s="1"/>
  <c r="G25" i="1" a="1"/>
  <c r="G25" i="1" s="1"/>
  <c r="A25" i="1"/>
  <c r="AD24" i="1"/>
  <c r="W24" i="1"/>
  <c r="Y24" i="1" s="1"/>
  <c r="V24" i="1" a="1"/>
  <c r="V24" i="1" s="1"/>
  <c r="X24" i="1" s="1"/>
  <c r="AA24" i="1" s="1"/>
  <c r="U24" i="1"/>
  <c r="T24" i="1" a="1"/>
  <c r="T24" i="1" s="1"/>
  <c r="S24" i="1"/>
  <c r="R24" i="1" a="1"/>
  <c r="R24" i="1" s="1"/>
  <c r="Q24" i="1"/>
  <c r="P24" i="1" a="1"/>
  <c r="P24" i="1" s="1"/>
  <c r="O24" i="1"/>
  <c r="N24" i="1" a="1"/>
  <c r="N24" i="1" s="1"/>
  <c r="M24" i="1"/>
  <c r="L24" i="1" a="1"/>
  <c r="L24" i="1" s="1"/>
  <c r="K24" i="1"/>
  <c r="J24" i="1" a="1"/>
  <c r="J24" i="1" s="1"/>
  <c r="H24" i="1" a="1"/>
  <c r="H24" i="1"/>
  <c r="G24" i="1" a="1"/>
  <c r="G24" i="1" s="1"/>
  <c r="A24" i="1"/>
  <c r="AD23" i="1"/>
  <c r="W23" i="1"/>
  <c r="Y23" i="1" s="1"/>
  <c r="V23" i="1" a="1"/>
  <c r="V23" i="1" s="1"/>
  <c r="X23" i="1" s="1"/>
  <c r="U23" i="1"/>
  <c r="T23" i="1" a="1"/>
  <c r="T23" i="1" s="1"/>
  <c r="S23" i="1"/>
  <c r="R23" i="1" a="1"/>
  <c r="R23" i="1" s="1"/>
  <c r="Q23" i="1"/>
  <c r="P23" i="1" a="1"/>
  <c r="P23" i="1" s="1"/>
  <c r="O23" i="1"/>
  <c r="N23" i="1" a="1"/>
  <c r="N23" i="1" s="1"/>
  <c r="M23" i="1"/>
  <c r="L23" i="1" a="1"/>
  <c r="L23" i="1" s="1"/>
  <c r="K23" i="1"/>
  <c r="J23" i="1" a="1"/>
  <c r="J23" i="1" s="1"/>
  <c r="H23" i="1" a="1"/>
  <c r="H23" i="1" s="1"/>
  <c r="G23" i="1" a="1"/>
  <c r="G23" i="1" s="1"/>
  <c r="A23" i="1"/>
  <c r="AD22" i="1"/>
  <c r="W22" i="1"/>
  <c r="Y22" i="1" s="1"/>
  <c r="V22" i="1" a="1"/>
  <c r="V22" i="1"/>
  <c r="X22" i="1" s="1"/>
  <c r="AA22" i="1" s="1"/>
  <c r="U22" i="1"/>
  <c r="T22" i="1" a="1"/>
  <c r="T22" i="1" s="1"/>
  <c r="S22" i="1"/>
  <c r="R22" i="1" a="1"/>
  <c r="R22" i="1" s="1"/>
  <c r="Q22" i="1"/>
  <c r="P22" i="1" a="1"/>
  <c r="P22" i="1" s="1"/>
  <c r="O22" i="1"/>
  <c r="N22" i="1" a="1"/>
  <c r="N22" i="1" s="1"/>
  <c r="M22" i="1"/>
  <c r="L22" i="1" a="1"/>
  <c r="L22" i="1" s="1"/>
  <c r="K22" i="1"/>
  <c r="J22" i="1" a="1"/>
  <c r="J22" i="1"/>
  <c r="H22" i="1" a="1"/>
  <c r="H22" i="1" s="1"/>
  <c r="AB22" i="1" s="1"/>
  <c r="G22" i="1" a="1"/>
  <c r="G22" i="1" s="1"/>
  <c r="A22" i="1"/>
  <c r="AD21" i="1"/>
  <c r="W21" i="1"/>
  <c r="Y21" i="1" s="1"/>
  <c r="V21" i="1" a="1"/>
  <c r="V21" i="1" s="1"/>
  <c r="X21" i="1" s="1"/>
  <c r="AA21" i="1" s="1"/>
  <c r="U21" i="1"/>
  <c r="T21" i="1" a="1"/>
  <c r="T21" i="1" s="1"/>
  <c r="S21" i="1"/>
  <c r="R21" i="1" a="1"/>
  <c r="R21" i="1" s="1"/>
  <c r="Q21" i="1"/>
  <c r="P21" i="1" a="1"/>
  <c r="P21" i="1" s="1"/>
  <c r="O21" i="1"/>
  <c r="N21" i="1" a="1"/>
  <c r="N21" i="1" s="1"/>
  <c r="M21" i="1"/>
  <c r="L21" i="1" a="1"/>
  <c r="L21" i="1" s="1"/>
  <c r="K21" i="1"/>
  <c r="J21" i="1" a="1"/>
  <c r="J21" i="1" s="1"/>
  <c r="H21" i="1" a="1"/>
  <c r="H21" i="1" s="1"/>
  <c r="G21" i="1" a="1"/>
  <c r="G21" i="1" s="1"/>
  <c r="A21" i="1"/>
  <c r="AD20" i="1"/>
  <c r="W20" i="1"/>
  <c r="Y20" i="1" s="1"/>
  <c r="V20" i="1" a="1"/>
  <c r="V20" i="1"/>
  <c r="X20" i="1" s="1"/>
  <c r="AA20" i="1" s="1"/>
  <c r="U20" i="1"/>
  <c r="T20" i="1" a="1"/>
  <c r="T20" i="1" s="1"/>
  <c r="S20" i="1"/>
  <c r="R20" i="1" a="1"/>
  <c r="R20" i="1" s="1"/>
  <c r="Q20" i="1"/>
  <c r="P20" i="1" a="1"/>
  <c r="P20" i="1" s="1"/>
  <c r="O20" i="1"/>
  <c r="N20" i="1" a="1"/>
  <c r="N20" i="1" s="1"/>
  <c r="M20" i="1"/>
  <c r="L20" i="1" a="1"/>
  <c r="L20" i="1" s="1"/>
  <c r="K20" i="1"/>
  <c r="J20" i="1" a="1"/>
  <c r="J20" i="1" s="1"/>
  <c r="H20" i="1" a="1"/>
  <c r="H20" i="1" s="1"/>
  <c r="G20" i="1" a="1"/>
  <c r="G20" i="1" s="1"/>
  <c r="A20" i="1"/>
  <c r="AD19" i="1"/>
  <c r="W19" i="1"/>
  <c r="Y19" i="1" s="1"/>
  <c r="V19" i="1" a="1"/>
  <c r="V19" i="1" s="1"/>
  <c r="X19" i="1" s="1"/>
  <c r="AA19" i="1" s="1"/>
  <c r="U19" i="1"/>
  <c r="T19" i="1" a="1"/>
  <c r="T19" i="1" s="1"/>
  <c r="S19" i="1"/>
  <c r="R19" i="1" a="1"/>
  <c r="R19" i="1" s="1"/>
  <c r="Q19" i="1"/>
  <c r="P19" i="1" a="1"/>
  <c r="P19" i="1" s="1"/>
  <c r="O19" i="1"/>
  <c r="N19" i="1" a="1"/>
  <c r="N19" i="1"/>
  <c r="M19" i="1"/>
  <c r="L19" i="1" a="1"/>
  <c r="L19" i="1" s="1"/>
  <c r="K19" i="1"/>
  <c r="J19" i="1" a="1"/>
  <c r="J19" i="1" s="1"/>
  <c r="H19" i="1" a="1"/>
  <c r="H19" i="1" s="1"/>
  <c r="G19" i="1" a="1"/>
  <c r="G19" i="1" s="1"/>
  <c r="AD18" i="1"/>
  <c r="W18" i="1"/>
  <c r="Y18" i="1" s="1"/>
  <c r="V18" i="1" a="1"/>
  <c r="V18" i="1" s="1"/>
  <c r="X18" i="1" s="1"/>
  <c r="AA18" i="1" s="1"/>
  <c r="U18" i="1"/>
  <c r="T18" i="1" a="1"/>
  <c r="T18" i="1" s="1"/>
  <c r="S18" i="1"/>
  <c r="R18" i="1" a="1"/>
  <c r="R18" i="1"/>
  <c r="Q18" i="1"/>
  <c r="P18" i="1" a="1"/>
  <c r="P18" i="1" s="1"/>
  <c r="O18" i="1"/>
  <c r="N18" i="1" a="1"/>
  <c r="N18" i="1" s="1"/>
  <c r="M18" i="1"/>
  <c r="L18" i="1" a="1"/>
  <c r="L18" i="1"/>
  <c r="K18" i="1"/>
  <c r="J18" i="1" a="1"/>
  <c r="J18" i="1" s="1"/>
  <c r="H18" i="1" a="1"/>
  <c r="H18" i="1" s="1"/>
  <c r="AB18" i="1" s="1"/>
  <c r="G18" i="1" a="1"/>
  <c r="G18" i="1" s="1"/>
  <c r="A18" i="1"/>
  <c r="AD17" i="1"/>
  <c r="W17" i="1"/>
  <c r="Y17" i="1" s="1"/>
  <c r="V17" i="1" a="1"/>
  <c r="V17" i="1" s="1"/>
  <c r="X17" i="1" s="1"/>
  <c r="U17" i="1"/>
  <c r="T17" i="1" a="1"/>
  <c r="T17" i="1" s="1"/>
  <c r="S17" i="1"/>
  <c r="R17" i="1" a="1"/>
  <c r="R17" i="1" s="1"/>
  <c r="Q17" i="1"/>
  <c r="P17" i="1" a="1"/>
  <c r="P17" i="1" s="1"/>
  <c r="O17" i="1"/>
  <c r="N17" i="1" a="1"/>
  <c r="N17" i="1" s="1"/>
  <c r="M17" i="1"/>
  <c r="L17" i="1" a="1"/>
  <c r="L17" i="1" s="1"/>
  <c r="K17" i="1"/>
  <c r="J17" i="1" a="1"/>
  <c r="J17" i="1" s="1"/>
  <c r="H17" i="1" a="1"/>
  <c r="H17" i="1" s="1"/>
  <c r="AB17" i="1" s="1"/>
  <c r="G17" i="1" a="1"/>
  <c r="G17" i="1"/>
  <c r="A17" i="1"/>
  <c r="AD16" i="1"/>
  <c r="W16" i="1"/>
  <c r="Y16" i="1" s="1"/>
  <c r="V16" i="1" a="1"/>
  <c r="V16" i="1" s="1"/>
  <c r="X16" i="1" s="1"/>
  <c r="U16" i="1"/>
  <c r="T16" i="1" a="1"/>
  <c r="T16" i="1"/>
  <c r="S16" i="1"/>
  <c r="R16" i="1" a="1"/>
  <c r="R16" i="1" s="1"/>
  <c r="Q16" i="1"/>
  <c r="P16" i="1" a="1"/>
  <c r="P16" i="1" s="1"/>
  <c r="O16" i="1"/>
  <c r="N16" i="1" a="1"/>
  <c r="N16" i="1" s="1"/>
  <c r="M16" i="1"/>
  <c r="L16" i="1" a="1"/>
  <c r="L16" i="1" s="1"/>
  <c r="K16" i="1"/>
  <c r="J16" i="1" a="1"/>
  <c r="J16" i="1" s="1"/>
  <c r="H16" i="1" a="1"/>
  <c r="H16" i="1" s="1"/>
  <c r="AB16" i="1" s="1"/>
  <c r="G16" i="1" a="1"/>
  <c r="G16" i="1" s="1"/>
  <c r="A16" i="1"/>
  <c r="AD15" i="1"/>
  <c r="W15" i="1"/>
  <c r="Y15" i="1" s="1"/>
  <c r="V15" i="1" a="1"/>
  <c r="V15" i="1" s="1"/>
  <c r="X15" i="1" s="1"/>
  <c r="AA15" i="1" s="1"/>
  <c r="U15" i="1"/>
  <c r="T15" i="1" a="1"/>
  <c r="T15" i="1" s="1"/>
  <c r="S15" i="1"/>
  <c r="R15" i="1" a="1"/>
  <c r="R15" i="1" s="1"/>
  <c r="Q15" i="1"/>
  <c r="P15" i="1" a="1"/>
  <c r="P15" i="1" s="1"/>
  <c r="O15" i="1"/>
  <c r="N15" i="1" a="1"/>
  <c r="N15" i="1" s="1"/>
  <c r="M15" i="1"/>
  <c r="L15" i="1" a="1"/>
  <c r="L15" i="1" s="1"/>
  <c r="K15" i="1"/>
  <c r="J15" i="1" a="1"/>
  <c r="J15" i="1" s="1"/>
  <c r="H15" i="1" a="1"/>
  <c r="H15" i="1" s="1"/>
  <c r="G15" i="1" a="1"/>
  <c r="G15" i="1" s="1"/>
  <c r="A15" i="1"/>
  <c r="AD14" i="1"/>
  <c r="W14" i="1"/>
  <c r="Y14" i="1" s="1"/>
  <c r="V14" i="1" a="1"/>
  <c r="V14" i="1" s="1"/>
  <c r="X14" i="1" s="1"/>
  <c r="U14" i="1"/>
  <c r="T14" i="1" a="1"/>
  <c r="T14" i="1" s="1"/>
  <c r="S14" i="1"/>
  <c r="R14" i="1" a="1"/>
  <c r="R14" i="1" s="1"/>
  <c r="Q14" i="1"/>
  <c r="P14" i="1" a="1"/>
  <c r="P14" i="1" s="1"/>
  <c r="O14" i="1"/>
  <c r="N14" i="1" a="1"/>
  <c r="N14" i="1" s="1"/>
  <c r="M14" i="1"/>
  <c r="L14" i="1" a="1"/>
  <c r="L14" i="1" s="1"/>
  <c r="K14" i="1"/>
  <c r="J14" i="1" a="1"/>
  <c r="J14" i="1"/>
  <c r="H14" i="1" a="1"/>
  <c r="H14" i="1" s="1"/>
  <c r="AB14" i="1" s="1"/>
  <c r="G14" i="1" a="1"/>
  <c r="G14" i="1" s="1"/>
  <c r="A14" i="1"/>
  <c r="AD13" i="1"/>
  <c r="W13" i="1"/>
  <c r="Y13" i="1" s="1"/>
  <c r="V13" i="1" a="1"/>
  <c r="V13" i="1" s="1"/>
  <c r="X13" i="1" s="1"/>
  <c r="AA13" i="1" s="1"/>
  <c r="U13" i="1"/>
  <c r="T13" i="1" a="1"/>
  <c r="T13" i="1" s="1"/>
  <c r="S13" i="1"/>
  <c r="R13" i="1" a="1"/>
  <c r="R13" i="1" s="1"/>
  <c r="Q13" i="1"/>
  <c r="P13" i="1" a="1"/>
  <c r="P13" i="1" s="1"/>
  <c r="O13" i="1"/>
  <c r="N13" i="1" a="1"/>
  <c r="N13" i="1" s="1"/>
  <c r="M13" i="1"/>
  <c r="L13" i="1" a="1"/>
  <c r="L13" i="1" s="1"/>
  <c r="K13" i="1"/>
  <c r="J13" i="1" a="1"/>
  <c r="J13" i="1" s="1"/>
  <c r="H13" i="1" a="1"/>
  <c r="H13" i="1" s="1"/>
  <c r="G13" i="1" a="1"/>
  <c r="G13" i="1" s="1"/>
  <c r="A13" i="1"/>
  <c r="AD12" i="1"/>
  <c r="W12" i="1"/>
  <c r="Y12" i="1" s="1"/>
  <c r="V12" i="1" a="1"/>
  <c r="V12" i="1" s="1"/>
  <c r="X12" i="1" s="1"/>
  <c r="AA12" i="1" s="1"/>
  <c r="U12" i="1"/>
  <c r="T12" i="1" a="1"/>
  <c r="T12" i="1" s="1"/>
  <c r="S12" i="1"/>
  <c r="R12" i="1" a="1"/>
  <c r="R12" i="1" s="1"/>
  <c r="Q12" i="1"/>
  <c r="P12" i="1" a="1"/>
  <c r="P12" i="1" s="1"/>
  <c r="O12" i="1"/>
  <c r="N12" i="1" a="1"/>
  <c r="N12" i="1" s="1"/>
  <c r="M12" i="1"/>
  <c r="L12" i="1" a="1"/>
  <c r="L12" i="1" s="1"/>
  <c r="K12" i="1"/>
  <c r="J12" i="1" a="1"/>
  <c r="J12" i="1" s="1"/>
  <c r="H12" i="1" a="1"/>
  <c r="H12" i="1" s="1"/>
  <c r="G12" i="1" a="1"/>
  <c r="G12" i="1" s="1"/>
  <c r="A12" i="1"/>
  <c r="AD11" i="1"/>
  <c r="W11" i="1"/>
  <c r="Y11" i="1" s="1"/>
  <c r="V11" i="1" a="1"/>
  <c r="V11" i="1" s="1"/>
  <c r="X11" i="1" s="1"/>
  <c r="AA11" i="1" s="1"/>
  <c r="U11" i="1"/>
  <c r="T11" i="1" a="1"/>
  <c r="T11" i="1" s="1"/>
  <c r="S11" i="1"/>
  <c r="R11" i="1" a="1"/>
  <c r="R11" i="1" s="1"/>
  <c r="Q11" i="1"/>
  <c r="P11" i="1" a="1"/>
  <c r="P11" i="1" s="1"/>
  <c r="O11" i="1"/>
  <c r="N11" i="1" a="1"/>
  <c r="N11" i="1" s="1"/>
  <c r="M11" i="1"/>
  <c r="L11" i="1" a="1"/>
  <c r="L11" i="1" s="1"/>
  <c r="K11" i="1"/>
  <c r="J11" i="1" a="1"/>
  <c r="J11" i="1" s="1"/>
  <c r="H11" i="1" a="1"/>
  <c r="H11" i="1" s="1"/>
  <c r="AB11" i="1" s="1"/>
  <c r="G11" i="1" a="1"/>
  <c r="G11" i="1" s="1"/>
  <c r="A11" i="1"/>
  <c r="AD10" i="1"/>
  <c r="W10" i="1"/>
  <c r="Y10" i="1" s="1"/>
  <c r="V10" i="1" a="1"/>
  <c r="V10" i="1" s="1"/>
  <c r="X10" i="1" s="1"/>
  <c r="U10" i="1"/>
  <c r="T10" i="1" a="1"/>
  <c r="T10" i="1" s="1"/>
  <c r="S10" i="1"/>
  <c r="R10" i="1" a="1"/>
  <c r="R10" i="1" s="1"/>
  <c r="Q10" i="1"/>
  <c r="P10" i="1" a="1"/>
  <c r="P10" i="1" s="1"/>
  <c r="O10" i="1"/>
  <c r="N10" i="1" a="1"/>
  <c r="N10" i="1" s="1"/>
  <c r="M10" i="1"/>
  <c r="L10" i="1" a="1"/>
  <c r="L10" i="1" s="1"/>
  <c r="K10" i="1"/>
  <c r="J10" i="1" a="1"/>
  <c r="J10" i="1" s="1"/>
  <c r="H10" i="1" a="1"/>
  <c r="H10" i="1" s="1"/>
  <c r="AB10" i="1" s="1"/>
  <c r="G10" i="1" a="1"/>
  <c r="G10" i="1" s="1"/>
  <c r="A10" i="1"/>
  <c r="AD9" i="1"/>
  <c r="W9" i="1"/>
  <c r="Y9" i="1" s="1"/>
  <c r="V9" i="1" a="1"/>
  <c r="V9" i="1" s="1"/>
  <c r="X9" i="1" s="1"/>
  <c r="U9" i="1"/>
  <c r="T9" i="1" a="1"/>
  <c r="T9" i="1" s="1"/>
  <c r="S9" i="1"/>
  <c r="R9" i="1" a="1"/>
  <c r="R9" i="1" s="1"/>
  <c r="Q9" i="1"/>
  <c r="P9" i="1" a="1"/>
  <c r="P9" i="1" s="1"/>
  <c r="O9" i="1"/>
  <c r="N9" i="1" a="1"/>
  <c r="N9" i="1" s="1"/>
  <c r="M9" i="1"/>
  <c r="L9" i="1" a="1"/>
  <c r="L9" i="1" s="1"/>
  <c r="K9" i="1"/>
  <c r="J9" i="1" a="1"/>
  <c r="J9" i="1" s="1"/>
  <c r="H9" i="1" a="1"/>
  <c r="H9" i="1" s="1"/>
  <c r="G9" i="1" a="1"/>
  <c r="G9" i="1" s="1"/>
  <c r="A9" i="1"/>
  <c r="AD8" i="1"/>
  <c r="W8" i="1"/>
  <c r="Y8" i="1" s="1"/>
  <c r="V8" i="1" a="1"/>
  <c r="V8" i="1" s="1"/>
  <c r="X8" i="1" s="1"/>
  <c r="AA8" i="1" s="1"/>
  <c r="U8" i="1"/>
  <c r="T8" i="1" a="1"/>
  <c r="T8" i="1" s="1"/>
  <c r="S8" i="1"/>
  <c r="R8" i="1" a="1"/>
  <c r="R8" i="1" s="1"/>
  <c r="Q8" i="1"/>
  <c r="P8" i="1" a="1"/>
  <c r="P8" i="1" s="1"/>
  <c r="O8" i="1"/>
  <c r="N8" i="1" a="1"/>
  <c r="N8" i="1" s="1"/>
  <c r="M8" i="1"/>
  <c r="L8" i="1" a="1"/>
  <c r="L8" i="1" s="1"/>
  <c r="K8" i="1"/>
  <c r="J8" i="1" a="1"/>
  <c r="J8" i="1" s="1"/>
  <c r="H8" i="1" a="1"/>
  <c r="H8" i="1" s="1"/>
  <c r="AB8" i="1" s="1"/>
  <c r="G8" i="1" a="1"/>
  <c r="G8" i="1" s="1"/>
  <c r="A8" i="1"/>
  <c r="AD7" i="1"/>
  <c r="W7" i="1"/>
  <c r="Y7" i="1" s="1"/>
  <c r="V7" i="1" a="1"/>
  <c r="V7" i="1" s="1"/>
  <c r="X7" i="1" s="1"/>
  <c r="AA7" i="1" s="1"/>
  <c r="U7" i="1"/>
  <c r="T7" i="1" a="1"/>
  <c r="T7" i="1" s="1"/>
  <c r="S7" i="1"/>
  <c r="R7" i="1" a="1"/>
  <c r="R7" i="1" s="1"/>
  <c r="Q7" i="1"/>
  <c r="P7" i="1" a="1"/>
  <c r="P7" i="1"/>
  <c r="O7" i="1"/>
  <c r="N7" i="1" a="1"/>
  <c r="N7" i="1" s="1"/>
  <c r="M7" i="1"/>
  <c r="L7" i="1" a="1"/>
  <c r="L7" i="1" s="1"/>
  <c r="K7" i="1"/>
  <c r="J7" i="1" a="1"/>
  <c r="J7" i="1" s="1"/>
  <c r="H7" i="1" a="1"/>
  <c r="H7" i="1" s="1"/>
  <c r="AB7" i="1" s="1"/>
  <c r="G7" i="1" a="1"/>
  <c r="G7" i="1" s="1"/>
  <c r="A7" i="1"/>
  <c r="AD6" i="1"/>
  <c r="W6" i="1"/>
  <c r="W100" i="1" s="1"/>
  <c r="V6" i="1" a="1"/>
  <c r="V6" i="1" s="1"/>
  <c r="U6" i="1"/>
  <c r="U100" i="1" s="1"/>
  <c r="T6" i="1" a="1"/>
  <c r="T6" i="1" s="1"/>
  <c r="T100" i="1" s="1"/>
  <c r="S6" i="1"/>
  <c r="S100" i="1" s="1"/>
  <c r="R6" i="1" a="1"/>
  <c r="R6" i="1" s="1"/>
  <c r="R100" i="1" s="1"/>
  <c r="Q6" i="1"/>
  <c r="Q100" i="1" s="1"/>
  <c r="P6" i="1" a="1"/>
  <c r="P6" i="1"/>
  <c r="P100" i="1" s="1"/>
  <c r="O6" i="1"/>
  <c r="O100" i="1" s="1"/>
  <c r="N6" i="1" a="1"/>
  <c r="N6" i="1" s="1"/>
  <c r="N100" i="1" s="1"/>
  <c r="M6" i="1"/>
  <c r="M100" i="1" s="1"/>
  <c r="L6" i="1" a="1"/>
  <c r="L6" i="1"/>
  <c r="L100" i="1" s="1"/>
  <c r="K6" i="1"/>
  <c r="K100" i="1" s="1"/>
  <c r="J6" i="1" a="1"/>
  <c r="J6" i="1" s="1"/>
  <c r="J100" i="1" s="1"/>
  <c r="H6" i="1" a="1"/>
  <c r="H6" i="1" s="1"/>
  <c r="G6" i="1" a="1"/>
  <c r="G6" i="1" s="1"/>
  <c r="G100" i="1" s="1"/>
  <c r="A6" i="1"/>
  <c r="J5" i="1"/>
  <c r="L5" i="1" s="1"/>
  <c r="N5" i="1" s="1"/>
  <c r="P5" i="1" s="1"/>
  <c r="R5" i="1" s="1"/>
  <c r="T5" i="1" s="1"/>
  <c r="V5" i="1" s="1"/>
  <c r="C3" i="1"/>
  <c r="C2" i="1"/>
  <c r="J3" i="1" s="1"/>
  <c r="R1" i="1"/>
  <c r="P1" i="1"/>
  <c r="N1" i="1"/>
  <c r="J1" i="1"/>
  <c r="L1" i="1" s="1"/>
  <c r="I1" i="1"/>
  <c r="C1" i="1"/>
  <c r="D1" i="1" s="1"/>
  <c r="E1" i="1" s="1"/>
  <c r="F1" i="1" s="1"/>
  <c r="I111" i="3"/>
  <c r="I93" i="3"/>
  <c r="J77" i="3"/>
  <c r="G59" i="3"/>
  <c r="L41" i="3"/>
  <c r="M26" i="3"/>
  <c r="G17" i="3"/>
  <c r="M121" i="3"/>
  <c r="H111" i="3"/>
  <c r="L101" i="3"/>
  <c r="I77" i="3"/>
  <c r="L58" i="3"/>
  <c r="M52" i="3"/>
  <c r="M46" i="3"/>
  <c r="K41" i="3"/>
  <c r="L31" i="3"/>
  <c r="L26" i="3"/>
  <c r="J21" i="3"/>
  <c r="M12" i="3"/>
  <c r="K101" i="3"/>
  <c r="J70" i="3"/>
  <c r="I41" i="3"/>
  <c r="J26" i="3"/>
  <c r="I21" i="3"/>
  <c r="G16" i="3"/>
  <c r="J12" i="3"/>
  <c r="M139" i="3"/>
  <c r="J128" i="3"/>
  <c r="H110" i="3"/>
  <c r="K83" i="3"/>
  <c r="J76" i="3"/>
  <c r="I70" i="3"/>
  <c r="L63" i="3"/>
  <c r="K51" i="3"/>
  <c r="K45" i="3"/>
  <c r="H21" i="3"/>
  <c r="I128" i="3"/>
  <c r="I83" i="3"/>
  <c r="H70" i="3"/>
  <c r="K63" i="3"/>
  <c r="J51" i="3"/>
  <c r="J45" i="3"/>
  <c r="J35" i="3"/>
  <c r="I11" i="3"/>
  <c r="K7" i="3"/>
  <c r="H128" i="3"/>
  <c r="I117" i="3"/>
  <c r="K90" i="3"/>
  <c r="I63" i="3"/>
  <c r="L56" i="3"/>
  <c r="I51" i="3"/>
  <c r="I45" i="3"/>
  <c r="K15" i="3"/>
  <c r="H11" i="3"/>
  <c r="H117" i="3"/>
  <c r="J90" i="3"/>
  <c r="H82" i="3"/>
  <c r="M39" i="3"/>
  <c r="H34" i="3"/>
  <c r="L29" i="3"/>
  <c r="L19" i="3"/>
  <c r="G11" i="3"/>
  <c r="J6" i="3"/>
  <c r="K61" i="3"/>
  <c r="J55" i="3"/>
  <c r="K49" i="3"/>
  <c r="L39" i="3"/>
  <c r="G34" i="3"/>
  <c r="L24" i="3"/>
  <c r="K19" i="3"/>
  <c r="K14" i="3"/>
  <c r="I6" i="3"/>
  <c r="I80" i="3"/>
  <c r="M74" i="3"/>
  <c r="J61" i="3"/>
  <c r="I55" i="3"/>
  <c r="J49" i="3"/>
  <c r="M43" i="3"/>
  <c r="H39" i="3"/>
  <c r="J28" i="3"/>
  <c r="H24" i="3"/>
  <c r="I19" i="3"/>
  <c r="I14" i="3"/>
  <c r="M10" i="3"/>
  <c r="H6" i="3"/>
  <c r="H80" i="3"/>
  <c r="I74" i="3"/>
  <c r="I61" i="3"/>
  <c r="G55" i="3"/>
  <c r="H49" i="3"/>
  <c r="L43" i="3"/>
  <c r="M33" i="3"/>
  <c r="I28" i="3"/>
  <c r="H14" i="3"/>
  <c r="K104" i="3"/>
  <c r="L95" i="3"/>
  <c r="M65" i="3"/>
  <c r="J32" i="3"/>
  <c r="M17" i="3"/>
  <c r="L9" i="3"/>
  <c r="G23" i="3"/>
  <c r="L65" i="3"/>
  <c r="M9" i="3"/>
  <c r="M95" i="3"/>
  <c r="J9" i="3"/>
  <c r="J43" i="3"/>
  <c r="I32" i="3"/>
  <c r="K59" i="3"/>
  <c r="G123" i="3"/>
  <c r="L17" i="3"/>
  <c r="K54" i="3"/>
  <c r="H28" i="3"/>
  <c r="G134" i="3"/>
  <c r="H53" i="3"/>
  <c r="G86" i="3"/>
  <c r="G117" i="3"/>
  <c r="I87" i="3"/>
  <c r="M37" i="3"/>
  <c r="I85" i="1" l="1"/>
  <c r="I50" i="1"/>
  <c r="I61" i="1"/>
  <c r="AE47" i="1"/>
  <c r="I46" i="1"/>
  <c r="AE31" i="1"/>
  <c r="I79" i="1"/>
  <c r="I13" i="1"/>
  <c r="I59" i="1"/>
  <c r="AE82" i="1"/>
  <c r="AC55" i="1"/>
  <c r="I80" i="1"/>
  <c r="I90" i="1"/>
  <c r="AC18" i="1"/>
  <c r="AE70" i="1"/>
  <c r="I29" i="1"/>
  <c r="AE43" i="1"/>
  <c r="AC32" i="1"/>
  <c r="AE69" i="1"/>
  <c r="AC83" i="1"/>
  <c r="AC56" i="1"/>
  <c r="AC25" i="1"/>
  <c r="AC27" i="1"/>
  <c r="I39" i="1"/>
  <c r="AC7" i="1"/>
  <c r="AC64" i="1"/>
  <c r="AC11" i="1"/>
  <c r="I58" i="1"/>
  <c r="AA54" i="1"/>
  <c r="AE54" i="1"/>
  <c r="AA86" i="1"/>
  <c r="AE86" i="1"/>
  <c r="AE35" i="1"/>
  <c r="AA35" i="1"/>
  <c r="AA95" i="1"/>
  <c r="AC95" i="1" s="1"/>
  <c r="AE95" i="1"/>
  <c r="AA99" i="1"/>
  <c r="AC99" i="1" s="1"/>
  <c r="AE99" i="1"/>
  <c r="I9" i="1"/>
  <c r="AB9" i="1"/>
  <c r="AE17" i="1"/>
  <c r="AA17" i="1"/>
  <c r="AC17" i="1" s="1"/>
  <c r="I51" i="1"/>
  <c r="AA79" i="1"/>
  <c r="AC79" i="1" s="1"/>
  <c r="AE79" i="1"/>
  <c r="AB89" i="1"/>
  <c r="AC89" i="1" s="1"/>
  <c r="I89" i="1"/>
  <c r="AA71" i="1"/>
  <c r="AC71" i="1" s="1"/>
  <c r="AE71" i="1"/>
  <c r="AE53" i="1"/>
  <c r="AA53" i="1"/>
  <c r="AC92" i="1"/>
  <c r="AE10" i="1"/>
  <c r="AA10" i="1"/>
  <c r="AC10" i="1" s="1"/>
  <c r="AA73" i="1"/>
  <c r="AC73" i="1" s="1"/>
  <c r="AE73" i="1"/>
  <c r="AC29" i="1"/>
  <c r="AA42" i="1"/>
  <c r="AE42" i="1"/>
  <c r="AC44" i="1"/>
  <c r="AE77" i="1"/>
  <c r="AE24" i="1"/>
  <c r="I44" i="1"/>
  <c r="AE65" i="1"/>
  <c r="I67" i="1"/>
  <c r="AC88" i="1"/>
  <c r="AE89" i="1"/>
  <c r="AE92" i="1"/>
  <c r="I16" i="1"/>
  <c r="AE36" i="1"/>
  <c r="AE50" i="1"/>
  <c r="I45" i="1"/>
  <c r="AC63" i="1"/>
  <c r="AC69" i="1"/>
  <c r="AE74" i="1"/>
  <c r="AE83" i="1"/>
  <c r="AE30" i="1"/>
  <c r="AE64" i="1"/>
  <c r="AE76" i="1"/>
  <c r="AE80" i="1"/>
  <c r="AE91" i="1"/>
  <c r="AE33" i="1"/>
  <c r="AE40" i="1"/>
  <c r="I43" i="1"/>
  <c r="I65" i="1"/>
  <c r="I57" i="1"/>
  <c r="AE20" i="1"/>
  <c r="AB39" i="1"/>
  <c r="AC39" i="1" s="1"/>
  <c r="I73" i="1"/>
  <c r="AE87" i="1"/>
  <c r="AC93" i="1"/>
  <c r="AC87" i="1"/>
  <c r="AE26" i="1"/>
  <c r="AE13" i="1"/>
  <c r="AE39" i="1"/>
  <c r="AE52" i="1"/>
  <c r="AE12" i="1"/>
  <c r="AE28" i="1"/>
  <c r="I88" i="1"/>
  <c r="I95" i="1"/>
  <c r="I96" i="1"/>
  <c r="AE19" i="1"/>
  <c r="AE46" i="1"/>
  <c r="I8" i="1"/>
  <c r="AC8" i="1"/>
  <c r="AE11" i="1"/>
  <c r="I7" i="1"/>
  <c r="AC51" i="1"/>
  <c r="AE55" i="1"/>
  <c r="AE59" i="1"/>
  <c r="AE67" i="1"/>
  <c r="AE85" i="1"/>
  <c r="AE22" i="1"/>
  <c r="AE25" i="1"/>
  <c r="AE62" i="1"/>
  <c r="AE97" i="1"/>
  <c r="N117" i="3"/>
  <c r="P117" i="3" s="1"/>
  <c r="N86" i="3"/>
  <c r="P86" i="3" s="1"/>
  <c r="N134" i="3"/>
  <c r="P134" i="3" s="1"/>
  <c r="G141" i="3"/>
  <c r="N141" i="3" s="1"/>
  <c r="P141" i="3" s="1"/>
  <c r="N123" i="3"/>
  <c r="P123" i="3" s="1"/>
  <c r="G126" i="3"/>
  <c r="N126" i="3" s="1"/>
  <c r="P126" i="3" s="1"/>
  <c r="N23" i="3"/>
  <c r="P23" i="3" s="1"/>
  <c r="N55" i="3"/>
  <c r="P55" i="3" s="1"/>
  <c r="H20" i="3"/>
  <c r="H142" i="3" s="1"/>
  <c r="H47" i="3"/>
  <c r="I20" i="3"/>
  <c r="I142" i="3" s="1"/>
  <c r="N34" i="3"/>
  <c r="P34" i="3" s="1"/>
  <c r="L47" i="3"/>
  <c r="J20" i="3"/>
  <c r="J142" i="3" s="1"/>
  <c r="N11" i="3"/>
  <c r="P11" i="3" s="1"/>
  <c r="M47" i="3"/>
  <c r="H89" i="3"/>
  <c r="J96" i="3"/>
  <c r="K96" i="3"/>
  <c r="H81" i="3"/>
  <c r="H30" i="3"/>
  <c r="I81" i="3"/>
  <c r="N16" i="3"/>
  <c r="P16" i="3" s="1"/>
  <c r="I30" i="3"/>
  <c r="J81" i="3"/>
  <c r="J30" i="3"/>
  <c r="L38" i="3"/>
  <c r="L67" i="3"/>
  <c r="N17" i="3"/>
  <c r="P17" i="3" s="1"/>
  <c r="N59" i="3"/>
  <c r="P59" i="3" s="1"/>
  <c r="AE8" i="1"/>
  <c r="I20" i="1"/>
  <c r="AB20" i="1"/>
  <c r="AC20" i="1" s="1"/>
  <c r="AA16" i="1"/>
  <c r="AC16" i="1" s="1"/>
  <c r="AE16" i="1"/>
  <c r="AB15" i="1"/>
  <c r="AC15" i="1" s="1"/>
  <c r="I15" i="1"/>
  <c r="I28" i="1"/>
  <c r="AB28" i="1"/>
  <c r="AC28" i="1" s="1"/>
  <c r="AB37" i="1"/>
  <c r="AC37" i="1" s="1"/>
  <c r="I37" i="1"/>
  <c r="AE15" i="1"/>
  <c r="AA9" i="1"/>
  <c r="AE9" i="1"/>
  <c r="AA14" i="1"/>
  <c r="AC14" i="1" s="1"/>
  <c r="AE14" i="1"/>
  <c r="AC13" i="1"/>
  <c r="I53" i="1"/>
  <c r="AB53" i="1"/>
  <c r="AC38" i="1"/>
  <c r="AE45" i="1"/>
  <c r="AA45" i="1"/>
  <c r="AC45" i="1" s="1"/>
  <c r="I60" i="1"/>
  <c r="AB60" i="1"/>
  <c r="AC60" i="1" s="1"/>
  <c r="AE21" i="1"/>
  <c r="I24" i="1"/>
  <c r="AB24" i="1"/>
  <c r="AC24" i="1" s="1"/>
  <c r="I19" i="1"/>
  <c r="AB52" i="1"/>
  <c r="AC52" i="1" s="1"/>
  <c r="I52" i="1"/>
  <c r="I68" i="1"/>
  <c r="AB68" i="1"/>
  <c r="AC68" i="1" s="1"/>
  <c r="H100" i="1"/>
  <c r="I6" i="1"/>
  <c r="H3" i="1"/>
  <c r="AB23" i="1"/>
  <c r="I23" i="1"/>
  <c r="I33" i="1"/>
  <c r="AB33" i="1"/>
  <c r="AC33" i="1" s="1"/>
  <c r="AE38" i="1"/>
  <c r="I42" i="1"/>
  <c r="AB42" i="1"/>
  <c r="AE58" i="1"/>
  <c r="AB82" i="1"/>
  <c r="AC82" i="1" s="1"/>
  <c r="I82" i="1"/>
  <c r="AB86" i="1"/>
  <c r="I86" i="1"/>
  <c r="I10" i="1"/>
  <c r="I11" i="1"/>
  <c r="I17" i="1"/>
  <c r="AE37" i="1"/>
  <c r="AC43" i="1"/>
  <c r="I41" i="1"/>
  <c r="AB41" i="1"/>
  <c r="AC41" i="1" s="1"/>
  <c r="I47" i="1"/>
  <c r="AB47" i="1"/>
  <c r="AC47" i="1" s="1"/>
  <c r="I40" i="1"/>
  <c r="AE44" i="1"/>
  <c r="AE60" i="1"/>
  <c r="I62" i="1"/>
  <c r="I12" i="1"/>
  <c r="AB12" i="1"/>
  <c r="AC12" i="1" s="1"/>
  <c r="AE34" i="1"/>
  <c r="I38" i="1"/>
  <c r="AE72" i="1"/>
  <c r="AA78" i="1"/>
  <c r="AC78" i="1" s="1"/>
  <c r="AE78" i="1"/>
  <c r="I21" i="1"/>
  <c r="AB21" i="1"/>
  <c r="AC21" i="1" s="1"/>
  <c r="AC22" i="1"/>
  <c r="AA23" i="1"/>
  <c r="AE23" i="1"/>
  <c r="I31" i="1"/>
  <c r="G3" i="1"/>
  <c r="I25" i="1"/>
  <c r="AC40" i="1"/>
  <c r="I81" i="1"/>
  <c r="AB81" i="1"/>
  <c r="I22" i="1"/>
  <c r="I26" i="1"/>
  <c r="AB26" i="1"/>
  <c r="AC26" i="1" s="1"/>
  <c r="I49" i="1"/>
  <c r="AB49" i="1"/>
  <c r="AC49" i="1" s="1"/>
  <c r="AC50" i="1"/>
  <c r="AB70" i="1"/>
  <c r="AC70" i="1" s="1"/>
  <c r="I70" i="1"/>
  <c r="I14" i="1"/>
  <c r="AB19" i="1"/>
  <c r="AC19" i="1" s="1"/>
  <c r="AE29" i="1"/>
  <c r="V100" i="1"/>
  <c r="X6" i="1"/>
  <c r="I30" i="1"/>
  <c r="AB30" i="1"/>
  <c r="AC30" i="1" s="1"/>
  <c r="AC31" i="1"/>
  <c r="AC46" i="1"/>
  <c r="AB6" i="1"/>
  <c r="AB100" i="1" s="1"/>
  <c r="I34" i="1"/>
  <c r="AB34" i="1"/>
  <c r="AC34" i="1" s="1"/>
  <c r="AB35" i="1"/>
  <c r="I35" i="1"/>
  <c r="I36" i="1"/>
  <c r="AB36" i="1"/>
  <c r="AC36" i="1" s="1"/>
  <c r="AA81" i="1"/>
  <c r="AE81" i="1"/>
  <c r="AE84" i="1"/>
  <c r="AA84" i="1"/>
  <c r="AC84" i="1" s="1"/>
  <c r="AA61" i="1"/>
  <c r="AC61" i="1" s="1"/>
  <c r="AE61" i="1"/>
  <c r="AE7" i="1"/>
  <c r="AB13" i="1"/>
  <c r="AE18" i="1"/>
  <c r="AE32" i="1"/>
  <c r="I48" i="1"/>
  <c r="AB48" i="1"/>
  <c r="AC48" i="1" s="1"/>
  <c r="AE41" i="1"/>
  <c r="I54" i="1"/>
  <c r="AB65" i="1"/>
  <c r="AC65" i="1" s="1"/>
  <c r="I71" i="1"/>
  <c r="I18" i="1"/>
  <c r="AE48" i="1"/>
  <c r="I55" i="1"/>
  <c r="AE56" i="1"/>
  <c r="AB57" i="1"/>
  <c r="AC57" i="1" s="1"/>
  <c r="AB58" i="1"/>
  <c r="AC58" i="1" s="1"/>
  <c r="I76" i="1"/>
  <c r="AB90" i="1"/>
  <c r="I56" i="1"/>
  <c r="I63" i="1"/>
  <c r="I72" i="1"/>
  <c r="AB72" i="1"/>
  <c r="AC72" i="1" s="1"/>
  <c r="I74" i="1"/>
  <c r="I75" i="1"/>
  <c r="I84" i="1"/>
  <c r="AE49" i="1"/>
  <c r="AE57" i="1"/>
  <c r="AB59" i="1"/>
  <c r="AC59" i="1" s="1"/>
  <c r="AB67" i="1"/>
  <c r="AC67" i="1" s="1"/>
  <c r="I83" i="1"/>
  <c r="I64" i="1"/>
  <c r="AC76" i="1"/>
  <c r="AC85" i="1"/>
  <c r="AE66" i="1"/>
  <c r="AC77" i="1"/>
  <c r="AB80" i="1"/>
  <c r="AC80" i="1" s="1"/>
  <c r="I27" i="1"/>
  <c r="AC86" i="1"/>
  <c r="AE93" i="1"/>
  <c r="AE27" i="1"/>
  <c r="AE51" i="1"/>
  <c r="AB66" i="1"/>
  <c r="AC66" i="1" s="1"/>
  <c r="I66" i="1"/>
  <c r="Y6" i="1"/>
  <c r="Y100" i="1" s="1"/>
  <c r="AB54" i="1"/>
  <c r="AB75" i="1"/>
  <c r="AC75" i="1" s="1"/>
  <c r="AB62" i="1"/>
  <c r="AC62" i="1" s="1"/>
  <c r="AE68" i="1"/>
  <c r="AB100" i="2"/>
  <c r="AA19" i="2"/>
  <c r="AC19" i="2" s="1"/>
  <c r="Y19" i="2"/>
  <c r="AE75" i="1"/>
  <c r="AA9" i="2"/>
  <c r="AC9" i="2" s="1"/>
  <c r="Y9" i="2"/>
  <c r="I77" i="1"/>
  <c r="AA90" i="1"/>
  <c r="AE90" i="1"/>
  <c r="AE63" i="1"/>
  <c r="I69" i="1"/>
  <c r="I97" i="1"/>
  <c r="AB97" i="1"/>
  <c r="AC97" i="1" s="1"/>
  <c r="AE98" i="1"/>
  <c r="AA98" i="1"/>
  <c r="AC98" i="1" s="1"/>
  <c r="I87" i="1"/>
  <c r="AE88" i="1"/>
  <c r="X100" i="2"/>
  <c r="I92" i="1"/>
  <c r="I93" i="1"/>
  <c r="I94" i="1"/>
  <c r="AA88" i="2"/>
  <c r="AC88" i="2" s="1"/>
  <c r="Y88" i="2"/>
  <c r="I91" i="1"/>
  <c r="AA96" i="2"/>
  <c r="AC96" i="2" s="1"/>
  <c r="Y96" i="2"/>
  <c r="AC96" i="1"/>
  <c r="AA94" i="1"/>
  <c r="AC94" i="1" s="1"/>
  <c r="AE94" i="1"/>
  <c r="AC91" i="1"/>
  <c r="I99" i="1"/>
  <c r="AC61" i="2"/>
  <c r="AA74" i="2"/>
  <c r="AC74" i="2" s="1"/>
  <c r="Y74" i="2"/>
  <c r="AE96" i="1"/>
  <c r="I98" i="1"/>
  <c r="AA80" i="2"/>
  <c r="AC80" i="2" s="1"/>
  <c r="Y80" i="2"/>
  <c r="AC28" i="2"/>
  <c r="AC31" i="2"/>
  <c r="AC42" i="2"/>
  <c r="AC45" i="2"/>
  <c r="AC93" i="2"/>
  <c r="N58" i="8"/>
  <c r="AC20" i="2"/>
  <c r="AC23" i="2"/>
  <c r="AC34" i="2"/>
  <c r="AC48" i="2"/>
  <c r="L4" i="10"/>
  <c r="L4" i="8"/>
  <c r="K4" i="10"/>
  <c r="K4" i="8"/>
  <c r="J4" i="10"/>
  <c r="J4" i="8"/>
  <c r="I4" i="10"/>
  <c r="I4" i="8"/>
  <c r="H4" i="10"/>
  <c r="H4" i="8"/>
  <c r="G4" i="10"/>
  <c r="G4" i="8"/>
  <c r="I4" i="11"/>
  <c r="H4" i="11"/>
  <c r="H4" i="9"/>
  <c r="G4" i="11"/>
  <c r="G4" i="9"/>
  <c r="M4" i="10"/>
  <c r="M4" i="8"/>
  <c r="M4" i="9"/>
  <c r="L4" i="9"/>
  <c r="M4" i="11"/>
  <c r="K4" i="9"/>
  <c r="L4" i="11"/>
  <c r="J4" i="9"/>
  <c r="K4" i="11"/>
  <c r="I4" i="9"/>
  <c r="J4" i="11"/>
  <c r="AC72" i="2"/>
  <c r="AC40" i="2"/>
  <c r="AC43" i="2"/>
  <c r="AC54" i="2"/>
  <c r="AC57" i="2"/>
  <c r="Y72" i="2"/>
  <c r="Y86" i="2"/>
  <c r="AC99" i="2"/>
  <c r="J143" i="10"/>
  <c r="I143" i="10"/>
  <c r="H143" i="10"/>
  <c r="O4" i="10"/>
  <c r="G143" i="10"/>
  <c r="AC21" i="2"/>
  <c r="AC32" i="2"/>
  <c r="AC35" i="2"/>
  <c r="AC46" i="2"/>
  <c r="AC49" i="2"/>
  <c r="AC89" i="2"/>
  <c r="AC70" i="2"/>
  <c r="AC24" i="2"/>
  <c r="AC38" i="2"/>
  <c r="AC52" i="2"/>
  <c r="Y70" i="2"/>
  <c r="Y100" i="2" s="1"/>
  <c r="Y84" i="2"/>
  <c r="AC97" i="2"/>
  <c r="AC87" i="2"/>
  <c r="AC30" i="2"/>
  <c r="AC44" i="2"/>
  <c r="AC68" i="2"/>
  <c r="AC6" i="2"/>
  <c r="AC22" i="2"/>
  <c r="AC25" i="2"/>
  <c r="AC36" i="2"/>
  <c r="AC39" i="2"/>
  <c r="AC50" i="2"/>
  <c r="AC53" i="2"/>
  <c r="AA65" i="2"/>
  <c r="AC65" i="2" s="1"/>
  <c r="Y65" i="2"/>
  <c r="Y68" i="2"/>
  <c r="Y82" i="2"/>
  <c r="I140" i="10"/>
  <c r="M143" i="10" s="1"/>
  <c r="N20" i="11"/>
  <c r="I140" i="8"/>
  <c r="F140" i="8"/>
  <c r="H140" i="9"/>
  <c r="I140" i="9"/>
  <c r="Y58" i="2"/>
  <c r="Y60" i="2"/>
  <c r="Y62" i="2"/>
  <c r="Y64" i="2"/>
  <c r="N88" i="10"/>
  <c r="N20" i="8"/>
  <c r="Y56" i="2"/>
  <c r="N112" i="8"/>
  <c r="I140" i="11"/>
  <c r="N106" i="11"/>
  <c r="N80" i="10"/>
  <c r="N39" i="10"/>
  <c r="N30" i="9"/>
  <c r="N39" i="11"/>
  <c r="L140" i="11"/>
  <c r="N124" i="8"/>
  <c r="J140" i="10"/>
  <c r="N139" i="10"/>
  <c r="V137" i="10" s="1"/>
  <c r="G140" i="11"/>
  <c r="N120" i="8"/>
  <c r="F140" i="9"/>
  <c r="K140" i="10"/>
  <c r="H140" i="11"/>
  <c r="N139" i="11"/>
  <c r="V137" i="11" s="1"/>
  <c r="G140" i="9"/>
  <c r="N39" i="9"/>
  <c r="K140" i="9"/>
  <c r="N124" i="10"/>
  <c r="G144" i="10"/>
  <c r="N39" i="8"/>
  <c r="N131" i="8"/>
  <c r="L140" i="9"/>
  <c r="N20" i="10"/>
  <c r="N120" i="10"/>
  <c r="J140" i="11"/>
  <c r="F140" i="11"/>
  <c r="N88" i="11"/>
  <c r="N95" i="11"/>
  <c r="N139" i="9"/>
  <c r="V137" i="9" s="1"/>
  <c r="K140" i="11"/>
  <c r="G108" i="3"/>
  <c r="M123" i="3"/>
  <c r="G88" i="3"/>
  <c r="H115" i="3"/>
  <c r="H140" i="3"/>
  <c r="H109" i="3"/>
  <c r="K127" i="3"/>
  <c r="G92" i="3"/>
  <c r="I116" i="3"/>
  <c r="K136" i="3"/>
  <c r="L102" i="3"/>
  <c r="G132" i="3"/>
  <c r="L99" i="3"/>
  <c r="M118" i="3"/>
  <c r="G70" i="3"/>
  <c r="K43" i="3"/>
  <c r="G15" i="3"/>
  <c r="M94" i="3"/>
  <c r="L135" i="3"/>
  <c r="G83" i="3"/>
  <c r="K50" i="3"/>
  <c r="M111" i="3"/>
  <c r="G65" i="3"/>
  <c r="L34" i="3"/>
  <c r="I94" i="3"/>
  <c r="G120" i="3"/>
  <c r="J72" i="3"/>
  <c r="I79" i="3"/>
  <c r="G37" i="3"/>
  <c r="L139" i="3"/>
  <c r="I43" i="3"/>
  <c r="I9" i="3"/>
  <c r="G51" i="3"/>
  <c r="K12" i="3"/>
  <c r="M64" i="3"/>
  <c r="K29" i="3"/>
  <c r="J85" i="3"/>
  <c r="L42" i="3"/>
  <c r="G131" i="3"/>
  <c r="I50" i="3"/>
  <c r="H15" i="3"/>
  <c r="J64" i="3"/>
  <c r="I27" i="3"/>
  <c r="I64" i="3"/>
  <c r="L16" i="3"/>
  <c r="G40" i="3"/>
  <c r="M77" i="3"/>
  <c r="J23" i="3"/>
  <c r="J80" i="3"/>
  <c r="K32" i="3"/>
  <c r="H37" i="3"/>
  <c r="G127" i="3"/>
  <c r="M108" i="3"/>
  <c r="J82" i="3"/>
  <c r="J56" i="3"/>
  <c r="K88" i="3"/>
  <c r="I18" i="3"/>
  <c r="M14" i="3"/>
  <c r="L137" i="3"/>
  <c r="J14" i="3"/>
  <c r="K40" i="3"/>
  <c r="L129" i="3"/>
  <c r="K48" i="3"/>
  <c r="L86" i="3"/>
  <c r="H139" i="3"/>
  <c r="H56" i="3"/>
  <c r="G49" i="3"/>
  <c r="G54" i="3"/>
  <c r="L22" i="3"/>
  <c r="L106" i="3"/>
  <c r="M120" i="3"/>
  <c r="M86" i="3"/>
  <c r="H112" i="3"/>
  <c r="J137" i="3"/>
  <c r="I106" i="3"/>
  <c r="M124" i="3"/>
  <c r="M90" i="3"/>
  <c r="K113" i="3"/>
  <c r="G135" i="3"/>
  <c r="H101" i="3"/>
  <c r="M130" i="3"/>
  <c r="H98" i="3"/>
  <c r="H113" i="3"/>
  <c r="L68" i="3"/>
  <c r="G42" i="3"/>
  <c r="M13" i="3"/>
  <c r="M135" i="3"/>
  <c r="L132" i="3"/>
  <c r="M79" i="3"/>
  <c r="L44" i="3"/>
  <c r="G103" i="3"/>
  <c r="M63" i="3"/>
  <c r="H33" i="3"/>
  <c r="K91" i="3"/>
  <c r="K117" i="3"/>
  <c r="G138" i="3"/>
  <c r="K76" i="3"/>
  <c r="M35" i="3"/>
  <c r="G128" i="3"/>
  <c r="H41" i="3"/>
  <c r="M7" i="3"/>
  <c r="G45" i="3"/>
  <c r="H9" i="3"/>
  <c r="L60" i="3"/>
  <c r="M27" i="3"/>
  <c r="H76" i="3"/>
  <c r="H35" i="3"/>
  <c r="J125" i="3"/>
  <c r="J48" i="3"/>
  <c r="K13" i="3"/>
  <c r="J62" i="3"/>
  <c r="K25" i="3"/>
  <c r="G62" i="3"/>
  <c r="I13" i="3"/>
  <c r="K36" i="3"/>
  <c r="L75" i="3"/>
  <c r="M21" i="3"/>
  <c r="L77" i="3"/>
  <c r="K28" i="3"/>
  <c r="G53" i="3"/>
  <c r="I73" i="3"/>
  <c r="H23" i="3"/>
  <c r="J102" i="3"/>
  <c r="M116" i="3"/>
  <c r="I109" i="3"/>
  <c r="G102" i="3"/>
  <c r="L138" i="3"/>
  <c r="G106" i="3"/>
  <c r="I98" i="3"/>
  <c r="G125" i="3"/>
  <c r="J101" i="3"/>
  <c r="I39" i="3"/>
  <c r="H124" i="3"/>
  <c r="J40" i="3"/>
  <c r="M60" i="3"/>
  <c r="G26" i="3"/>
  <c r="L128" i="3"/>
  <c r="K31" i="3"/>
  <c r="L37" i="3"/>
  <c r="G137" i="3"/>
  <c r="L64" i="3"/>
  <c r="M8" i="3"/>
  <c r="K8" i="3"/>
  <c r="L70" i="3"/>
  <c r="K21" i="3"/>
  <c r="G111" i="3"/>
  <c r="M23" i="3"/>
  <c r="K132" i="3"/>
  <c r="L48" i="3"/>
  <c r="G39" i="3"/>
  <c r="M102" i="3"/>
  <c r="G9" i="3"/>
  <c r="J115" i="3"/>
  <c r="I123" i="3"/>
  <c r="I105" i="3"/>
  <c r="G113" i="3"/>
  <c r="M41" i="3"/>
  <c r="H51" i="3"/>
  <c r="I104" i="3"/>
  <c r="J25" i="3"/>
  <c r="M45" i="3"/>
  <c r="L76" i="3"/>
  <c r="K73" i="3"/>
  <c r="H105" i="3"/>
  <c r="I119" i="3"/>
  <c r="I85" i="3"/>
  <c r="M110" i="3"/>
  <c r="L134" i="3"/>
  <c r="K103" i="3"/>
  <c r="J123" i="3"/>
  <c r="J86" i="3"/>
  <c r="J110" i="3"/>
  <c r="H132" i="3"/>
  <c r="M99" i="3"/>
  <c r="I129" i="3"/>
  <c r="J95" i="3"/>
  <c r="H104" i="3"/>
  <c r="K65" i="3"/>
  <c r="M40" i="3"/>
  <c r="I12" i="3"/>
  <c r="M132" i="3"/>
  <c r="M129" i="3"/>
  <c r="I78" i="3"/>
  <c r="H43" i="3"/>
  <c r="G100" i="3"/>
  <c r="H62" i="3"/>
  <c r="K27" i="3"/>
  <c r="L84" i="3"/>
  <c r="K111" i="3"/>
  <c r="H135" i="3"/>
  <c r="G75" i="3"/>
  <c r="I34" i="3"/>
  <c r="I90" i="3"/>
  <c r="K39" i="3"/>
  <c r="G6" i="3"/>
  <c r="G41" i="3"/>
  <c r="L7" i="3"/>
  <c r="K58" i="3"/>
  <c r="G24" i="3"/>
  <c r="M71" i="3"/>
  <c r="J33" i="3"/>
  <c r="K98" i="3"/>
  <c r="J46" i="3"/>
  <c r="J10" i="3"/>
  <c r="H60" i="3"/>
  <c r="G22" i="3"/>
  <c r="G60" i="3"/>
  <c r="G10" i="3"/>
  <c r="M32" i="3"/>
  <c r="I16" i="3"/>
  <c r="H73" i="3"/>
  <c r="J59" i="3"/>
  <c r="K140" i="3"/>
  <c r="K82" i="3"/>
  <c r="M131" i="3"/>
  <c r="J120" i="3"/>
  <c r="J129" i="3"/>
  <c r="L92" i="3"/>
  <c r="G64" i="3"/>
  <c r="K75" i="3"/>
  <c r="I97" i="3"/>
  <c r="K79" i="3"/>
  <c r="I72" i="3"/>
  <c r="H116" i="3"/>
  <c r="K22" i="3"/>
  <c r="J44" i="3"/>
  <c r="G52" i="3"/>
  <c r="K70" i="3"/>
  <c r="M93" i="3"/>
  <c r="K84" i="3"/>
  <c r="L50" i="3"/>
  <c r="I113" i="3"/>
  <c r="I127" i="3"/>
  <c r="L11" i="3"/>
  <c r="L73" i="3"/>
  <c r="H119" i="3"/>
  <c r="K124" i="3"/>
  <c r="G124" i="3"/>
  <c r="G14" i="3"/>
  <c r="H22" i="3"/>
  <c r="G139" i="3"/>
  <c r="K99" i="3"/>
  <c r="I115" i="3"/>
  <c r="I140" i="3"/>
  <c r="J106" i="3"/>
  <c r="I130" i="3"/>
  <c r="L100" i="3"/>
  <c r="J116" i="3"/>
  <c r="H137" i="3"/>
  <c r="M104" i="3"/>
  <c r="H125" i="3"/>
  <c r="K95" i="3"/>
  <c r="K119" i="3"/>
  <c r="H91" i="3"/>
  <c r="J98" i="3"/>
  <c r="L62" i="3"/>
  <c r="J36" i="3"/>
  <c r="G8" i="3"/>
  <c r="I124" i="3"/>
  <c r="I121" i="3"/>
  <c r="G74" i="3"/>
  <c r="K37" i="3"/>
  <c r="J94" i="3"/>
  <c r="H59" i="3"/>
  <c r="M24" i="3"/>
  <c r="G78" i="3"/>
  <c r="M105" i="3"/>
  <c r="M125" i="3"/>
  <c r="I66" i="3"/>
  <c r="L28" i="3"/>
  <c r="H79" i="3"/>
  <c r="L35" i="3"/>
  <c r="I110" i="3"/>
  <c r="I37" i="3"/>
  <c r="I131" i="3"/>
  <c r="I54" i="3"/>
  <c r="M18" i="3"/>
  <c r="M62" i="3"/>
  <c r="J29" i="3"/>
  <c r="M78" i="3"/>
  <c r="K42" i="3"/>
  <c r="G7" i="3"/>
  <c r="H52" i="3"/>
  <c r="M16" i="3"/>
  <c r="H48" i="3"/>
  <c r="L80" i="3"/>
  <c r="K23" i="3"/>
  <c r="K68" i="3"/>
  <c r="G13" i="3"/>
  <c r="J68" i="3"/>
  <c r="M19" i="3"/>
  <c r="H72" i="3"/>
  <c r="I125" i="3"/>
  <c r="M75" i="3"/>
  <c r="M61" i="3"/>
  <c r="H16" i="3"/>
  <c r="K92" i="3"/>
  <c r="K106" i="3"/>
  <c r="M100" i="3"/>
  <c r="H92" i="3"/>
  <c r="G130" i="3"/>
  <c r="I118" i="3"/>
  <c r="K112" i="3"/>
  <c r="J83" i="3"/>
  <c r="H127" i="3"/>
  <c r="I100" i="3"/>
  <c r="I68" i="3"/>
  <c r="L79" i="3"/>
  <c r="K72" i="3"/>
  <c r="J54" i="3"/>
  <c r="K24" i="3"/>
  <c r="M29" i="3"/>
  <c r="L10" i="3"/>
  <c r="K71" i="3"/>
  <c r="K108" i="3"/>
  <c r="I42" i="3"/>
  <c r="L53" i="3"/>
  <c r="K55" i="3"/>
  <c r="I102" i="3"/>
  <c r="M106" i="3"/>
  <c r="J97" i="3"/>
  <c r="K66" i="3"/>
  <c r="M22" i="3"/>
  <c r="J27" i="3"/>
  <c r="K34" i="3"/>
  <c r="H136" i="3"/>
  <c r="M109" i="3"/>
  <c r="H83" i="3"/>
  <c r="L117" i="3"/>
  <c r="J79" i="3"/>
  <c r="G19" i="3"/>
  <c r="I58" i="3"/>
  <c r="L32" i="3"/>
  <c r="G104" i="3"/>
  <c r="J84" i="3"/>
  <c r="I76" i="3"/>
  <c r="J71" i="3"/>
  <c r="M28" i="3"/>
  <c r="G90" i="3"/>
  <c r="M137" i="3"/>
  <c r="G98" i="3"/>
  <c r="I112" i="3"/>
  <c r="K137" i="3"/>
  <c r="L103" i="3"/>
  <c r="L127" i="3"/>
  <c r="H99" i="3"/>
  <c r="L113" i="3"/>
  <c r="J134" i="3"/>
  <c r="I103" i="3"/>
  <c r="G121" i="3"/>
  <c r="G94" i="3"/>
  <c r="H118" i="3"/>
  <c r="I88" i="3"/>
  <c r="J87" i="3"/>
  <c r="G61" i="3"/>
  <c r="L33" i="3"/>
  <c r="M6" i="3"/>
  <c r="J121" i="3"/>
  <c r="J118" i="3"/>
  <c r="M72" i="3"/>
  <c r="G36" i="3"/>
  <c r="L91" i="3"/>
  <c r="G56" i="3"/>
  <c r="I23" i="3"/>
  <c r="M76" i="3"/>
  <c r="G97" i="3"/>
  <c r="H123" i="3"/>
  <c r="J63" i="3"/>
  <c r="H27" i="3"/>
  <c r="G77" i="3"/>
  <c r="G28" i="3"/>
  <c r="L104" i="3"/>
  <c r="K35" i="3"/>
  <c r="L125" i="3"/>
  <c r="L52" i="3"/>
  <c r="J15" i="3"/>
  <c r="K60" i="3"/>
  <c r="L27" i="3"/>
  <c r="G76" i="3"/>
  <c r="L40" i="3"/>
  <c r="H50" i="3"/>
  <c r="J13" i="3"/>
  <c r="G46" i="3"/>
  <c r="G18" i="3"/>
  <c r="K11" i="3"/>
  <c r="L61" i="3"/>
  <c r="K77" i="3"/>
  <c r="L130" i="3"/>
  <c r="M134" i="3"/>
  <c r="K120" i="3"/>
  <c r="G109" i="3"/>
  <c r="L97" i="3"/>
  <c r="I91" i="3"/>
  <c r="G84" i="3"/>
  <c r="I29" i="3"/>
  <c r="M112" i="3"/>
  <c r="I33" i="3"/>
  <c r="J135" i="3"/>
  <c r="J111" i="3"/>
  <c r="G72" i="3"/>
  <c r="J104" i="3"/>
  <c r="J22" i="3"/>
  <c r="H46" i="3"/>
  <c r="M70" i="3"/>
  <c r="L6" i="3"/>
  <c r="G118" i="3"/>
  <c r="I137" i="3"/>
  <c r="M87" i="3"/>
  <c r="L136" i="3"/>
  <c r="L118" i="3"/>
  <c r="L72" i="3"/>
  <c r="J17" i="3"/>
  <c r="K125" i="3"/>
  <c r="G27" i="3"/>
  <c r="L49" i="3"/>
  <c r="K94" i="3"/>
  <c r="M58" i="3"/>
  <c r="G12" i="3"/>
  <c r="M55" i="3"/>
  <c r="K17" i="3"/>
  <c r="J112" i="3"/>
  <c r="G112" i="3"/>
  <c r="M97" i="3"/>
  <c r="M140" i="3"/>
  <c r="I108" i="3"/>
  <c r="K102" i="3"/>
  <c r="J19" i="3"/>
  <c r="M91" i="3"/>
  <c r="L111" i="3"/>
  <c r="M56" i="3"/>
  <c r="K46" i="3"/>
  <c r="G48" i="3"/>
  <c r="I136" i="3"/>
  <c r="I95" i="3"/>
  <c r="J109" i="3"/>
  <c r="G136" i="3"/>
  <c r="H102" i="3"/>
  <c r="K123" i="3"/>
  <c r="L93" i="3"/>
  <c r="K110" i="3"/>
  <c r="K131" i="3"/>
  <c r="J100" i="3"/>
  <c r="L119" i="3"/>
  <c r="M92" i="3"/>
  <c r="K115" i="3"/>
  <c r="K85" i="3"/>
  <c r="G85" i="3"/>
  <c r="L59" i="3"/>
  <c r="H32" i="3"/>
  <c r="J139" i="3"/>
  <c r="K118" i="3"/>
  <c r="M115" i="3"/>
  <c r="I71" i="3"/>
  <c r="M34" i="3"/>
  <c r="M84" i="3"/>
  <c r="M54" i="3"/>
  <c r="I138" i="3"/>
  <c r="I75" i="3"/>
  <c r="H94" i="3"/>
  <c r="J117" i="3"/>
  <c r="J60" i="3"/>
  <c r="J24" i="3"/>
  <c r="L74" i="3"/>
  <c r="I26" i="3"/>
  <c r="H90" i="3"/>
  <c r="M31" i="3"/>
  <c r="G110" i="3"/>
  <c r="M50" i="3"/>
  <c r="H12" i="3"/>
  <c r="J58" i="3"/>
  <c r="M25" i="3"/>
  <c r="M73" i="3"/>
  <c r="G35" i="3"/>
  <c r="M119" i="3"/>
  <c r="I48" i="3"/>
  <c r="I10" i="3"/>
  <c r="G44" i="3"/>
  <c r="J73" i="3"/>
  <c r="J16" i="3"/>
  <c r="L55" i="3"/>
  <c r="I8" i="3"/>
  <c r="M59" i="3"/>
  <c r="L14" i="3"/>
  <c r="J131" i="3"/>
  <c r="G58" i="3"/>
  <c r="I53" i="3"/>
  <c r="J91" i="3"/>
  <c r="L21" i="3"/>
  <c r="I82" i="3"/>
  <c r="M48" i="3"/>
  <c r="I56" i="3"/>
  <c r="G33" i="3"/>
  <c r="L8" i="3"/>
  <c r="H13" i="3"/>
  <c r="J11" i="3"/>
  <c r="K100" i="3"/>
  <c r="H87" i="3"/>
  <c r="H120" i="3"/>
  <c r="G63" i="3"/>
  <c r="I60" i="3"/>
  <c r="J113" i="3"/>
  <c r="H134" i="3"/>
  <c r="L120" i="3"/>
  <c r="M113" i="3"/>
  <c r="G99" i="3"/>
  <c r="I86" i="3"/>
  <c r="L140" i="3"/>
  <c r="I22" i="3"/>
  <c r="H71" i="3"/>
  <c r="H86" i="3"/>
  <c r="G82" i="3"/>
  <c r="L25" i="3"/>
  <c r="L87" i="3"/>
  <c r="H95" i="3"/>
  <c r="I49" i="3"/>
  <c r="I40" i="3"/>
  <c r="H44" i="3"/>
  <c r="K33" i="3"/>
  <c r="G31" i="3"/>
  <c r="K87" i="3"/>
  <c r="H129" i="3"/>
  <c r="G91" i="3"/>
  <c r="G105" i="3"/>
  <c r="J130" i="3"/>
  <c r="I99" i="3"/>
  <c r="G119" i="3"/>
  <c r="G140" i="3"/>
  <c r="H106" i="3"/>
  <c r="M128" i="3"/>
  <c r="J93" i="3"/>
  <c r="L115" i="3"/>
  <c r="J88" i="3"/>
  <c r="L109" i="3"/>
  <c r="M82" i="3"/>
  <c r="G80" i="3"/>
  <c r="K56" i="3"/>
  <c r="K26" i="3"/>
  <c r="J124" i="3"/>
  <c r="K97" i="3"/>
  <c r="H103" i="3"/>
  <c r="M66" i="3"/>
  <c r="J138" i="3"/>
  <c r="H78" i="3"/>
  <c r="J50" i="3"/>
  <c r="J132" i="3"/>
  <c r="G71" i="3"/>
  <c r="M88" i="3"/>
  <c r="L108" i="3"/>
  <c r="L51" i="3"/>
  <c r="L18" i="3"/>
  <c r="I65" i="3"/>
  <c r="G21" i="3"/>
  <c r="G79" i="3"/>
  <c r="H26" i="3"/>
  <c r="M98" i="3"/>
  <c r="L46" i="3"/>
  <c r="I7" i="3"/>
  <c r="H54" i="3"/>
  <c r="K18" i="3"/>
  <c r="K64" i="3"/>
  <c r="H31" i="3"/>
  <c r="H88" i="3"/>
  <c r="I44" i="3"/>
  <c r="M136" i="3"/>
  <c r="H40" i="3"/>
  <c r="M68" i="3"/>
  <c r="M11" i="3"/>
  <c r="M49" i="3"/>
  <c r="I134" i="3"/>
  <c r="K53" i="3"/>
  <c r="H8" i="3"/>
  <c r="I24" i="3"/>
  <c r="K52" i="3"/>
  <c r="K62" i="3"/>
  <c r="I84" i="3"/>
  <c r="J108" i="3"/>
  <c r="L36" i="3"/>
  <c r="J8" i="3"/>
  <c r="K128" i="3"/>
  <c r="K6" i="3"/>
  <c r="L123" i="3"/>
  <c r="H77" i="3"/>
  <c r="L88" i="3"/>
  <c r="L13" i="3"/>
  <c r="J99" i="3"/>
  <c r="I52" i="3"/>
  <c r="L45" i="3"/>
  <c r="M36" i="3"/>
  <c r="L131" i="3"/>
  <c r="J78" i="3"/>
  <c r="H10" i="3"/>
  <c r="K10" i="3"/>
  <c r="H36" i="3"/>
  <c r="K105" i="3"/>
  <c r="J119" i="3"/>
  <c r="J140" i="3"/>
  <c r="M103" i="3"/>
  <c r="M127" i="3"/>
  <c r="G95" i="3"/>
  <c r="K116" i="3"/>
  <c r="M138" i="3"/>
  <c r="J103" i="3"/>
  <c r="J127" i="3"/>
  <c r="L90" i="3"/>
  <c r="L112" i="3"/>
  <c r="L85" i="3"/>
  <c r="H108" i="3"/>
  <c r="K139" i="3"/>
  <c r="L78" i="3"/>
  <c r="H55" i="3"/>
  <c r="G25" i="3"/>
  <c r="K121" i="3"/>
  <c r="L94" i="3"/>
  <c r="H100" i="3"/>
  <c r="H65" i="3"/>
  <c r="K135" i="3"/>
  <c r="J75" i="3"/>
  <c r="K44" i="3"/>
  <c r="K129" i="3"/>
  <c r="G68" i="3"/>
  <c r="K86" i="3"/>
  <c r="L105" i="3"/>
  <c r="G50" i="3"/>
  <c r="H17" i="3"/>
  <c r="H63" i="3"/>
  <c r="H19" i="3"/>
  <c r="K74" i="3"/>
  <c r="H93" i="3"/>
  <c r="M42" i="3"/>
  <c r="H131" i="3"/>
  <c r="I15" i="3"/>
  <c r="H29" i="3"/>
  <c r="J42" i="3"/>
  <c r="G66" i="3"/>
  <c r="I36" i="3"/>
  <c r="M51" i="3"/>
  <c r="G116" i="3"/>
  <c r="G115" i="3"/>
  <c r="H84" i="3"/>
  <c r="I62" i="3"/>
  <c r="H61" i="3"/>
  <c r="K78" i="3"/>
  <c r="I92" i="3"/>
  <c r="I59" i="3"/>
  <c r="M15" i="3"/>
  <c r="M80" i="3"/>
  <c r="I120" i="3"/>
  <c r="H68" i="3"/>
  <c r="I17" i="3"/>
  <c r="L23" i="3"/>
  <c r="K109" i="3"/>
  <c r="G129" i="3"/>
  <c r="J92" i="3"/>
  <c r="L116" i="3"/>
  <c r="H85" i="3"/>
  <c r="L110" i="3"/>
  <c r="H130" i="3"/>
  <c r="K93" i="3"/>
  <c r="M117" i="3"/>
  <c r="I139" i="3"/>
  <c r="J105" i="3"/>
  <c r="J136" i="3"/>
  <c r="G101" i="3"/>
  <c r="L121" i="3"/>
  <c r="L71" i="3"/>
  <c r="I46" i="3"/>
  <c r="K16" i="3"/>
  <c r="I101" i="3"/>
  <c r="K138" i="3"/>
  <c r="G87" i="3"/>
  <c r="J53" i="3"/>
  <c r="H121" i="3"/>
  <c r="L66" i="3"/>
  <c r="J37" i="3"/>
  <c r="H97" i="3"/>
  <c r="I132" i="3"/>
  <c r="H75" i="3"/>
  <c r="L82" i="3"/>
  <c r="J41" i="3"/>
  <c r="J7" i="3"/>
  <c r="H45" i="3"/>
  <c r="L12" i="3"/>
  <c r="L54" i="3"/>
  <c r="L15" i="3"/>
  <c r="H74" i="3"/>
  <c r="J31" i="3"/>
  <c r="G93" i="3"/>
  <c r="M44" i="3"/>
  <c r="H7" i="3"/>
  <c r="J52" i="3"/>
  <c r="J18" i="3"/>
  <c r="J66" i="3"/>
  <c r="G29" i="3"/>
  <c r="H66" i="3"/>
  <c r="H18" i="3"/>
  <c r="H42" i="3"/>
  <c r="K80" i="3"/>
  <c r="H25" i="3"/>
  <c r="L83" i="3"/>
  <c r="J34" i="3"/>
  <c r="G32" i="3"/>
  <c r="K9" i="3"/>
  <c r="J39" i="3"/>
  <c r="I31" i="3"/>
  <c r="H58" i="3"/>
  <c r="I25" i="3"/>
  <c r="J65" i="3"/>
  <c r="L124" i="3"/>
  <c r="M53" i="3"/>
  <c r="G43" i="3"/>
  <c r="M85" i="3"/>
  <c r="H64" i="3"/>
  <c r="K134" i="3"/>
  <c r="J74" i="3"/>
  <c r="H138" i="3"/>
  <c r="I35" i="3"/>
  <c r="M101" i="3"/>
  <c r="K130" i="3"/>
  <c r="G73" i="3"/>
  <c r="I135" i="3"/>
  <c r="L98" i="3"/>
  <c r="M83" i="3"/>
  <c r="AC42" i="1" l="1"/>
  <c r="AC81" i="1"/>
  <c r="AC35" i="1"/>
  <c r="AC23" i="1"/>
  <c r="AC54" i="1"/>
  <c r="AC9" i="1"/>
  <c r="AC53" i="1"/>
  <c r="N73" i="3"/>
  <c r="P73" i="3" s="1"/>
  <c r="K141" i="3"/>
  <c r="N43" i="3"/>
  <c r="P43" i="3" s="1"/>
  <c r="H67" i="3"/>
  <c r="I38" i="3"/>
  <c r="J47" i="3"/>
  <c r="N32" i="3"/>
  <c r="P32" i="3" s="1"/>
  <c r="N29" i="3"/>
  <c r="P29" i="3" s="1"/>
  <c r="N93" i="3"/>
  <c r="P93" i="3" s="1"/>
  <c r="J38" i="3"/>
  <c r="L89" i="3"/>
  <c r="H107" i="3"/>
  <c r="N87" i="3"/>
  <c r="P87" i="3" s="1"/>
  <c r="N101" i="3"/>
  <c r="P101" i="3" s="1"/>
  <c r="N129" i="3"/>
  <c r="P129" i="3" s="1"/>
  <c r="H69" i="3"/>
  <c r="G122" i="3"/>
  <c r="N122" i="3" s="1"/>
  <c r="P122" i="3" s="1"/>
  <c r="N115" i="3"/>
  <c r="P115" i="3" s="1"/>
  <c r="N116" i="3"/>
  <c r="P116" i="3" s="1"/>
  <c r="N66" i="3"/>
  <c r="P66" i="3" s="1"/>
  <c r="N50" i="3"/>
  <c r="P50" i="3" s="1"/>
  <c r="G69" i="3"/>
  <c r="N69" i="3" s="1"/>
  <c r="P69" i="3" s="1"/>
  <c r="N68" i="3"/>
  <c r="P68" i="3" s="1"/>
  <c r="N25" i="3"/>
  <c r="P25" i="3" s="1"/>
  <c r="H114" i="3"/>
  <c r="L96" i="3"/>
  <c r="J133" i="3"/>
  <c r="N95" i="3"/>
  <c r="P95" i="3" s="1"/>
  <c r="M133" i="3"/>
  <c r="L126" i="3"/>
  <c r="K20" i="3"/>
  <c r="K142" i="3" s="1"/>
  <c r="J114" i="3"/>
  <c r="I141" i="3"/>
  <c r="M69" i="3"/>
  <c r="H38" i="3"/>
  <c r="N79" i="3"/>
  <c r="P79" i="3" s="1"/>
  <c r="G30" i="3"/>
  <c r="N30" i="3" s="1"/>
  <c r="P30" i="3" s="1"/>
  <c r="N21" i="3"/>
  <c r="P21" i="3" s="1"/>
  <c r="L114" i="3"/>
  <c r="N71" i="3"/>
  <c r="P71" i="3" s="1"/>
  <c r="K107" i="3"/>
  <c r="N80" i="3"/>
  <c r="P80" i="3" s="1"/>
  <c r="M89" i="3"/>
  <c r="L122" i="3"/>
  <c r="N140" i="3"/>
  <c r="P140" i="3" s="1"/>
  <c r="N119" i="3"/>
  <c r="P119" i="3" s="1"/>
  <c r="N105" i="3"/>
  <c r="P105" i="3" s="1"/>
  <c r="N91" i="3"/>
  <c r="P91" i="3" s="1"/>
  <c r="N31" i="3"/>
  <c r="P31" i="3" s="1"/>
  <c r="G38" i="3"/>
  <c r="N38" i="3" s="1"/>
  <c r="P38" i="3" s="1"/>
  <c r="G89" i="3"/>
  <c r="N89" i="3" s="1"/>
  <c r="P89" i="3" s="1"/>
  <c r="N82" i="3"/>
  <c r="P82" i="3" s="1"/>
  <c r="N99" i="3"/>
  <c r="P99" i="3" s="1"/>
  <c r="H141" i="3"/>
  <c r="N63" i="3"/>
  <c r="P63" i="3" s="1"/>
  <c r="N33" i="3"/>
  <c r="P33" i="3" s="1"/>
  <c r="M57" i="3"/>
  <c r="I89" i="3"/>
  <c r="L30" i="3"/>
  <c r="G67" i="3"/>
  <c r="N67" i="3" s="1"/>
  <c r="P67" i="3" s="1"/>
  <c r="N58" i="3"/>
  <c r="P58" i="3" s="1"/>
  <c r="N44" i="3"/>
  <c r="P44" i="3" s="1"/>
  <c r="I57" i="3"/>
  <c r="N35" i="3"/>
  <c r="P35" i="3" s="1"/>
  <c r="J67" i="3"/>
  <c r="N110" i="3"/>
  <c r="P110" i="3" s="1"/>
  <c r="M38" i="3"/>
  <c r="H96" i="3"/>
  <c r="M122" i="3"/>
  <c r="N85" i="3"/>
  <c r="P85" i="3" s="1"/>
  <c r="K122" i="3"/>
  <c r="K126" i="3"/>
  <c r="N136" i="3"/>
  <c r="P136" i="3" s="1"/>
  <c r="G57" i="3"/>
  <c r="N57" i="3" s="1"/>
  <c r="P57" i="3" s="1"/>
  <c r="N48" i="3"/>
  <c r="P48" i="3" s="1"/>
  <c r="I114" i="3"/>
  <c r="M107" i="3"/>
  <c r="N12" i="3"/>
  <c r="P12" i="3" s="1"/>
  <c r="M67" i="3"/>
  <c r="N27" i="3"/>
  <c r="P27" i="3" s="1"/>
  <c r="N118" i="3"/>
  <c r="P118" i="3" s="1"/>
  <c r="L20" i="3"/>
  <c r="L142" i="3" s="1"/>
  <c r="M81" i="3"/>
  <c r="N72" i="3"/>
  <c r="P72" i="3" s="1"/>
  <c r="N84" i="3"/>
  <c r="P84" i="3" s="1"/>
  <c r="L107" i="3"/>
  <c r="N109" i="3"/>
  <c r="P109" i="3" s="1"/>
  <c r="M141" i="3"/>
  <c r="N18" i="3"/>
  <c r="P18" i="3" s="1"/>
  <c r="N46" i="3"/>
  <c r="P46" i="3" s="1"/>
  <c r="N76" i="3"/>
  <c r="P76" i="3" s="1"/>
  <c r="N28" i="3"/>
  <c r="P28" i="3" s="1"/>
  <c r="N77" i="3"/>
  <c r="P77" i="3" s="1"/>
  <c r="H126" i="3"/>
  <c r="N97" i="3"/>
  <c r="P97" i="3" s="1"/>
  <c r="G107" i="3"/>
  <c r="N107" i="3" s="1"/>
  <c r="P107" i="3" s="1"/>
  <c r="N56" i="3"/>
  <c r="P56" i="3" s="1"/>
  <c r="N36" i="3"/>
  <c r="P36" i="3" s="1"/>
  <c r="M20" i="3"/>
  <c r="M142" i="3" s="1"/>
  <c r="N61" i="3"/>
  <c r="P61" i="3" s="1"/>
  <c r="N94" i="3"/>
  <c r="P94" i="3" s="1"/>
  <c r="N121" i="3"/>
  <c r="P121" i="3" s="1"/>
  <c r="J141" i="3"/>
  <c r="L133" i="3"/>
  <c r="N98" i="3"/>
  <c r="P98" i="3" s="1"/>
  <c r="G96" i="3"/>
  <c r="N96" i="3" s="1"/>
  <c r="P96" i="3" s="1"/>
  <c r="N90" i="3"/>
  <c r="P90" i="3" s="1"/>
  <c r="N104" i="3"/>
  <c r="P104" i="3" s="1"/>
  <c r="I67" i="3"/>
  <c r="N19" i="3"/>
  <c r="P19" i="3" s="1"/>
  <c r="J107" i="3"/>
  <c r="K114" i="3"/>
  <c r="I69" i="3"/>
  <c r="H133" i="3"/>
  <c r="N130" i="3"/>
  <c r="P130" i="3" s="1"/>
  <c r="J69" i="3"/>
  <c r="N13" i="3"/>
  <c r="P13" i="3" s="1"/>
  <c r="K69" i="3"/>
  <c r="H57" i="3"/>
  <c r="N7" i="3"/>
  <c r="P7" i="3" s="1"/>
  <c r="N78" i="3"/>
  <c r="P78" i="3" s="1"/>
  <c r="N74" i="3"/>
  <c r="P74" i="3" s="1"/>
  <c r="N8" i="3"/>
  <c r="P8" i="3" s="1"/>
  <c r="I122" i="3"/>
  <c r="N139" i="3"/>
  <c r="P139" i="3" s="1"/>
  <c r="N14" i="3"/>
  <c r="P14" i="3" s="1"/>
  <c r="N124" i="3"/>
  <c r="P124" i="3" s="1"/>
  <c r="I133" i="3"/>
  <c r="K81" i="3"/>
  <c r="N52" i="3"/>
  <c r="P52" i="3" s="1"/>
  <c r="I107" i="3"/>
  <c r="N64" i="3"/>
  <c r="P64" i="3" s="1"/>
  <c r="K89" i="3"/>
  <c r="N10" i="3"/>
  <c r="P10" i="3" s="1"/>
  <c r="N60" i="3"/>
  <c r="P60" i="3" s="1"/>
  <c r="N22" i="3"/>
  <c r="P22" i="3" s="1"/>
  <c r="N24" i="3"/>
  <c r="P24" i="3" s="1"/>
  <c r="K67" i="3"/>
  <c r="N41" i="3"/>
  <c r="P41" i="3" s="1"/>
  <c r="G20" i="3"/>
  <c r="N6" i="3"/>
  <c r="P6" i="3" s="1"/>
  <c r="K47" i="3"/>
  <c r="I96" i="3"/>
  <c r="N75" i="3"/>
  <c r="P75" i="3" s="1"/>
  <c r="N100" i="3"/>
  <c r="P100" i="3" s="1"/>
  <c r="J126" i="3"/>
  <c r="L141" i="3"/>
  <c r="N113" i="3"/>
  <c r="P113" i="3" s="1"/>
  <c r="I126" i="3"/>
  <c r="J122" i="3"/>
  <c r="N9" i="3"/>
  <c r="P9" i="3" s="1"/>
  <c r="G47" i="3"/>
  <c r="N47" i="3" s="1"/>
  <c r="P47" i="3" s="1"/>
  <c r="N39" i="3"/>
  <c r="P39" i="3" s="1"/>
  <c r="L57" i="3"/>
  <c r="N111" i="3"/>
  <c r="P111" i="3" s="1"/>
  <c r="K30" i="3"/>
  <c r="L81" i="3"/>
  <c r="N137" i="3"/>
  <c r="P137" i="3" s="1"/>
  <c r="K38" i="3"/>
  <c r="N26" i="3"/>
  <c r="P26" i="3" s="1"/>
  <c r="I47" i="3"/>
  <c r="N125" i="3"/>
  <c r="P125" i="3" s="1"/>
  <c r="N106" i="3"/>
  <c r="P106" i="3" s="1"/>
  <c r="N102" i="3"/>
  <c r="P102" i="3" s="1"/>
  <c r="N53" i="3"/>
  <c r="P53" i="3" s="1"/>
  <c r="M30" i="3"/>
  <c r="N62" i="3"/>
  <c r="P62" i="3" s="1"/>
  <c r="J57" i="3"/>
  <c r="N45" i="3"/>
  <c r="P45" i="3" s="1"/>
  <c r="N128" i="3"/>
  <c r="P128" i="3" s="1"/>
  <c r="N138" i="3"/>
  <c r="P138" i="3" s="1"/>
  <c r="N103" i="3"/>
  <c r="P103" i="3" s="1"/>
  <c r="N42" i="3"/>
  <c r="P42" i="3" s="1"/>
  <c r="L69" i="3"/>
  <c r="N135" i="3"/>
  <c r="P135" i="3" s="1"/>
  <c r="M96" i="3"/>
  <c r="N54" i="3"/>
  <c r="P54" i="3" s="1"/>
  <c r="N49" i="3"/>
  <c r="P49" i="3" s="1"/>
  <c r="K57" i="3"/>
  <c r="J89" i="3"/>
  <c r="M114" i="3"/>
  <c r="N127" i="3"/>
  <c r="P127" i="3" s="1"/>
  <c r="G133" i="3"/>
  <c r="N133" i="3" s="1"/>
  <c r="P133" i="3" s="1"/>
  <c r="N40" i="3"/>
  <c r="P40" i="3" s="1"/>
  <c r="N131" i="3"/>
  <c r="P131" i="3" s="1"/>
  <c r="N51" i="3"/>
  <c r="P51" i="3" s="1"/>
  <c r="N37" i="3"/>
  <c r="P37" i="3" s="1"/>
  <c r="N120" i="3"/>
  <c r="P120" i="3" s="1"/>
  <c r="N65" i="3"/>
  <c r="P65" i="3" s="1"/>
  <c r="N83" i="3"/>
  <c r="P83" i="3" s="1"/>
  <c r="N15" i="3"/>
  <c r="P15" i="3" s="1"/>
  <c r="G81" i="3"/>
  <c r="N81" i="3" s="1"/>
  <c r="P81" i="3" s="1"/>
  <c r="N70" i="3"/>
  <c r="P70" i="3" s="1"/>
  <c r="N132" i="3"/>
  <c r="P132" i="3" s="1"/>
  <c r="N92" i="3"/>
  <c r="P92" i="3" s="1"/>
  <c r="K133" i="3"/>
  <c r="H122" i="3"/>
  <c r="N88" i="3"/>
  <c r="P88" i="3" s="1"/>
  <c r="M126" i="3"/>
  <c r="G114" i="3"/>
  <c r="N114" i="3" s="1"/>
  <c r="P114" i="3" s="1"/>
  <c r="N108" i="3"/>
  <c r="P108" i="3" s="1"/>
  <c r="M142" i="11"/>
  <c r="L142" i="11"/>
  <c r="L144" i="11" s="1"/>
  <c r="K142" i="11"/>
  <c r="K144" i="11" s="1"/>
  <c r="J142" i="11"/>
  <c r="I142" i="11"/>
  <c r="H142" i="11"/>
  <c r="N4" i="11"/>
  <c r="O3" i="11" s="1"/>
  <c r="N141" i="11"/>
  <c r="K143" i="10"/>
  <c r="N141" i="8"/>
  <c r="I142" i="8"/>
  <c r="H142" i="8"/>
  <c r="N4" i="8"/>
  <c r="L142" i="8"/>
  <c r="L144" i="8" s="1"/>
  <c r="K142" i="8"/>
  <c r="K144" i="8" s="1"/>
  <c r="J142" i="8"/>
  <c r="M142" i="8"/>
  <c r="M144" i="8" s="1"/>
  <c r="M143" i="8"/>
  <c r="L143" i="8"/>
  <c r="K143" i="8"/>
  <c r="J143" i="8"/>
  <c r="I143" i="8"/>
  <c r="H143" i="8"/>
  <c r="O4" i="8"/>
  <c r="G143" i="8"/>
  <c r="G144" i="8" s="1"/>
  <c r="O4" i="11"/>
  <c r="M143" i="11"/>
  <c r="J143" i="11"/>
  <c r="I143" i="11"/>
  <c r="H143" i="11"/>
  <c r="G143" i="11"/>
  <c r="G144" i="11" s="1"/>
  <c r="L143" i="11"/>
  <c r="K143" i="11"/>
  <c r="O4" i="9"/>
  <c r="J143" i="9"/>
  <c r="I143" i="9"/>
  <c r="H143" i="9"/>
  <c r="G143" i="9"/>
  <c r="G144" i="9" s="1"/>
  <c r="M143" i="9"/>
  <c r="L143" i="9"/>
  <c r="K143" i="9"/>
  <c r="N140" i="11"/>
  <c r="L143" i="10"/>
  <c r="N141" i="10"/>
  <c r="J142" i="10"/>
  <c r="J144" i="10" s="1"/>
  <c r="I142" i="10"/>
  <c r="I144" i="10" s="1"/>
  <c r="H142" i="10"/>
  <c r="H144" i="10" s="1"/>
  <c r="N4" i="10"/>
  <c r="O3" i="10" s="1"/>
  <c r="L142" i="10"/>
  <c r="L144" i="10" s="1"/>
  <c r="K142" i="10"/>
  <c r="M142" i="10"/>
  <c r="M144" i="10" s="1"/>
  <c r="AC90" i="1"/>
  <c r="X100" i="1"/>
  <c r="AA6" i="1"/>
  <c r="N140" i="10"/>
  <c r="AA100" i="2"/>
  <c r="AE6" i="1"/>
  <c r="AE100" i="1" s="1"/>
  <c r="AC100" i="2"/>
  <c r="N140" i="8"/>
  <c r="N140" i="9"/>
  <c r="M142" i="9"/>
  <c r="L142" i="9"/>
  <c r="K142" i="9"/>
  <c r="J142" i="9"/>
  <c r="J144" i="9" s="1"/>
  <c r="I142" i="9"/>
  <c r="I144" i="9" s="1"/>
  <c r="H142" i="9"/>
  <c r="H144" i="9" s="1"/>
  <c r="N4" i="9"/>
  <c r="O3" i="9" s="1"/>
  <c r="N141" i="9"/>
  <c r="L144" i="9" l="1"/>
  <c r="H144" i="11"/>
  <c r="G142" i="3"/>
  <c r="N142" i="3" s="1"/>
  <c r="P142" i="3" s="1"/>
  <c r="N20" i="3"/>
  <c r="P20" i="3" s="1"/>
  <c r="K144" i="9"/>
  <c r="M144" i="9"/>
  <c r="I144" i="11"/>
  <c r="K144" i="10"/>
  <c r="J144" i="11"/>
  <c r="J144" i="8"/>
  <c r="M144" i="11"/>
  <c r="O3" i="8"/>
  <c r="AA100" i="1"/>
  <c r="AC6" i="1"/>
  <c r="AC100" i="1" s="1"/>
  <c r="H144" i="8"/>
  <c r="I14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9000000}">
      <text>
        <r>
          <rPr>
            <sz val="11"/>
            <color theme="1"/>
            <rFont val="Calibri"/>
            <scheme val="minor"/>
          </rPr>
          <t>======
ID#AAAB21Rx6z8
Adiprabowo, Edward    (2026-03-31 02:42:02)
Pastikan membuka 2 file excel PL dari logistik, East &amp; West sesuai KPS yang dibutuhkan, lalu ganti SKU &amp; Week</t>
        </r>
      </text>
    </comment>
    <comment ref="A6" authorId="0" shapeId="0" xr:uid="{00000000-0006-0000-0200-00001C000000}">
      <text>
        <r>
          <rPr>
            <sz val="11"/>
            <color theme="1"/>
            <rFont val="Calibri"/>
            <scheme val="minor"/>
          </rPr>
          <t>======
ID#AAAB21PyugI
Sigita, Marlisa    (2026-03-31 02:42:02)
All gudang Sumatra 1 dikirim dari Depo Medan. ETA adala dari Depo Medan</t>
        </r>
      </text>
    </comment>
    <comment ref="F6" authorId="0" shapeId="0" xr:uid="{00000000-0006-0000-0200-000008000000}">
      <text>
        <r>
          <rPr>
            <sz val="11"/>
            <color theme="1"/>
            <rFont val="Calibri"/>
            <scheme val="minor"/>
          </rPr>
          <t>======
ID#AAAB21Rx60A
Novianto, Anton (Sales)    (2026-03-31 02:42:02)
Medan 1 hanya RE --&gt; di kota Medan</t>
        </r>
      </text>
    </comment>
    <comment ref="F8" authorId="0" shapeId="0" xr:uid="{00000000-0006-0000-0200-00000A000000}">
      <text>
        <r>
          <rPr>
            <sz val="11"/>
            <color theme="1"/>
            <rFont val="Calibri"/>
            <scheme val="minor"/>
          </rPr>
          <t>======
ID#AAAB21Rx6zU
Novianto, Anton (Sales)    (2026-03-31 02:42:02)
Lokasinya jadi 1 dengan Depo Medan --&gt; di Tanjung morawa deli serdang.
Ini supply WE dari Medan 1 &amp; 2</t>
        </r>
      </text>
    </comment>
    <comment ref="F21" authorId="0" shapeId="0" xr:uid="{00000000-0006-0000-0200-000006000000}">
      <text>
        <r>
          <rPr>
            <sz val="11"/>
            <color theme="1"/>
            <rFont val="Calibri"/>
            <scheme val="minor"/>
          </rPr>
          <t>======
ID#AAAB21Rx61A
Selamet, Fangdya    (2026-03-31 02:42:02)
support solok dan bukittinggi</t>
        </r>
      </text>
    </comment>
    <comment ref="F23" authorId="0" shapeId="0" xr:uid="{00000000-0006-0000-0200-00000F000000}">
      <text>
        <r>
          <rPr>
            <sz val="11"/>
            <color theme="1"/>
            <rFont val="Calibri"/>
            <scheme val="minor"/>
          </rPr>
          <t>======
ID#AAAB21Rx6xw
Novianto, Anton (Sales)    (2026-03-31 02:42:02)
bukit ke padang/solok 2 jam</t>
        </r>
      </text>
    </comment>
    <comment ref="F26" authorId="0" shapeId="0" xr:uid="{00000000-0006-0000-0200-000007000000}">
      <text>
        <r>
          <rPr>
            <sz val="11"/>
            <color theme="1"/>
            <rFont val="Calibri"/>
            <scheme val="minor"/>
          </rPr>
          <t>======
ID#AAAB21Rx60k
Novianto, Anton (Sales)    (2026-03-31 02:42:02)
molek ke padang 14 jam</t>
        </r>
      </text>
    </comment>
    <comment ref="I33" authorId="0" shapeId="0" xr:uid="{00000000-0006-0000-0200-000012000000}">
      <text>
        <r>
          <rPr>
            <sz val="11"/>
            <color theme="1"/>
            <rFont val="Calibri"/>
            <scheme val="minor"/>
          </rPr>
          <t>======
ID#AAAB21Rx6vo
tc={44532CAD-D0A2-4C6D-B693-612EB60F0716}    (2026-03-31 02:42:02)
[Threaded comment]
Your version of Excel allows you to read this threaded comment; however, any edits to it will get removed if the file is opened in a newer version of Excel. Learn more: https://go.microsoft.com/fwlink/?linkid=870924
Comment:
    Bangka</t>
        </r>
      </text>
    </comment>
    <comment ref="J33" authorId="0" shapeId="0" xr:uid="{00000000-0006-0000-0200-000003000000}">
      <text>
        <r>
          <rPr>
            <sz val="11"/>
            <color theme="1"/>
            <rFont val="Calibri"/>
            <scheme val="minor"/>
          </rPr>
          <t>======
ID#AAAB21Rx61Y
tc={295CE844-A4A8-47E9-B93D-7E0903D31CC8}    (2026-03-31 02:42:02)
[Threaded comment]
Your version of Excel allows you to read this threaded comment; however, any edits to it will get removed if the file is opened in a newer version of Excel. Learn more: https://go.microsoft.com/fwlink/?linkid=870924
Comment:
    Belitung</t>
        </r>
      </text>
    </comment>
    <comment ref="F48" authorId="0" shapeId="0" xr:uid="{00000000-0006-0000-0200-000019000000}">
      <text>
        <r>
          <rPr>
            <sz val="11"/>
            <color theme="1"/>
            <rFont val="Calibri"/>
            <scheme val="minor"/>
          </rPr>
          <t>======
ID#AAAB21PyugU
Novianto, Anton (Sales)    (2026-03-31 02:42:02)
retail only</t>
        </r>
      </text>
    </comment>
    <comment ref="F49" authorId="0" shapeId="0" xr:uid="{00000000-0006-0000-0200-00000C000000}">
      <text>
        <r>
          <rPr>
            <sz val="11"/>
            <color theme="1"/>
            <rFont val="Calibri"/>
            <scheme val="minor"/>
          </rPr>
          <t>======
ID#AAAB21Rx6yE
Sigita, Marlisa    (2026-03-31 02:42:02)
Disupport dari Sunter dan Tangerang</t>
        </r>
      </text>
    </comment>
    <comment ref="F50" authorId="0" shapeId="0" xr:uid="{00000000-0006-0000-0200-00001A000000}">
      <text>
        <r>
          <rPr>
            <sz val="11"/>
            <color theme="1"/>
            <rFont val="Calibri"/>
            <scheme val="minor"/>
          </rPr>
          <t>======
ID#AAAB21PH_H4
Novianto, Anton (Sales)    (2026-03-31 02:42:02)
support Preorder</t>
        </r>
      </text>
    </comment>
    <comment ref="F51" authorId="0" shapeId="0" xr:uid="{00000000-0006-0000-0200-000004000000}">
      <text>
        <r>
          <rPr>
            <sz val="11"/>
            <color theme="1"/>
            <rFont val="Calibri"/>
            <scheme val="minor"/>
          </rPr>
          <t>======
ID#AAAB21Rx61M
Novianto, Anton (Sales)    (2026-03-31 02:42:02)
support Preorder</t>
        </r>
      </text>
    </comment>
    <comment ref="F52" authorId="0" shapeId="0" xr:uid="{00000000-0006-0000-0200-000002000000}">
      <text>
        <r>
          <rPr>
            <sz val="11"/>
            <color theme="1"/>
            <rFont val="Calibri"/>
            <scheme val="minor"/>
          </rPr>
          <t>======
ID#AAAB21Rx61k
Novianto, Anton (Sales)    (2026-03-31 02:42:02)
dari Pulogadung</t>
        </r>
      </text>
    </comment>
    <comment ref="F53" authorId="0" shapeId="0" xr:uid="{00000000-0006-0000-0200-000016000000}">
      <text>
        <r>
          <rPr>
            <sz val="11"/>
            <color theme="1"/>
            <rFont val="Calibri"/>
            <scheme val="minor"/>
          </rPr>
          <t>======
ID#AAAB21PyuhI
Novianto, Anton (Sales)    (2026-03-31 02:42:02)
dari Pulogadung</t>
        </r>
      </text>
    </comment>
    <comment ref="F54" authorId="0" shapeId="0" xr:uid="{00000000-0006-0000-0200-000017000000}">
      <text>
        <r>
          <rPr>
            <sz val="11"/>
            <color theme="1"/>
            <rFont val="Calibri"/>
            <scheme val="minor"/>
          </rPr>
          <t>======
ID#AAAB21Pyug8
Novianto, Anton (Sales)    (2026-03-31 02:42:02)
dari Ciracas
mobile warehouse</t>
        </r>
      </text>
    </comment>
    <comment ref="F55" authorId="0" shapeId="0" xr:uid="{00000000-0006-0000-0200-00000B000000}">
      <text>
        <r>
          <rPr>
            <sz val="11"/>
            <color theme="1"/>
            <rFont val="Calibri"/>
            <scheme val="minor"/>
          </rPr>
          <t>======
ID#AAAB21Rx6yw
Novianto, Anton (Sales)    (2026-03-31 02:42:02)
Support WS,</t>
        </r>
      </text>
    </comment>
    <comment ref="F56" authorId="0" shapeId="0" xr:uid="{00000000-0006-0000-0200-000005000000}">
      <text>
        <r>
          <rPr>
            <sz val="11"/>
            <color theme="1"/>
            <rFont val="Calibri"/>
            <scheme val="minor"/>
          </rPr>
          <t>======
ID#AAAB21Rx61I
Novianto, Anton (Sales)    (2026-03-31 02:42:02)
dari Ciracas</t>
        </r>
      </text>
    </comment>
    <comment ref="F61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ID#AAAB21TnbHg
Novianto, Anton (Sales)    (2026-03-31 02:42:03)
dari ADO Bogor</t>
        </r>
      </text>
    </comment>
    <comment ref="F64" authorId="0" shapeId="0" xr:uid="{00000000-0006-0000-0200-000010000000}">
      <text>
        <r>
          <rPr>
            <sz val="11"/>
            <color theme="1"/>
            <rFont val="Calibri"/>
            <scheme val="minor"/>
          </rPr>
          <t>======
ID#AAAB21Rx6xc
Novianto, Anton (Sales)    (2026-03-31 02:42:02)
Support dari ADO Tangerang untuk retail tangerang dan ps minggu</t>
        </r>
      </text>
    </comment>
    <comment ref="F72" authorId="0" shapeId="0" xr:uid="{00000000-0006-0000-0200-000014000000}">
      <text>
        <r>
          <rPr>
            <sz val="11"/>
            <color theme="1"/>
            <rFont val="Calibri"/>
            <scheme val="minor"/>
          </rPr>
          <t>======
ID#AAAB21Rx6vQ
Novianto, Anton (Sales)    (2026-03-31 02:42:02)
dari Bandung 1</t>
        </r>
      </text>
    </comment>
    <comment ref="F74" authorId="0" shapeId="0" xr:uid="{00000000-0006-0000-0200-00000D000000}">
      <text>
        <r>
          <rPr>
            <sz val="11"/>
            <color theme="1"/>
            <rFont val="Calibri"/>
            <scheme val="minor"/>
          </rPr>
          <t>======
ID#AAAB21Rx6yA
Novianto, Anton (Sales)    (2026-03-31 02:42:02)
dari Bandung 1</t>
        </r>
      </text>
    </comment>
    <comment ref="F90" authorId="0" shapeId="0" xr:uid="{00000000-0006-0000-0200-00000E000000}">
      <text>
        <r>
          <rPr>
            <sz val="11"/>
            <color theme="1"/>
            <rFont val="Calibri"/>
            <scheme val="minor"/>
          </rPr>
          <t>======
ID#AAAB21Rx6x8
Sigita, Marlisa    (2026-03-31 02:42:02)
Support dari Pati</t>
        </r>
      </text>
    </comment>
    <comment ref="G113" authorId="0" shapeId="0" xr:uid="{00000000-0006-0000-0200-000011000000}">
      <text>
        <r>
          <rPr>
            <sz val="11"/>
            <color theme="1"/>
            <rFont val="Calibri"/>
            <scheme val="minor"/>
          </rPr>
          <t>======
ID#AAAB21Rx6w0
tc={AC55C297-0E3F-4A5C-B6A5-0D0A5775B621}    (2026-03-31 02:42:02)
[Threaded comment]
Your version of Excel allows you to read this threaded comment; however, any edits to it will get removed if the file is opened in a newer version of Excel. Learn more: https://go.microsoft.com/fwlink/?linkid=870924
Comment:
    ADW Only</t>
        </r>
      </text>
    </comment>
    <comment ref="F115" authorId="0" shapeId="0" xr:uid="{00000000-0006-0000-0200-00001B000000}">
      <text>
        <r>
          <rPr>
            <sz val="11"/>
            <color theme="1"/>
            <rFont val="Calibri"/>
            <scheme val="minor"/>
          </rPr>
          <t>======
ID#AAAB21PH_H8
Novianto, Anton (Sales)    (2026-03-31 02:42:02)
kirim 
EZD Kotabaru
EZD Palangkaraya
EZD Pangkalan Bun
EZD Sampit</t>
        </r>
      </text>
    </comment>
    <comment ref="F121" authorId="0" shapeId="0" xr:uid="{00000000-0006-0000-0200-000015000000}">
      <text>
        <r>
          <rPr>
            <sz val="11"/>
            <color theme="1"/>
            <rFont val="Calibri"/>
            <scheme val="minor"/>
          </rPr>
          <t>======
ID#AAAB21Rx6u0
Novianto, Anton (Sales)    (2026-03-31 02:42:02)
kirim ke
EZD Tj Redep
EZD Tarakan
WSD Nunukan</t>
        </r>
      </text>
    </comment>
    <comment ref="F123" authorId="0" shapeId="0" xr:uid="{00000000-0006-0000-0200-000018000000}">
      <text>
        <r>
          <rPr>
            <sz val="11"/>
            <color theme="1"/>
            <rFont val="Calibri"/>
            <scheme val="minor"/>
          </rPr>
          <t>======
ID#AAAB21Pyugw
Novianto, Anton (Sales)    (2026-03-31 02:42:02)
kirim EZD Ketapang</t>
        </r>
      </text>
    </comment>
    <comment ref="G139" authorId="0" shapeId="0" xr:uid="{00000000-0006-0000-0200-000013000000}">
      <text>
        <r>
          <rPr>
            <sz val="11"/>
            <color theme="1"/>
            <rFont val="Calibri"/>
            <scheme val="minor"/>
          </rPr>
          <t>======
ID#AAAB21Rx6vI
tc={1899462F-F7FF-4CDA-9984-B916C0E6F91D}    (2026-03-31 02:42:02)
[Threaded comment]
Your version of Excel allows you to read this threaded comment; however, any edits to it will get removed if the file is opened in a newer version of Excel. Learn more: https://go.microsoft.com/fwlink/?linkid=870924
Comment:
    EZD Fak-Fak
EZD Jayapura
EZD Kendari
EZD Manokwari
EZD Merauke
EZD Nabire
EZD Timika
EZD Kaimana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2m1LJE8LUa+qH96eQ0FkFNziLE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80" authorId="0" shapeId="0" xr:uid="{00000000-0006-0000-0600-000001000000}">
      <text>
        <r>
          <rPr>
            <sz val="11"/>
            <color theme="1"/>
            <rFont val="Calibri"/>
            <scheme val="minor"/>
          </rPr>
          <t>======
ID#AAAB21Rx6u4
Melisa, Nydia    (2026-03-31 02:42:02)
Closing terbatas 9 malam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XYIQ1zVUyhpntsKsRN0f0WRcO5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700-00000D000000}">
      <text>
        <r>
          <rPr>
            <sz val="11"/>
            <color theme="1"/>
            <rFont val="Calibri"/>
            <scheme val="minor"/>
          </rPr>
          <t>======
ID#AAAB21Rx6vg
Sigita, Marlisa    (2026-03-31 02:42:02)
All gudang Sumatra 1 dikirim dari Depo Medan. ETA adala dari Depo Medan</t>
        </r>
      </text>
    </comment>
    <comment ref="E6" authorId="0" shapeId="0" xr:uid="{00000000-0006-0000-0700-000002000000}">
      <text>
        <r>
          <rPr>
            <sz val="11"/>
            <color theme="1"/>
            <rFont val="Calibri"/>
            <scheme val="minor"/>
          </rPr>
          <t>======
ID#AAAB21Rx604
Novianto, Anton (Sales)    (2026-03-31 02:42:02)
Medan 1 hanya RE --&gt; di kota Medan</t>
        </r>
      </text>
    </comment>
    <comment ref="E8" authorId="0" shapeId="0" xr:uid="{00000000-0006-0000-0700-000007000000}">
      <text>
        <r>
          <rPr>
            <sz val="11"/>
            <color theme="1"/>
            <rFont val="Calibri"/>
            <scheme val="minor"/>
          </rPr>
          <t>======
ID#AAAB21Rx6yU
Novianto, Anton (Sales)    (2026-03-31 02:42:02)
Lokasinya jadi 1 dengan Depo Medan --&gt; di Tanjung morawa deli serdang.
Ini supply WE dari Medan 1 &amp; 2</t>
        </r>
      </text>
    </comment>
    <comment ref="E21" authorId="0" shapeId="0" xr:uid="{00000000-0006-0000-0700-000009000000}">
      <text>
        <r>
          <rPr>
            <sz val="11"/>
            <color theme="1"/>
            <rFont val="Calibri"/>
            <scheme val="minor"/>
          </rPr>
          <t>======
ID#AAAB21Rx6xY
Selamet, Fangdya    (2026-03-31 02:42:02)
support solok dan bukittinggi</t>
        </r>
      </text>
    </comment>
    <comment ref="E23" authorId="0" shapeId="0" xr:uid="{00000000-0006-0000-0700-000016000000}">
      <text>
        <r>
          <rPr>
            <sz val="11"/>
            <color theme="1"/>
            <rFont val="Calibri"/>
            <scheme val="minor"/>
          </rPr>
          <t>======
ID#AAAB21Pyugo
Novianto, Anton (Sales)    (2026-03-31 02:42:02)
bukit ke padang/solok 2 jam</t>
        </r>
      </text>
    </comment>
    <comment ref="E26" authorId="0" shapeId="0" xr:uid="{00000000-0006-0000-0700-000014000000}">
      <text>
        <r>
          <rPr>
            <sz val="11"/>
            <color theme="1"/>
            <rFont val="Calibri"/>
            <scheme val="minor"/>
          </rPr>
          <t>======
ID#AAAB21PyuhE
Novianto, Anton (Sales)    (2026-03-31 02:42:02)
molek ke padang 14 jam</t>
        </r>
      </text>
    </comment>
    <comment ref="E49" authorId="0" shapeId="0" xr:uid="{00000000-0006-0000-0700-00000F000000}">
      <text>
        <r>
          <rPr>
            <sz val="11"/>
            <color theme="1"/>
            <rFont val="Calibri"/>
            <scheme val="minor"/>
          </rPr>
          <t>======
ID#AAAB21Rx6vM
Novianto, Anton (Sales)    (2026-03-31 02:42:02)
Support WS,</t>
        </r>
      </text>
    </comment>
    <comment ref="E50" authorId="0" shapeId="0" xr:uid="{00000000-0006-0000-0700-00000E000000}">
      <text>
        <r>
          <rPr>
            <sz val="11"/>
            <color theme="1"/>
            <rFont val="Calibri"/>
            <scheme val="minor"/>
          </rPr>
          <t>======
ID#AAAB21Rx6vc
Novianto, Anton (Sales)    (2026-03-31 02:42:02)
support Preorder</t>
        </r>
      </text>
    </comment>
    <comment ref="E51" authorId="0" shapeId="0" xr:uid="{00000000-0006-0000-0700-00000A000000}">
      <text>
        <r>
          <rPr>
            <sz val="11"/>
            <color theme="1"/>
            <rFont val="Calibri"/>
            <scheme val="minor"/>
          </rPr>
          <t>======
ID#AAAB21Rx6xI
Novianto, Anton (Sales)    (2026-03-31 02:42:02)
retail only</t>
        </r>
      </text>
    </comment>
    <comment ref="E52" authorId="0" shapeId="0" xr:uid="{00000000-0006-0000-0700-00000C000000}">
      <text>
        <r>
          <rPr>
            <sz val="11"/>
            <color theme="1"/>
            <rFont val="Calibri"/>
            <scheme val="minor"/>
          </rPr>
          <t>======
ID#AAAB21Rx6vk
Sigita, Marlisa    (2026-03-31 02:42:02)
Disupport dari Sunter dan Tangerang</t>
        </r>
      </text>
    </comment>
    <comment ref="E53" authorId="0" shapeId="0" xr:uid="{00000000-0006-0000-0700-000001000000}">
      <text>
        <r>
          <rPr>
            <sz val="11"/>
            <color theme="1"/>
            <rFont val="Calibri"/>
            <scheme val="minor"/>
          </rPr>
          <t>======
ID#AAAB21Rx61c
Novianto, Anton (Sales)    (2026-03-31 02:42:02)
support Preorder</t>
        </r>
      </text>
    </comment>
    <comment ref="E54" authorId="0" shapeId="0" xr:uid="{00000000-0006-0000-0700-00000B000000}">
      <text>
        <r>
          <rPr>
            <sz val="11"/>
            <color theme="1"/>
            <rFont val="Calibri"/>
            <scheme val="minor"/>
          </rPr>
          <t>======
ID#AAAB21Rx6ww
Novianto, Anton (Sales)    (2026-03-31 02:42:02)
dari Pulogadung</t>
        </r>
      </text>
    </comment>
    <comment ref="E55" authorId="0" shapeId="0" xr:uid="{00000000-0006-0000-0700-000011000000}">
      <text>
        <r>
          <rPr>
            <sz val="11"/>
            <color theme="1"/>
            <rFont val="Calibri"/>
            <scheme val="minor"/>
          </rPr>
          <t>======
ID#AAAB21Rx6vE
Novianto, Anton (Sales)    (2026-03-31 02:42:02)
dari Pulogadung</t>
        </r>
      </text>
    </comment>
    <comment ref="E56" authorId="0" shapeId="0" xr:uid="{00000000-0006-0000-0700-000010000000}">
      <text>
        <r>
          <rPr>
            <sz val="11"/>
            <color theme="1"/>
            <rFont val="Calibri"/>
            <scheme val="minor"/>
          </rPr>
          <t>======
ID#AAAB21Rx6vU
Novianto, Anton (Sales)    (2026-03-31 02:42:02)
dari Ciracas
mobile warehouse</t>
        </r>
      </text>
    </comment>
    <comment ref="E57" authorId="0" shapeId="0" xr:uid="{00000000-0006-0000-0700-000013000000}">
      <text>
        <r>
          <rPr>
            <sz val="11"/>
            <color theme="1"/>
            <rFont val="Calibri"/>
            <scheme val="minor"/>
          </rPr>
          <t>======
ID#AAAB21Rx6uo
Novianto, Anton (Sales)    (2026-03-31 02:42:02)
dari Ciracas</t>
        </r>
      </text>
    </comment>
    <comment ref="E62" authorId="0" shapeId="0" xr:uid="{00000000-0006-0000-0700-000017000000}">
      <text>
        <r>
          <rPr>
            <sz val="11"/>
            <color theme="1"/>
            <rFont val="Calibri"/>
            <scheme val="minor"/>
          </rPr>
          <t>======
ID#AAAB21PyugM
Novianto, Anton (Sales)    (2026-03-31 02:42:02)
dari ADO Bogor</t>
        </r>
      </text>
    </comment>
    <comment ref="E66" authorId="0" shapeId="0" xr:uid="{00000000-0006-0000-0700-000003000000}">
      <text>
        <r>
          <rPr>
            <sz val="11"/>
            <color theme="1"/>
            <rFont val="Calibri"/>
            <scheme val="minor"/>
          </rPr>
          <t>======
ID#AAAB21Rx60s
Novianto, Anton (Sales)    (2026-03-31 02:42:02)
Support dari ADO Tangerang untuk retail tangerang dan ps minggu</t>
        </r>
      </text>
    </comment>
    <comment ref="E71" authorId="0" shapeId="0" xr:uid="{00000000-0006-0000-0700-000006000000}">
      <text>
        <r>
          <rPr>
            <sz val="11"/>
            <color theme="1"/>
            <rFont val="Calibri"/>
            <scheme val="minor"/>
          </rPr>
          <t>======
ID#AAAB21Rx6zQ
Novianto, Anton (Sales)    (2026-03-31 02:42:02)
dari Bandung 1</t>
        </r>
      </text>
    </comment>
    <comment ref="E73" authorId="0" shapeId="0" xr:uid="{00000000-0006-0000-0700-000005000000}">
      <text>
        <r>
          <rPr>
            <sz val="11"/>
            <color theme="1"/>
            <rFont val="Calibri"/>
            <scheme val="minor"/>
          </rPr>
          <t>======
ID#AAAB21Rx6zY
Novianto, Anton (Sales)    (2026-03-31 02:42:02)
dari Bandung 1</t>
        </r>
      </text>
    </comment>
    <comment ref="E89" authorId="0" shapeId="0" xr:uid="{00000000-0006-0000-0700-000012000000}">
      <text>
        <r>
          <rPr>
            <sz val="11"/>
            <color theme="1"/>
            <rFont val="Calibri"/>
            <scheme val="minor"/>
          </rPr>
          <t>======
ID#AAAB21Rx6u8
Sigita, Marlisa    (2026-03-31 02:42:02)
Support dari Pati</t>
        </r>
      </text>
    </comment>
    <comment ref="E113" authorId="0" shapeId="0" xr:uid="{00000000-0006-0000-0700-000004000000}">
      <text>
        <r>
          <rPr>
            <sz val="11"/>
            <color theme="1"/>
            <rFont val="Calibri"/>
            <scheme val="minor"/>
          </rPr>
          <t>======
ID#AAAB21Rx6zk
Novianto, Anton (Sales)    (2026-03-31 02:42:02)
kirim 
EZD Kotabaru
EZD Palangkaraya
EZD Pangkalan Bun
EZD Sampit</t>
        </r>
      </text>
    </comment>
    <comment ref="E119" authorId="0" shapeId="0" xr:uid="{00000000-0006-0000-0700-000008000000}">
      <text>
        <r>
          <rPr>
            <sz val="11"/>
            <color theme="1"/>
            <rFont val="Calibri"/>
            <scheme val="minor"/>
          </rPr>
          <t>======
ID#AAAB21Rx6yI
Novianto, Anton (Sales)    (2026-03-31 02:42:02)
kirim ke
EZD Tj Redep
EZD Tarakan
WSD Nunukan</t>
        </r>
      </text>
    </comment>
    <comment ref="E121" authorId="0" shapeId="0" xr:uid="{00000000-0006-0000-0700-000015000000}">
      <text>
        <r>
          <rPr>
            <sz val="11"/>
            <color theme="1"/>
            <rFont val="Calibri"/>
            <scheme val="minor"/>
          </rPr>
          <t>======
ID#AAAB21Pyugs
Novianto, Anton (Sales)    (2026-03-31 02:42:02)
kirim EZD Ketapang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9nv+3udGg4OqfPa9N8e/9yBS8F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800-000009000000}">
      <text>
        <r>
          <rPr>
            <sz val="11"/>
            <color theme="1"/>
            <rFont val="Calibri"/>
            <scheme val="minor"/>
          </rPr>
          <t>======
ID#AAAB21Rx6zw
Sigita, Marlisa    (2026-03-31 02:42:02)
All gudang Sumatra 1 dikirim dari Depo Medan. ETA adala dari Depo Medan</t>
        </r>
      </text>
    </comment>
    <comment ref="E6" authorId="0" shapeId="0" xr:uid="{00000000-0006-0000-0800-00000F000000}">
      <text>
        <r>
          <rPr>
            <sz val="11"/>
            <color theme="1"/>
            <rFont val="Calibri"/>
            <scheme val="minor"/>
          </rPr>
          <t>======
ID#AAAB21Rx6yM
Novianto, Anton (Sales)    (2026-03-31 02:42:02)
Medan 1 hanya RE --&gt; di kota Medan</t>
        </r>
      </text>
    </comment>
    <comment ref="E8" authorId="0" shapeId="0" xr:uid="{00000000-0006-0000-0800-000015000000}">
      <text>
        <r>
          <rPr>
            <sz val="11"/>
            <color theme="1"/>
            <rFont val="Calibri"/>
            <scheme val="minor"/>
          </rPr>
          <t>======
ID#AAAB21Rx6w4
Novianto, Anton (Sales)    (2026-03-31 02:42:02)
Lokasinya jadi 1 dengan Depo Medan --&gt; di Tanjung morawa deli serdang.
Ini supply WE dari Medan 1 &amp; 2</t>
        </r>
      </text>
    </comment>
    <comment ref="E21" authorId="0" shapeId="0" xr:uid="{00000000-0006-0000-0800-00000E000000}">
      <text>
        <r>
          <rPr>
            <sz val="11"/>
            <color theme="1"/>
            <rFont val="Calibri"/>
            <scheme val="minor"/>
          </rPr>
          <t>======
ID#AAAB21Rx6yY
Selamet, Fangdya    (2026-03-31 02:42:02)
support solok dan bukittinggi</t>
        </r>
      </text>
    </comment>
    <comment ref="E23" authorId="0" shapeId="0" xr:uid="{00000000-0006-0000-0800-000013000000}">
      <text>
        <r>
          <rPr>
            <sz val="11"/>
            <color theme="1"/>
            <rFont val="Calibri"/>
            <scheme val="minor"/>
          </rPr>
          <t>======
ID#AAAB21Rx6xo
Novianto, Anton (Sales)    (2026-03-31 02:42:02)
bukit ke padang/solok 2 jam</t>
        </r>
      </text>
    </comment>
    <comment ref="E26" authorId="0" shapeId="0" xr:uid="{00000000-0006-0000-0800-000008000000}">
      <text>
        <r>
          <rPr>
            <sz val="11"/>
            <color theme="1"/>
            <rFont val="Calibri"/>
            <scheme val="minor"/>
          </rPr>
          <t>======
ID#AAAB21Rx60M
Novianto, Anton (Sales)    (2026-03-31 02:42:02)
molek ke padang 14 jam</t>
        </r>
      </text>
    </comment>
    <comment ref="E49" authorId="0" shapeId="0" xr:uid="{00000000-0006-0000-0800-000001000000}">
      <text>
        <r>
          <rPr>
            <sz val="11"/>
            <color theme="1"/>
            <rFont val="Calibri"/>
            <scheme val="minor"/>
          </rPr>
          <t>======
ID#AAAB21TnbHo
Novianto, Anton (Sales)    (2026-03-31 02:42:03)
Support WS,</t>
        </r>
      </text>
    </comment>
    <comment ref="E50" authorId="0" shapeId="0" xr:uid="{00000000-0006-0000-0800-000012000000}">
      <text>
        <r>
          <rPr>
            <sz val="11"/>
            <color theme="1"/>
            <rFont val="Calibri"/>
            <scheme val="minor"/>
          </rPr>
          <t>======
ID#AAAB21Rx6x0
Novianto, Anton (Sales)    (2026-03-31 02:42:02)
support Preorder</t>
        </r>
      </text>
    </comment>
    <comment ref="E51" authorId="0" shapeId="0" xr:uid="{00000000-0006-0000-0800-00000B000000}">
      <text>
        <r>
          <rPr>
            <sz val="11"/>
            <color theme="1"/>
            <rFont val="Calibri"/>
            <scheme val="minor"/>
          </rPr>
          <t>======
ID#AAAB21Rx6y8
Novianto, Anton (Sales)    (2026-03-31 02:42:02)
retail only</t>
        </r>
      </text>
    </comment>
    <comment ref="E52" authorId="0" shapeId="0" xr:uid="{00000000-0006-0000-0800-000016000000}">
      <text>
        <r>
          <rPr>
            <sz val="11"/>
            <color theme="1"/>
            <rFont val="Calibri"/>
            <scheme val="minor"/>
          </rPr>
          <t>======
ID#AAAB21Rx6vs
Sigita, Marlisa    (2026-03-31 02:42:02)
Disupport dari Sunter dan Tangerang</t>
        </r>
      </text>
    </comment>
    <comment ref="E53" authorId="0" shapeId="0" xr:uid="{00000000-0006-0000-0800-000010000000}">
      <text>
        <r>
          <rPr>
            <sz val="11"/>
            <color theme="1"/>
            <rFont val="Calibri"/>
            <scheme val="minor"/>
          </rPr>
          <t>======
ID#AAAB21Rx6yQ
Novianto, Anton (Sales)    (2026-03-31 02:42:02)
support Preorder</t>
        </r>
      </text>
    </comment>
    <comment ref="E54" authorId="0" shapeId="0" xr:uid="{00000000-0006-0000-0800-000014000000}">
      <text>
        <r>
          <rPr>
            <sz val="11"/>
            <color theme="1"/>
            <rFont val="Calibri"/>
            <scheme val="minor"/>
          </rPr>
          <t>======
ID#AAAB21Rx6xQ
Novianto, Anton (Sales)    (2026-03-31 02:42:02)
dari Pulogadung</t>
        </r>
      </text>
    </comment>
    <comment ref="E55" authorId="0" shapeId="0" xr:uid="{00000000-0006-0000-0800-000002000000}">
      <text>
        <r>
          <rPr>
            <sz val="11"/>
            <color theme="1"/>
            <rFont val="Calibri"/>
            <scheme val="minor"/>
          </rPr>
          <t>======
ID#AAAB21Rx61g
Novianto, Anton (Sales)    (2026-03-31 02:42:02)
dari Pulogadung</t>
        </r>
      </text>
    </comment>
    <comment ref="E56" authorId="0" shapeId="0" xr:uid="{00000000-0006-0000-0800-000011000000}">
      <text>
        <r>
          <rPr>
            <sz val="11"/>
            <color theme="1"/>
            <rFont val="Calibri"/>
            <scheme val="minor"/>
          </rPr>
          <t>======
ID#AAAB21Rx6x4
Novianto, Anton (Sales)    (2026-03-31 02:42:02)
dari Ciracas
mobile warehouse</t>
        </r>
      </text>
    </comment>
    <comment ref="E57" authorId="0" shapeId="0" xr:uid="{00000000-0006-0000-0800-000005000000}">
      <text>
        <r>
          <rPr>
            <sz val="11"/>
            <color theme="1"/>
            <rFont val="Calibri"/>
            <scheme val="minor"/>
          </rPr>
          <t>======
ID#AAAB21Rx60w
Novianto, Anton (Sales)    (2026-03-31 02:42:02)
dari Ciracas</t>
        </r>
      </text>
    </comment>
    <comment ref="E62" authorId="0" shapeId="0" xr:uid="{00000000-0006-0000-0800-00000D000000}">
      <text>
        <r>
          <rPr>
            <sz val="11"/>
            <color theme="1"/>
            <rFont val="Calibri"/>
            <scheme val="minor"/>
          </rPr>
          <t>======
ID#AAAB21Rx6y0
Novianto, Anton (Sales)    (2026-03-31 02:42:02)
dari ADO Bogor</t>
        </r>
      </text>
    </comment>
    <comment ref="E66" authorId="0" shapeId="0" xr:uid="{00000000-0006-0000-0800-000017000000}">
      <text>
        <r>
          <rPr>
            <sz val="11"/>
            <color theme="1"/>
            <rFont val="Calibri"/>
            <scheme val="minor"/>
          </rPr>
          <t>======
ID#AAAB21PyugQ
Novianto, Anton (Sales)    (2026-03-31 02:42:02)
Support dari ADO Tangerang untuk retail tangerang dan ps minggu</t>
        </r>
      </text>
    </comment>
    <comment ref="E71" authorId="0" shapeId="0" xr:uid="{00000000-0006-0000-0800-000004000000}">
      <text>
        <r>
          <rPr>
            <sz val="11"/>
            <color theme="1"/>
            <rFont val="Calibri"/>
            <scheme val="minor"/>
          </rPr>
          <t>======
ID#AAAB21Rx600
Novianto, Anton (Sales)    (2026-03-31 02:42:02)
dari Bandung 1</t>
        </r>
      </text>
    </comment>
    <comment ref="E73" authorId="0" shapeId="0" xr:uid="{00000000-0006-0000-0800-000006000000}">
      <text>
        <r>
          <rPr>
            <sz val="11"/>
            <color theme="1"/>
            <rFont val="Calibri"/>
            <scheme val="minor"/>
          </rPr>
          <t>======
ID#AAAB21Rx60Q
Novianto, Anton (Sales)    (2026-03-31 02:42:02)
dari Bandung 1</t>
        </r>
      </text>
    </comment>
    <comment ref="E89" authorId="0" shapeId="0" xr:uid="{00000000-0006-0000-0800-000007000000}">
      <text>
        <r>
          <rPr>
            <sz val="11"/>
            <color theme="1"/>
            <rFont val="Calibri"/>
            <scheme val="minor"/>
          </rPr>
          <t>======
ID#AAAB21Rx60g
Sigita, Marlisa    (2026-03-31 02:42:02)
Support dari Pati</t>
        </r>
      </text>
    </comment>
    <comment ref="E113" authorId="0" shapeId="0" xr:uid="{00000000-0006-0000-0800-00000A000000}">
      <text>
        <r>
          <rPr>
            <sz val="11"/>
            <color theme="1"/>
            <rFont val="Calibri"/>
            <scheme val="minor"/>
          </rPr>
          <t>======
ID#AAAB21Rx6zg
Novianto, Anton (Sales)    (2026-03-31 02:42:02)
kirim 
EZD Kotabaru
EZD Palangkaraya
EZD Pangkalan Bun
EZD Sampit</t>
        </r>
      </text>
    </comment>
    <comment ref="E119" authorId="0" shapeId="0" xr:uid="{00000000-0006-0000-0800-000003000000}">
      <text>
        <r>
          <rPr>
            <sz val="11"/>
            <color theme="1"/>
            <rFont val="Calibri"/>
            <scheme val="minor"/>
          </rPr>
          <t>======
ID#AAAB21Rx61U
Novianto, Anton (Sales)    (2026-03-31 02:42:02)
kirim ke
EZD Tj Redep
EZD Tarakan
WSD Nunukan</t>
        </r>
      </text>
    </comment>
    <comment ref="E121" authorId="0" shapeId="0" xr:uid="{00000000-0006-0000-0800-00000C000000}">
      <text>
        <r>
          <rPr>
            <sz val="11"/>
            <color theme="1"/>
            <rFont val="Calibri"/>
            <scheme val="minor"/>
          </rPr>
          <t>======
ID#AAAB21Rx6ys
Novianto, Anton (Sales)    (2026-03-31 02:42:02)
kirim EZD Ketapang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2iCgSPpCEZ6e1a01MrEtwZdr0L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900-00000C000000}">
      <text>
        <r>
          <rPr>
            <sz val="11"/>
            <color theme="1"/>
            <rFont val="Calibri"/>
            <scheme val="minor"/>
          </rPr>
          <t>======
ID#AAAB21Rx6zE
Sigita, Marlisa    (2026-03-31 02:42:02)
All gudang Sumatra 1 dikirim dari Depo Medan. ETA adala dari Depo Medan</t>
        </r>
      </text>
    </comment>
    <comment ref="E6" authorId="0" shapeId="0" xr:uid="{00000000-0006-0000-0900-000007000000}">
      <text>
        <r>
          <rPr>
            <sz val="11"/>
            <color theme="1"/>
            <rFont val="Calibri"/>
            <scheme val="minor"/>
          </rPr>
          <t>======
ID#AAAB21Rx6z0
Novianto, Anton (Sales)    (2026-03-31 02:42:02)
Medan 1 hanya RE --&gt; di kota Medan</t>
        </r>
      </text>
    </comment>
    <comment ref="E8" authorId="0" shapeId="0" xr:uid="{00000000-0006-0000-0900-000009000000}">
      <text>
        <r>
          <rPr>
            <sz val="11"/>
            <color theme="1"/>
            <rFont val="Calibri"/>
            <scheme val="minor"/>
          </rPr>
          <t>======
ID#AAAB21Rx6zc
Novianto, Anton (Sales)    (2026-03-31 02:42:02)
Lokasinya jadi 1 dengan Depo Medan --&gt; di Tanjung morawa deli serdang.
Ini supply WE dari Medan 1 &amp; 2</t>
        </r>
      </text>
    </comment>
    <comment ref="E21" authorId="0" shapeId="0" xr:uid="{00000000-0006-0000-0900-000017000000}">
      <text>
        <r>
          <rPr>
            <sz val="11"/>
            <color theme="1"/>
            <rFont val="Calibri"/>
            <scheme val="minor"/>
          </rPr>
          <t>======
ID#AAAB21PyugY
Selamet, Fangdya    (2026-03-31 02:42:02)
support solok dan bukittinggi</t>
        </r>
      </text>
    </comment>
    <comment ref="E23" authorId="0" shapeId="0" xr:uid="{00000000-0006-0000-0900-000003000000}">
      <text>
        <r>
          <rPr>
            <sz val="11"/>
            <color theme="1"/>
            <rFont val="Calibri"/>
            <scheme val="minor"/>
          </rPr>
          <t>======
ID#AAAB21Rx60U
Novianto, Anton (Sales)    (2026-03-31 02:42:02)
bukit ke padang/solok 2 jam</t>
        </r>
      </text>
    </comment>
    <comment ref="E26" authorId="0" shapeId="0" xr:uid="{00000000-0006-0000-0900-00000B000000}">
      <text>
        <r>
          <rPr>
            <sz val="11"/>
            <color theme="1"/>
            <rFont val="Calibri"/>
            <scheme val="minor"/>
          </rPr>
          <t>======
ID#AAAB21Rx6zI
Novianto, Anton (Sales)    (2026-03-31 02:42:02)
molek ke padang 14 jam</t>
        </r>
      </text>
    </comment>
    <comment ref="E49" authorId="0" shapeId="0" xr:uid="{00000000-0006-0000-0900-000015000000}">
      <text>
        <r>
          <rPr>
            <sz val="11"/>
            <color theme="1"/>
            <rFont val="Calibri"/>
            <scheme val="minor"/>
          </rPr>
          <t>======
ID#AAAB21Pyugk
Novianto, Anton (Sales)    (2026-03-31 02:42:02)
Support WS,</t>
        </r>
      </text>
    </comment>
    <comment ref="E50" authorId="0" shapeId="0" xr:uid="{00000000-0006-0000-0900-000008000000}">
      <text>
        <r>
          <rPr>
            <sz val="11"/>
            <color theme="1"/>
            <rFont val="Calibri"/>
            <scheme val="minor"/>
          </rPr>
          <t>======
ID#AAAB21Rx6zo
Novianto, Anton (Sales)    (2026-03-31 02:42:02)
support Preorder</t>
        </r>
      </text>
    </comment>
    <comment ref="E51" authorId="0" shapeId="0" xr:uid="{00000000-0006-0000-0900-000013000000}">
      <text>
        <r>
          <rPr>
            <sz val="11"/>
            <color theme="1"/>
            <rFont val="Calibri"/>
            <scheme val="minor"/>
          </rPr>
          <t>======
ID#AAAB21Rx6uk
Novianto, Anton (Sales)    (2026-03-31 02:42:02)
retail only</t>
        </r>
      </text>
    </comment>
    <comment ref="E52" authorId="0" shapeId="0" xr:uid="{00000000-0006-0000-0900-000011000000}">
      <text>
        <r>
          <rPr>
            <sz val="11"/>
            <color theme="1"/>
            <rFont val="Calibri"/>
            <scheme val="minor"/>
          </rPr>
          <t>======
ID#AAAB21Rx6vY
Sigita, Marlisa    (2026-03-31 02:42:02)
Disupport dari Sunter dan Tangerang</t>
        </r>
      </text>
    </comment>
    <comment ref="E53" authorId="0" shapeId="0" xr:uid="{00000000-0006-0000-0900-00000A000000}">
      <text>
        <r>
          <rPr>
            <sz val="11"/>
            <color theme="1"/>
            <rFont val="Calibri"/>
            <scheme val="minor"/>
          </rPr>
          <t>======
ID#AAAB21Rx6zM
Novianto, Anton (Sales)    (2026-03-31 02:42:02)
support Preorder</t>
        </r>
      </text>
    </comment>
    <comment ref="E54" authorId="0" shapeId="0" xr:uid="{00000000-0006-0000-0900-00000F000000}">
      <text>
        <r>
          <rPr>
            <sz val="11"/>
            <color theme="1"/>
            <rFont val="Calibri"/>
            <scheme val="minor"/>
          </rPr>
          <t>======
ID#AAAB21Rx6yc
Novianto, Anton (Sales)    (2026-03-31 02:42:02)
dari Pulogadung</t>
        </r>
      </text>
    </comment>
    <comment ref="E55" authorId="0" shapeId="0" xr:uid="{00000000-0006-0000-0900-000001000000}">
      <text>
        <r>
          <rPr>
            <sz val="11"/>
            <color theme="1"/>
            <rFont val="Calibri"/>
            <scheme val="minor"/>
          </rPr>
          <t>======
ID#AAAB21Rx61o
Novianto, Anton (Sales)    (2026-03-31 02:42:02)
dari Pulogadung</t>
        </r>
      </text>
    </comment>
    <comment ref="E56" authorId="0" shapeId="0" xr:uid="{00000000-0006-0000-0900-000002000000}">
      <text>
        <r>
          <rPr>
            <sz val="11"/>
            <color theme="1"/>
            <rFont val="Calibri"/>
            <scheme val="minor"/>
          </rPr>
          <t>======
ID#AAAB21Rx61Q
Novianto, Anton (Sales)    (2026-03-31 02:42:02)
dari Ciracas
mobile warehouse</t>
        </r>
      </text>
    </comment>
    <comment ref="E57" authorId="0" shapeId="0" xr:uid="{00000000-0006-0000-0900-00000E000000}">
      <text>
        <r>
          <rPr>
            <sz val="11"/>
            <color theme="1"/>
            <rFont val="Calibri"/>
            <scheme val="minor"/>
          </rPr>
          <t>======
ID#AAAB21Rx6y4
Novianto, Anton (Sales)    (2026-03-31 02:42:02)
dari Ciracas</t>
        </r>
      </text>
    </comment>
    <comment ref="E62" authorId="0" shapeId="0" xr:uid="{00000000-0006-0000-0900-00000D000000}">
      <text>
        <r>
          <rPr>
            <sz val="11"/>
            <color theme="1"/>
            <rFont val="Calibri"/>
            <scheme val="minor"/>
          </rPr>
          <t>======
ID#AAAB21Rx6yk
Novianto, Anton (Sales)    (2026-03-31 02:42:02)
dari ADO Bogor</t>
        </r>
      </text>
    </comment>
    <comment ref="E66" authorId="0" shapeId="0" xr:uid="{00000000-0006-0000-0900-000014000000}">
      <text>
        <r>
          <rPr>
            <sz val="11"/>
            <color theme="1"/>
            <rFont val="Calibri"/>
            <scheme val="minor"/>
          </rPr>
          <t>======
ID#AAAB21Pyug4
Novianto, Anton (Sales)    (2026-03-31 02:42:02)
Support dari ADO Tangerang untuk retail tangerang dan ps minggu</t>
        </r>
      </text>
    </comment>
    <comment ref="E71" authorId="0" shapeId="0" xr:uid="{00000000-0006-0000-0900-000006000000}">
      <text>
        <r>
          <rPr>
            <sz val="11"/>
            <color theme="1"/>
            <rFont val="Calibri"/>
            <scheme val="minor"/>
          </rPr>
          <t>======
ID#AAAB21Rx6z4
Novianto, Anton (Sales)    (2026-03-31 02:42:02)
dari Bandung 1</t>
        </r>
      </text>
    </comment>
    <comment ref="E73" authorId="0" shapeId="0" xr:uid="{00000000-0006-0000-0900-000004000000}">
      <text>
        <r>
          <rPr>
            <sz val="11"/>
            <color theme="1"/>
            <rFont val="Calibri"/>
            <scheme val="minor"/>
          </rPr>
          <t>======
ID#AAAB21Rx60o
Novianto, Anton (Sales)    (2026-03-31 02:42:02)
dari Bandung 1</t>
        </r>
      </text>
    </comment>
    <comment ref="E89" authorId="0" shapeId="0" xr:uid="{00000000-0006-0000-0900-000016000000}">
      <text>
        <r>
          <rPr>
            <sz val="11"/>
            <color theme="1"/>
            <rFont val="Calibri"/>
            <scheme val="minor"/>
          </rPr>
          <t>======
ID#AAAB21Pyugc
Sigita, Marlisa    (2026-03-31 02:42:02)
Support dari Pati</t>
        </r>
      </text>
    </comment>
    <comment ref="E113" authorId="0" shapeId="0" xr:uid="{00000000-0006-0000-0900-000012000000}">
      <text>
        <r>
          <rPr>
            <sz val="11"/>
            <color theme="1"/>
            <rFont val="Calibri"/>
            <scheme val="minor"/>
          </rPr>
          <t>======
ID#AAAB21Rx6vA
Novianto, Anton (Sales)    (2026-03-31 02:42:02)
kirim 
EZD Kotabaru
EZD Palangkaraya
EZD Pangkalan Bun
EZD Sampit</t>
        </r>
      </text>
    </comment>
    <comment ref="E119" authorId="0" shapeId="0" xr:uid="{00000000-0006-0000-0900-000010000000}">
      <text>
        <r>
          <rPr>
            <sz val="11"/>
            <color theme="1"/>
            <rFont val="Calibri"/>
            <scheme val="minor"/>
          </rPr>
          <t>======
ID#AAAB21Rx6w8
Novianto, Anton (Sales)    (2026-03-31 02:42:02)
kirim ke
EZD Tj Redep
EZD Tarakan
WSD Nunukan</t>
        </r>
      </text>
    </comment>
    <comment ref="E121" authorId="0" shapeId="0" xr:uid="{00000000-0006-0000-0900-000005000000}">
      <text>
        <r>
          <rPr>
            <sz val="11"/>
            <color theme="1"/>
            <rFont val="Calibri"/>
            <scheme val="minor"/>
          </rPr>
          <t>======
ID#AAAB21Rx60I
Novianto, Anton (Sales)    (2026-03-31 02:42:02)
kirim EZD Ketapang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iJUbJXGOgzEbp4V1U9Gj2+UtARA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A00-000003000000}">
      <text>
        <r>
          <rPr>
            <sz val="11"/>
            <color theme="1"/>
            <rFont val="Calibri"/>
            <scheme val="minor"/>
          </rPr>
          <t>======
ID#AAAB21Rx61E
Sigita, Marlisa    (2026-03-31 02:42:02)
All gudang Sumatra 1 dikirim dari Depo Medan. ETA adala dari Depo Medan</t>
        </r>
      </text>
    </comment>
    <comment ref="E6" authorId="0" shapeId="0" xr:uid="{00000000-0006-0000-0A00-000004000000}">
      <text>
        <r>
          <rPr>
            <sz val="11"/>
            <color theme="1"/>
            <rFont val="Calibri"/>
            <scheme val="minor"/>
          </rPr>
          <t>======
ID#AAAB21Rx608
Novianto, Anton (Sales)    (2026-03-31 02:42:02)
Medan 1 hanya RE --&gt; di kota Medan</t>
        </r>
      </text>
    </comment>
    <comment ref="E8" authorId="0" shapeId="0" xr:uid="{00000000-0006-0000-0A00-00000A000000}">
      <text>
        <r>
          <rPr>
            <sz val="11"/>
            <color theme="1"/>
            <rFont val="Calibri"/>
            <scheme val="minor"/>
          </rPr>
          <t>======
ID#AAAB21Rx6yo
Novianto, Anton (Sales)    (2026-03-31 02:42:02)
Lokasinya jadi 1 dengan Depo Medan --&gt; di Tanjung morawa deli serdang.
Ini supply WE dari Medan 1 &amp; 2</t>
        </r>
      </text>
    </comment>
    <comment ref="E21" authorId="0" shapeId="0" xr:uid="{00000000-0006-0000-0A00-00000E000000}">
      <text>
        <r>
          <rPr>
            <sz val="11"/>
            <color theme="1"/>
            <rFont val="Calibri"/>
            <scheme val="minor"/>
          </rPr>
          <t>======
ID#AAAB21Rx6xg
Selamet, Fangdya    (2026-03-31 02:42:02)
support solok dan bukittinggi</t>
        </r>
      </text>
    </comment>
    <comment ref="E23" authorId="0" shapeId="0" xr:uid="{00000000-0006-0000-0A00-00000C000000}">
      <text>
        <r>
          <rPr>
            <sz val="11"/>
            <color theme="1"/>
            <rFont val="Calibri"/>
            <scheme val="minor"/>
          </rPr>
          <t>======
ID#AAAB21Rx6xk
Novianto, Anton (Sales)    (2026-03-31 02:42:02)
bukit ke padang/solok 2 jam</t>
        </r>
      </text>
    </comment>
    <comment ref="E26" authorId="0" shapeId="0" xr:uid="{00000000-0006-0000-0A00-000002000000}">
      <text>
        <r>
          <rPr>
            <sz val="11"/>
            <color theme="1"/>
            <rFont val="Calibri"/>
            <scheme val="minor"/>
          </rPr>
          <t>======
ID#AAAB21Rx61s
Novianto, Anton (Sales)    (2026-03-31 02:42:02)
molek ke padang 14 jam</t>
        </r>
      </text>
    </comment>
    <comment ref="E49" authorId="0" shapeId="0" xr:uid="{00000000-0006-0000-0A00-00000F000000}">
      <text>
        <r>
          <rPr>
            <sz val="11"/>
            <color theme="1"/>
            <rFont val="Calibri"/>
            <scheme val="minor"/>
          </rPr>
          <t>======
ID#AAAB21Rx6xM
Novianto, Anton (Sales)    (2026-03-31 02:42:02)
Support WS,</t>
        </r>
      </text>
    </comment>
    <comment ref="E50" authorId="0" shapeId="0" xr:uid="{00000000-0006-0000-0A00-00000B000000}">
      <text>
        <r>
          <rPr>
            <sz val="11"/>
            <color theme="1"/>
            <rFont val="Calibri"/>
            <scheme val="minor"/>
          </rPr>
          <t>======
ID#AAAB21Rx6yg
Novianto, Anton (Sales)    (2026-03-31 02:42:02)
support Preorder</t>
        </r>
      </text>
    </comment>
    <comment ref="E51" authorId="0" shapeId="0" xr:uid="{00000000-0006-0000-0A00-000012000000}">
      <text>
        <r>
          <rPr>
            <sz val="11"/>
            <color theme="1"/>
            <rFont val="Calibri"/>
            <scheme val="minor"/>
          </rPr>
          <t>======
ID#AAAB21Rx6xA
Novianto, Anton (Sales)    (2026-03-31 02:42:02)
retail only</t>
        </r>
      </text>
    </comment>
    <comment ref="E52" authorId="0" shapeId="0" xr:uid="{00000000-0006-0000-0A00-000015000000}">
      <text>
        <r>
          <rPr>
            <sz val="11"/>
            <color theme="1"/>
            <rFont val="Calibri"/>
            <scheme val="minor"/>
          </rPr>
          <t>======
ID#AAAB21PyuhA
Sigita, Marlisa    (2026-03-31 02:42:02)
Disupport dari Sunter dan Tangerang</t>
        </r>
      </text>
    </comment>
    <comment ref="E53" authorId="0" shapeId="0" xr:uid="{00000000-0006-0000-0A00-000013000000}">
      <text>
        <r>
          <rPr>
            <sz val="11"/>
            <color theme="1"/>
            <rFont val="Calibri"/>
            <scheme val="minor"/>
          </rPr>
          <t>======
ID#AAAB21Rx6uw
Novianto, Anton (Sales)    (2026-03-31 02:42:02)
support Preorder</t>
        </r>
      </text>
    </comment>
    <comment ref="E54" authorId="0" shapeId="0" xr:uid="{00000000-0006-0000-0A00-000016000000}">
      <text>
        <r>
          <rPr>
            <sz val="11"/>
            <color theme="1"/>
            <rFont val="Calibri"/>
            <scheme val="minor"/>
          </rPr>
          <t>======
ID#AAAB21Pyug0
Novianto, Anton (Sales)    (2026-03-31 02:42:02)
dari Pulogadung</t>
        </r>
      </text>
    </comment>
    <comment ref="E55" authorId="0" shapeId="0" xr:uid="{00000000-0006-0000-0A00-000005000000}">
      <text>
        <r>
          <rPr>
            <sz val="11"/>
            <color theme="1"/>
            <rFont val="Calibri"/>
            <scheme val="minor"/>
          </rPr>
          <t>======
ID#AAAB21Rx60Y
Novianto, Anton (Sales)    (2026-03-31 02:42:02)
dari Pulogadung</t>
        </r>
      </text>
    </comment>
    <comment ref="E56" authorId="0" shapeId="0" xr:uid="{00000000-0006-0000-0A00-000001000000}">
      <text>
        <r>
          <rPr>
            <sz val="11"/>
            <color theme="1"/>
            <rFont val="Calibri"/>
            <scheme val="minor"/>
          </rPr>
          <t>======
ID#AAAB21TnbHk
Novianto, Anton (Sales)    (2026-03-31 02:42:03)
dari Ciracas
mobile warehouse</t>
        </r>
      </text>
    </comment>
    <comment ref="E57" authorId="0" shapeId="0" xr:uid="{00000000-0006-0000-0A00-000007000000}">
      <text>
        <r>
          <rPr>
            <sz val="11"/>
            <color theme="1"/>
            <rFont val="Calibri"/>
            <scheme val="minor"/>
          </rPr>
          <t>======
ID#AAAB21Rx60E
Novianto, Anton (Sales)    (2026-03-31 02:42:02)
dari Ciracas</t>
        </r>
      </text>
    </comment>
    <comment ref="E62" authorId="0" shapeId="0" xr:uid="{00000000-0006-0000-0A00-000008000000}">
      <text>
        <r>
          <rPr>
            <sz val="11"/>
            <color theme="1"/>
            <rFont val="Calibri"/>
            <scheme val="minor"/>
          </rPr>
          <t>======
ID#AAAB21Rx6zs
Novianto, Anton (Sales)    (2026-03-31 02:42:02)
dari ADO Bogor</t>
        </r>
      </text>
    </comment>
    <comment ref="E66" authorId="0" shapeId="0" xr:uid="{00000000-0006-0000-0A00-000017000000}">
      <text>
        <r>
          <rPr>
            <sz val="11"/>
            <color theme="1"/>
            <rFont val="Calibri"/>
            <scheme val="minor"/>
          </rPr>
          <t>======
ID#AAAB21Pyugg
Novianto, Anton (Sales)    (2026-03-31 02:42:02)
Support dari ADO Tangerang untuk retail tangerang dan ps minggu</t>
        </r>
      </text>
    </comment>
    <comment ref="E71" authorId="0" shapeId="0" xr:uid="{00000000-0006-0000-0A00-000014000000}">
      <text>
        <r>
          <rPr>
            <sz val="11"/>
            <color theme="1"/>
            <rFont val="Calibri"/>
            <scheme val="minor"/>
          </rPr>
          <t>======
ID#AAAB21Rx6us
Novianto, Anton (Sales)    (2026-03-31 02:42:02)
dari Bandung 1</t>
        </r>
      </text>
    </comment>
    <comment ref="E73" authorId="0" shapeId="0" xr:uid="{00000000-0006-0000-0A00-000009000000}">
      <text>
        <r>
          <rPr>
            <sz val="11"/>
            <color theme="1"/>
            <rFont val="Calibri"/>
            <scheme val="minor"/>
          </rPr>
          <t>======
ID#AAAB21Rx6zA
Novianto, Anton (Sales)    (2026-03-31 02:42:02)
dari Bandung 1</t>
        </r>
      </text>
    </comment>
    <comment ref="E89" authorId="0" shapeId="0" xr:uid="{00000000-0006-0000-0A00-000006000000}">
      <text>
        <r>
          <rPr>
            <sz val="11"/>
            <color theme="1"/>
            <rFont val="Calibri"/>
            <scheme val="minor"/>
          </rPr>
          <t>======
ID#AAAB21Rx60c
Sigita, Marlisa    (2026-03-31 02:42:02)
Support dari Pati</t>
        </r>
      </text>
    </comment>
    <comment ref="E113" authorId="0" shapeId="0" xr:uid="{00000000-0006-0000-0A00-000011000000}">
      <text>
        <r>
          <rPr>
            <sz val="11"/>
            <color theme="1"/>
            <rFont val="Calibri"/>
            <scheme val="minor"/>
          </rPr>
          <t>======
ID#AAAB21Rx6xE
Novianto, Anton (Sales)    (2026-03-31 02:42:02)
kirim 
EZD Kotabaru
EZD Palangkaraya
EZD Pangkalan Bun
EZD Sampit</t>
        </r>
      </text>
    </comment>
    <comment ref="E119" authorId="0" shapeId="0" xr:uid="{00000000-0006-0000-0A00-000010000000}">
      <text>
        <r>
          <rPr>
            <sz val="11"/>
            <color theme="1"/>
            <rFont val="Calibri"/>
            <scheme val="minor"/>
          </rPr>
          <t>======
ID#AAAB21Rx6xU
Novianto, Anton (Sales)    (2026-03-31 02:42:02)
kirim ke
EZD Tj Redep
EZD Tarakan
WSD Nunukan</t>
        </r>
      </text>
    </comment>
    <comment ref="E121" authorId="0" shapeId="0" xr:uid="{00000000-0006-0000-0A00-00000D000000}">
      <text>
        <r>
          <rPr>
            <sz val="11"/>
            <color theme="1"/>
            <rFont val="Calibri"/>
            <scheme val="minor"/>
          </rPr>
          <t>======
ID#AAAB21Rx6xs
Novianto, Anton (Sales)    (2026-03-31 02:42:02)
kirim EZD Ketapang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hcImIZ0xaeBHxOUmtKSGn3EYIQw=="/>
    </ext>
  </extLst>
</comments>
</file>

<file path=xl/sharedStrings.xml><?xml version="1.0" encoding="utf-8"?>
<sst xmlns="http://schemas.openxmlformats.org/spreadsheetml/2006/main" count="6738" uniqueCount="2794">
  <si>
    <t>Partner</t>
  </si>
  <si>
    <t>Segment</t>
  </si>
  <si>
    <t>Code</t>
  </si>
  <si>
    <t>Brand</t>
  </si>
  <si>
    <t>AE / Manager</t>
  </si>
  <si>
    <t>Status Delivery to DC</t>
  </si>
  <si>
    <t>Partial/No</t>
  </si>
  <si>
    <t>Senin</t>
  </si>
  <si>
    <t>GR</t>
  </si>
  <si>
    <t>Selasa</t>
  </si>
  <si>
    <t>Rabu</t>
  </si>
  <si>
    <t>Kamis</t>
  </si>
  <si>
    <t>Jumat</t>
  </si>
  <si>
    <t>Sabtu</t>
  </si>
  <si>
    <t>Minggu</t>
  </si>
  <si>
    <t>Total Plan</t>
  </si>
  <si>
    <t>Total GR</t>
  </si>
  <si>
    <t>Remarks</t>
  </si>
  <si>
    <t>Outstand</t>
  </si>
  <si>
    <t>PO</t>
  </si>
  <si>
    <t>Arrival In stick</t>
  </si>
  <si>
    <t xml:space="preserve">po in stick </t>
  </si>
  <si>
    <t>var</t>
  </si>
  <si>
    <t>CV Gunung Batu Penjuru</t>
  </si>
  <si>
    <t>SKT 12</t>
  </si>
  <si>
    <t>PSP12</t>
  </si>
  <si>
    <t>Pasopati Skt 12S</t>
  </si>
  <si>
    <t>Jose | Andry</t>
  </si>
  <si>
    <t>PT Anak Sakti</t>
  </si>
  <si>
    <t>BGS12</t>
  </si>
  <si>
    <t>Bagas Skt 12S</t>
  </si>
  <si>
    <t>Vincent | Johan</t>
  </si>
  <si>
    <t>BSH12</t>
  </si>
  <si>
    <t>Bagas Versi Sugih Skt 12S</t>
  </si>
  <si>
    <t>PRU12</t>
  </si>
  <si>
    <t>Prabu Skt 12S</t>
  </si>
  <si>
    <t>CV Asia Setia Putra</t>
  </si>
  <si>
    <t>KAM12</t>
  </si>
  <si>
    <t>Kama Skt 12S</t>
  </si>
  <si>
    <t>Malvin | Lariza</t>
  </si>
  <si>
    <t>PT Asia Marko</t>
  </si>
  <si>
    <t>SBH12</t>
  </si>
  <si>
    <t>Sumbu Hijau Skt 12S</t>
  </si>
  <si>
    <t>Jose | Lariza</t>
  </si>
  <si>
    <t>PT Djitoe</t>
  </si>
  <si>
    <t>SPM 20</t>
  </si>
  <si>
    <t>VER20</t>
  </si>
  <si>
    <t>Vermont Spm 20S</t>
  </si>
  <si>
    <t>PT Sata Jaya Sejahtera</t>
  </si>
  <si>
    <t>PRJ12</t>
  </si>
  <si>
    <t>Praja Skt 12S</t>
  </si>
  <si>
    <t>Nico | Lariza</t>
  </si>
  <si>
    <t>PRL12</t>
  </si>
  <si>
    <t>Praja Royal Skt 12S</t>
  </si>
  <si>
    <t>PO kps 47 = 40 box arrive in Sat kps 46</t>
  </si>
  <si>
    <t>PT Atraco Multiguna</t>
  </si>
  <si>
    <t>SKM HT 20</t>
  </si>
  <si>
    <t>TRI20</t>
  </si>
  <si>
    <t>Triton Skm Ht 20S</t>
  </si>
  <si>
    <t>PT Rukun Global Indojaya</t>
  </si>
  <si>
    <t>GSS12</t>
  </si>
  <si>
    <t>Giri Seduh Sari Skt 12S</t>
  </si>
  <si>
    <t>PR Sejahtera Abadi</t>
  </si>
  <si>
    <t>SKM LT 16</t>
  </si>
  <si>
    <t>CTL16</t>
  </si>
  <si>
    <t>City Lite Lt 16S</t>
  </si>
  <si>
    <t>Malvin | Andry</t>
  </si>
  <si>
    <t>VGZ16</t>
  </si>
  <si>
    <t>Vegaz Lt 16S</t>
  </si>
  <si>
    <t>GR Shift 3</t>
  </si>
  <si>
    <t>SKM HT 12</t>
  </si>
  <si>
    <t>BLS12</t>
  </si>
  <si>
    <t>Balai Emas SKM HT 12S</t>
  </si>
  <si>
    <t>PT Bathara Sejahtera Abadi</t>
  </si>
  <si>
    <t>ARM12</t>
  </si>
  <si>
    <t>Ares Mind Skm Ht 12S</t>
  </si>
  <si>
    <t>SKM HT 16</t>
  </si>
  <si>
    <t>ARM16</t>
  </si>
  <si>
    <t>Ares Mind Skm Ht 16S</t>
  </si>
  <si>
    <t>ARK12</t>
  </si>
  <si>
    <t>Ares Kaizer Skm Ht 12S</t>
  </si>
  <si>
    <t>ARB12</t>
  </si>
  <si>
    <t>Ares Bold Skm Ht 12S</t>
  </si>
  <si>
    <t>ARB20</t>
  </si>
  <si>
    <t>Ares Bold Skm Ht 20S</t>
  </si>
  <si>
    <t>ARL16</t>
  </si>
  <si>
    <t>Ares Lite Skm 16S</t>
  </si>
  <si>
    <t xml:space="preserve">PT Alam Raya Amerta Subur Makmur </t>
  </si>
  <si>
    <t>BRW12</t>
  </si>
  <si>
    <t>Birawa Skt 12S</t>
  </si>
  <si>
    <t>Edward | Andry</t>
  </si>
  <si>
    <t>PT Artha Jaya</t>
  </si>
  <si>
    <t>SRS12</t>
  </si>
  <si>
    <t>Serasa Skt 12S</t>
  </si>
  <si>
    <t>50 box po kps 46 to be confirm</t>
  </si>
  <si>
    <t>SKT 16</t>
  </si>
  <si>
    <t>SRS16</t>
  </si>
  <si>
    <t>Serasa Skt 16S</t>
  </si>
  <si>
    <t>Remaining outstand 150 box po kps 45</t>
  </si>
  <si>
    <t>POS16</t>
  </si>
  <si>
    <t>Post X Skm Lt16S</t>
  </si>
  <si>
    <t>TTL16</t>
  </si>
  <si>
    <t>Total Skm Lt16S</t>
  </si>
  <si>
    <t>PT Besuk Sukses Harmoni</t>
  </si>
  <si>
    <t>VKT16</t>
  </si>
  <si>
    <t>Version Skt 16S</t>
  </si>
  <si>
    <t>PT Batu Karang</t>
  </si>
  <si>
    <t>SLT12</t>
  </si>
  <si>
    <t>Salitis (153) Skt 12S</t>
  </si>
  <si>
    <t>SLT16</t>
  </si>
  <si>
    <t>Salitis (153) Skt 16S</t>
  </si>
  <si>
    <t>SKT 20</t>
  </si>
  <si>
    <t>SLT20</t>
  </si>
  <si>
    <t>CV Pancaran Sinar Mentari</t>
  </si>
  <si>
    <t>KBL12</t>
  </si>
  <si>
    <t>Kabel Skt 12S</t>
  </si>
  <si>
    <t>Remaining 40 box po kps 45 to be confirm</t>
  </si>
  <si>
    <t>LND20</t>
  </si>
  <si>
    <t>Lima Dan Dua Skt 20S</t>
  </si>
  <si>
    <t>PT Daun Emas Nustantara (DEN)</t>
  </si>
  <si>
    <t>BAJ12</t>
  </si>
  <si>
    <t>Baja Skt 12S</t>
  </si>
  <si>
    <t>Vincent | Lariza</t>
  </si>
  <si>
    <t>NIA16</t>
  </si>
  <si>
    <t>Nian Skt 16S</t>
  </si>
  <si>
    <t>CV PR Restu Yesmaju</t>
  </si>
  <si>
    <t>SLR12</t>
  </si>
  <si>
    <t>Selera Hijau Sejuk Skt 12S</t>
  </si>
  <si>
    <t>Vincent |Johan</t>
  </si>
  <si>
    <t>SLP12</t>
  </si>
  <si>
    <t>Selera Sari Pucuk Skt 12S</t>
  </si>
  <si>
    <t>PO kps 47 = 550 box arrive in Fri kps 46 (Sat GR Shift 3)</t>
  </si>
  <si>
    <t>SLO12</t>
  </si>
  <si>
    <t>Selera Origin Skt 12S</t>
  </si>
  <si>
    <t>KPT12</t>
  </si>
  <si>
    <t>Kapten Skt 12S</t>
  </si>
  <si>
    <t>CV Rejeki Barokah Amin</t>
  </si>
  <si>
    <t>RKT16</t>
  </si>
  <si>
    <t>Region Kretek 16S</t>
  </si>
  <si>
    <t>Jose |Johan</t>
  </si>
  <si>
    <t>PO kps 47 = 110 box arrive in Fri kps 46 &amp; 150 box arrive in Sat kps 46 || GR Shift 3</t>
  </si>
  <si>
    <t>CV Kian Djaja</t>
  </si>
  <si>
    <t>VOK12</t>
  </si>
  <si>
    <t>Vokal Jingga Harum Skt 12S</t>
  </si>
  <si>
    <t>PT Ongkowidjojo</t>
  </si>
  <si>
    <t>NAT20</t>
  </si>
  <si>
    <t>Nation Bold Ht 20S</t>
  </si>
  <si>
    <t>Po kps 47 = 425 box arrive in Sat kps 46 &amp; 405 box arrive in Sun kps 46 || GR Shift 3</t>
  </si>
  <si>
    <t>NAT16</t>
  </si>
  <si>
    <t>Nation Bold 16S</t>
  </si>
  <si>
    <t>PO kps 47 = 400 box arrive in Sat kps 46</t>
  </si>
  <si>
    <t>NTL16</t>
  </si>
  <si>
    <t>Nation Lite Skm Lt 16S</t>
  </si>
  <si>
    <t>NAG20</t>
  </si>
  <si>
    <t>Nation Gold Ht 20S</t>
  </si>
  <si>
    <t>PO kps 47 = 875 box arrive in Fri kps 46, 225 box arrive in Sun kps 46</t>
  </si>
  <si>
    <t>SKT 10</t>
  </si>
  <si>
    <t>OEM10</t>
  </si>
  <si>
    <t>Oepet Skt 10S</t>
  </si>
  <si>
    <t>Remaining outstand 225 box po kps 46 arrive in Mon kps 47 || GR Shift 3</t>
  </si>
  <si>
    <t>OES12</t>
  </si>
  <si>
    <t>Oepet Skt 12S</t>
  </si>
  <si>
    <t>Remaining 2 box po kps 46 arrive in Mon kps 47 || GR Shift 3</t>
  </si>
  <si>
    <t>OEC10</t>
  </si>
  <si>
    <t>Oepet Klasik Skt 10S</t>
  </si>
  <si>
    <t>PO kps 47 = 100 box arrive in Sun kps 46</t>
  </si>
  <si>
    <t>OEB12</t>
  </si>
  <si>
    <t>Oe Bold Ht 12S</t>
  </si>
  <si>
    <t>Remaining outstand 50 box po kps 46 to be confirm</t>
  </si>
  <si>
    <t>OEB16</t>
  </si>
  <si>
    <t>Oe Bold Ht 16S</t>
  </si>
  <si>
    <t>OEB20</t>
  </si>
  <si>
    <t>Oe Bold Ht 20S</t>
  </si>
  <si>
    <t>ONG16</t>
  </si>
  <si>
    <t>Remaining outstand 50 box po kps 46 will be delivered in kps 47 || GR Shift 3</t>
  </si>
  <si>
    <t>PT Cahaya Tiga Saudara Sejati</t>
  </si>
  <si>
    <t>SME12</t>
  </si>
  <si>
    <t>Simustika 269 Edition Skt 12S</t>
  </si>
  <si>
    <t>Direct To Area || Remaining oustand 325 box</t>
  </si>
  <si>
    <t>SMB12</t>
  </si>
  <si>
    <t>Simustika 269 Bold Skt 12S</t>
  </si>
  <si>
    <t>Direct to Area || Remaining outstand 175 box</t>
  </si>
  <si>
    <t>SMG12</t>
  </si>
  <si>
    <t>Simustika 269 Gold Skt 12S</t>
  </si>
  <si>
    <t>Direct to Area || Remaining outstand 88 box</t>
  </si>
  <si>
    <t>PT Panen</t>
  </si>
  <si>
    <t>LOJ12</t>
  </si>
  <si>
    <t>Lodjie Skt 12S</t>
  </si>
  <si>
    <t>Vincent | Andry</t>
  </si>
  <si>
    <t>LOK12</t>
  </si>
  <si>
    <t>Lokal Skt 12S</t>
  </si>
  <si>
    <t>PT Rajaa Tunggal</t>
  </si>
  <si>
    <t>SGR12</t>
  </si>
  <si>
    <t>Segara Skt 12S</t>
  </si>
  <si>
    <t>PT Rajaa Wangsa Susanto</t>
  </si>
  <si>
    <t>MAU12</t>
  </si>
  <si>
    <t>Maung Skt 12S</t>
  </si>
  <si>
    <t>Remaining outstand 35 box po kps 46 will be delivered in kps 47</t>
  </si>
  <si>
    <t>PT Tiara Cemerlang Abadi</t>
  </si>
  <si>
    <t>DRJ12</t>
  </si>
  <si>
    <t>Dirja Skt 12S</t>
  </si>
  <si>
    <t>Malvin | Johan</t>
  </si>
  <si>
    <t>PT Sejuk</t>
  </si>
  <si>
    <t>BHU12</t>
  </si>
  <si>
    <t>Bhumi Skt 12S</t>
  </si>
  <si>
    <t>Nico | Johan</t>
  </si>
  <si>
    <t>SJK12</t>
  </si>
  <si>
    <t>Sejuk Alami Skt 12S</t>
  </si>
  <si>
    <t>Direct to Area</t>
  </si>
  <si>
    <t>PT Cahaya Bukit Suka</t>
  </si>
  <si>
    <t>UTG12</t>
  </si>
  <si>
    <t>Untung Skt 12S</t>
  </si>
  <si>
    <t>PR Jolo Tundho</t>
  </si>
  <si>
    <t>DAJ16</t>
  </si>
  <si>
    <t>Djiwa Alami Hijau</t>
  </si>
  <si>
    <t>PT Trubus Alami</t>
  </si>
  <si>
    <t>TBS12</t>
  </si>
  <si>
    <t>Trubus Alami Skt 12S</t>
  </si>
  <si>
    <t>Direct to Area - Remaining 610 box po kps 46 will be delivered in kps 47</t>
  </si>
  <si>
    <t>SKM HT12</t>
  </si>
  <si>
    <t>TBB12</t>
  </si>
  <si>
    <t>Trubus Alami Ht 12S</t>
  </si>
  <si>
    <t>PT Putera Jaya Sakti Perkasa</t>
  </si>
  <si>
    <t>SKM NTD 16</t>
  </si>
  <si>
    <t>TWY16</t>
  </si>
  <si>
    <t>Twizz Yellow Crush Skm Lt 16S</t>
  </si>
  <si>
    <t>Nico | Andry</t>
  </si>
  <si>
    <t>TWR16</t>
  </si>
  <si>
    <t>Twizz Royal Crush Skm Lt 16S</t>
  </si>
  <si>
    <t>Updated || GR Shift 3</t>
  </si>
  <si>
    <t>TWG16</t>
  </si>
  <si>
    <t>Twizz Green Crush Skm Lt 16S</t>
  </si>
  <si>
    <t>TWS16</t>
  </si>
  <si>
    <t>Twizz Summer Crush Skm Lt 16S</t>
  </si>
  <si>
    <t>TWD16</t>
  </si>
  <si>
    <t>Twizz Red Crush Skm Lt 16S</t>
  </si>
  <si>
    <t>TWP16</t>
  </si>
  <si>
    <t>Twizz Prime Skm Lt 16S</t>
  </si>
  <si>
    <t>SKM NTD 12</t>
  </si>
  <si>
    <t>TWR12</t>
  </si>
  <si>
    <t>Twizz Royal Crush Skm Lt 12S</t>
  </si>
  <si>
    <t>TPT16</t>
  </si>
  <si>
    <t>Twizz Prime Tropical Skm Lt 16S</t>
  </si>
  <si>
    <t>TPR16</t>
  </si>
  <si>
    <t>Twizz Prime Royal Skm Lt 16S</t>
  </si>
  <si>
    <t>DFB12</t>
  </si>
  <si>
    <t>Duff Bold Filter 12S</t>
  </si>
  <si>
    <t>DFB20</t>
  </si>
  <si>
    <t>Duff Bold Filter 20S</t>
  </si>
  <si>
    <t>Remaining outstand 3200 box || GR Shift 3</t>
  </si>
  <si>
    <t>DFI12</t>
  </si>
  <si>
    <t>Duff Inter F12S</t>
  </si>
  <si>
    <t>DFI16</t>
  </si>
  <si>
    <t>Duff Inter F16S</t>
  </si>
  <si>
    <t>VTX16</t>
  </si>
  <si>
    <t>Vortex Skm 16S</t>
  </si>
  <si>
    <t>TEH12</t>
  </si>
  <si>
    <t>363 Hitam 12S</t>
  </si>
  <si>
    <t>TEK12</t>
  </si>
  <si>
    <t>363 Kretek 12S</t>
  </si>
  <si>
    <t>TEK16</t>
  </si>
  <si>
    <t>363 Kretek 16S</t>
  </si>
  <si>
    <t>TEM12</t>
  </si>
  <si>
    <t>363 Merah Kretek 12S</t>
  </si>
  <si>
    <t>KIT12</t>
  </si>
  <si>
    <t>Kito Kretek 12S</t>
  </si>
  <si>
    <t>KIT16</t>
  </si>
  <si>
    <t>Kito Kretek 16S</t>
  </si>
  <si>
    <t>SOA12</t>
  </si>
  <si>
    <t>Soang Kretek 12S</t>
  </si>
  <si>
    <t>DFH12</t>
  </si>
  <si>
    <t>Duff Hitam 12S</t>
  </si>
  <si>
    <t>PT Rajawali Sumber Rejeki</t>
  </si>
  <si>
    <t>APB12</t>
  </si>
  <si>
    <t>Aspro Bold Filter 12S</t>
  </si>
  <si>
    <t>APB20</t>
  </si>
  <si>
    <t>Aspro Bold Filter 20S</t>
  </si>
  <si>
    <t>APR20</t>
  </si>
  <si>
    <t>Aspro Red 20S</t>
  </si>
  <si>
    <t>API12</t>
  </si>
  <si>
    <t>Aspro Inter 12S</t>
  </si>
  <si>
    <t>API16</t>
  </si>
  <si>
    <t>Aspro Inter 16S</t>
  </si>
  <si>
    <t>PT Sinar Surya Tembakau</t>
  </si>
  <si>
    <t>DFR20</t>
  </si>
  <si>
    <t>Duff Red Skm Ht 20</t>
  </si>
  <si>
    <t>GLP16</t>
  </si>
  <si>
    <t>Glizz Purple Skm Lt 16S</t>
  </si>
  <si>
    <t>GLY16</t>
  </si>
  <si>
    <t>Glizz Yellow Skm Lt 16S</t>
  </si>
  <si>
    <t>Armada Delivery Partner</t>
  </si>
  <si>
    <t>Total</t>
  </si>
  <si>
    <t>ARRIVAL VS PO</t>
  </si>
  <si>
    <t>PO kps 48 = 40 box arrive in Sun kps 47</t>
  </si>
  <si>
    <t>Remaining outstand 100 box po kps 45</t>
  </si>
  <si>
    <t xml:space="preserve"> </t>
  </si>
  <si>
    <t>PO kps 48 = 650 box arrive in Sat kps 47</t>
  </si>
  <si>
    <t>-</t>
  </si>
  <si>
    <t>PO kps 48 = 160 box arrive in Sat kps 47</t>
  </si>
  <si>
    <t>PO kps 48 = 10 box arrive in Sun kps 47</t>
  </si>
  <si>
    <t>Remaining 240 box po kps 47 will be delivered in kps 48</t>
  </si>
  <si>
    <t>PO kps 48 = 400 box arrive in Fri kps 47</t>
  </si>
  <si>
    <t>PO kps 48 = 400 box arrive in Sun kps 47</t>
  </si>
  <si>
    <t>PO kps 48 = 500 box arrive in Sat kps 47</t>
  </si>
  <si>
    <t>PO kps 48 = 100 box arrive in Sat kps 47</t>
  </si>
  <si>
    <t>PO kps 48 = 50 box arrive in Fri kps 47</t>
  </si>
  <si>
    <t>PO kps 48 = 50 box arrive in Sun kps 47</t>
  </si>
  <si>
    <t>Malvin |Johan</t>
  </si>
  <si>
    <t>Direct To Area || Remaining oustand 400 box</t>
  </si>
  <si>
    <t>Direct to Area || Remaining outstand 200 box</t>
  </si>
  <si>
    <t>Direct to Area || Remaining outstand 44,25 box from po kps 46</t>
  </si>
  <si>
    <t>PT Rajaa Wangsa Santoso</t>
  </si>
  <si>
    <t>Remaining outstand 55 box po kps 47 will be delivered in kps 48</t>
  </si>
  <si>
    <t>Direct to Area - Remaining 460 box po kps 46 will be delivered in kps 48</t>
  </si>
  <si>
    <t>Trubus Bold Skm 12S</t>
  </si>
  <si>
    <t>Remaining outstand 2200 box</t>
  </si>
  <si>
    <t>CARA PAKAI SHEET INI</t>
  </si>
  <si>
    <t>Cikarang</t>
  </si>
  <si>
    <t>Sukorejo</t>
  </si>
  <si>
    <t>SKU</t>
  </si>
  <si>
    <t>Week</t>
  </si>
  <si>
    <t>Cukai Tahun</t>
  </si>
  <si>
    <t>Stick Per Box</t>
  </si>
  <si>
    <t>All</t>
  </si>
  <si>
    <t>in Box</t>
  </si>
  <si>
    <t>ETA (KRW | SBY)</t>
  </si>
  <si>
    <t>Kode Plant</t>
  </si>
  <si>
    <t>Area</t>
  </si>
  <si>
    <t>Supply From</t>
  </si>
  <si>
    <t>Lead Time
Ship | Truck/Train</t>
  </si>
  <si>
    <t>Total in Box</t>
  </si>
  <si>
    <t>Total in Sticks</t>
  </si>
  <si>
    <t>ZD1N</t>
  </si>
  <si>
    <t>Depo Medan</t>
  </si>
  <si>
    <t xml:space="preserve"> | 1</t>
  </si>
  <si>
    <t>ADO Medan 1</t>
  </si>
  <si>
    <t>ZD1C</t>
  </si>
  <si>
    <t>DPC Langkat</t>
  </si>
  <si>
    <t>ZD1A</t>
  </si>
  <si>
    <t>ADO Medan 2</t>
  </si>
  <si>
    <t>ZD1B</t>
  </si>
  <si>
    <t>DPC Tanah Karo</t>
  </si>
  <si>
    <t>ZD1D</t>
  </si>
  <si>
    <t>ADO Pematang Siantar</t>
  </si>
  <si>
    <t>ZD1E</t>
  </si>
  <si>
    <t>DPC Rantau Prapat</t>
  </si>
  <si>
    <t>ZD1M</t>
  </si>
  <si>
    <t>DPC Kisaran</t>
  </si>
  <si>
    <t>ZD1F</t>
  </si>
  <si>
    <t>ADO Banda Aceh</t>
  </si>
  <si>
    <t>ZD1G</t>
  </si>
  <si>
    <t>DPC Meulaboh</t>
  </si>
  <si>
    <t>ZD1H</t>
  </si>
  <si>
    <t>ADO Lhokseumawe</t>
  </si>
  <si>
    <t>ZD1I</t>
  </si>
  <si>
    <t>DPC Langsa</t>
  </si>
  <si>
    <t>ZD1J</t>
  </si>
  <si>
    <t>ADO Padang Sidempuan</t>
  </si>
  <si>
    <t>ZD1K</t>
  </si>
  <si>
    <t>DPC Sibolga</t>
  </si>
  <si>
    <t>ZD1L</t>
  </si>
  <si>
    <t>Medan</t>
  </si>
  <si>
    <t xml:space="preserve">SKJ : 12 |  CKG : 10 | </t>
  </si>
  <si>
    <t>DEPO Medan</t>
  </si>
  <si>
    <t>5 | 7</t>
  </si>
  <si>
    <t>Sum 1</t>
  </si>
  <si>
    <t>ZD2A</t>
  </si>
  <si>
    <t xml:space="preserve">12 | </t>
  </si>
  <si>
    <t>ADO Padang</t>
  </si>
  <si>
    <t>ZD2B</t>
  </si>
  <si>
    <t>12 | 4</t>
  </si>
  <si>
    <t>DPC Solok</t>
  </si>
  <si>
    <t>ZD2C</t>
  </si>
  <si>
    <t xml:space="preserve"> | 4</t>
  </si>
  <si>
    <t>ADO Bukittinggi</t>
  </si>
  <si>
    <t>ZD2D</t>
  </si>
  <si>
    <t>ADO Pekanbaru</t>
  </si>
  <si>
    <t>ZD2E</t>
  </si>
  <si>
    <t>13 | 4</t>
  </si>
  <si>
    <t>ADO Duri</t>
  </si>
  <si>
    <t>ZD2F</t>
  </si>
  <si>
    <t>ADO Air Molek</t>
  </si>
  <si>
    <t>ZD2G</t>
  </si>
  <si>
    <t>ADO Batam</t>
  </si>
  <si>
    <t>ZD2H</t>
  </si>
  <si>
    <t xml:space="preserve">10 | </t>
  </si>
  <si>
    <t>EZD Tanjung Pinang</t>
  </si>
  <si>
    <t>ZD2I</t>
  </si>
  <si>
    <t>10 |</t>
  </si>
  <si>
    <t>EZD Tanjung Balai Karimun</t>
  </si>
  <si>
    <t>4 | 6</t>
  </si>
  <si>
    <t>Sum 2</t>
  </si>
  <si>
    <t>ZD3D</t>
  </si>
  <si>
    <t xml:space="preserve"> | 2</t>
  </si>
  <si>
    <t>ADO Palembang Inner</t>
  </si>
  <si>
    <t>ZD3Q</t>
  </si>
  <si>
    <t>ADO Palembang Outer</t>
  </si>
  <si>
    <t>ZD3J</t>
  </si>
  <si>
    <t xml:space="preserve">8 | </t>
  </si>
  <si>
    <t>EZD Pangkal Pinang</t>
  </si>
  <si>
    <t>ZD3E</t>
  </si>
  <si>
    <t xml:space="preserve"> | 3</t>
  </si>
  <si>
    <t>ADO Lahat</t>
  </si>
  <si>
    <t>ZD3F</t>
  </si>
  <si>
    <t xml:space="preserve"> |2</t>
  </si>
  <si>
    <t>DPC Batu Raja</t>
  </si>
  <si>
    <t>ZD3G</t>
  </si>
  <si>
    <t>ADO Jambi</t>
  </si>
  <si>
    <t>ZD3H</t>
  </si>
  <si>
    <t>ADO Muara Bungo</t>
  </si>
  <si>
    <t>3 | 4</t>
  </si>
  <si>
    <t>Sum 3</t>
  </si>
  <si>
    <t>ZD3B</t>
  </si>
  <si>
    <t>ADO Lampung</t>
  </si>
  <si>
    <t>ZD3N</t>
  </si>
  <si>
    <t>DPC Kalianda</t>
  </si>
  <si>
    <t>ZD3M</t>
  </si>
  <si>
    <t>DPC Pringsewu</t>
  </si>
  <si>
    <t>ZD3C</t>
  </si>
  <si>
    <t>ADO Kota Bumi</t>
  </si>
  <si>
    <t>ZD3O</t>
  </si>
  <si>
    <t>DPC Tuba</t>
  </si>
  <si>
    <t>ZD3L</t>
  </si>
  <si>
    <t>ADO Metro</t>
  </si>
  <si>
    <t>ZD3I</t>
  </si>
  <si>
    <t>ADO Bengkulu</t>
  </si>
  <si>
    <t>ZD3K</t>
  </si>
  <si>
    <t>DPC Lubuk Linggau</t>
  </si>
  <si>
    <t>Sum 4</t>
  </si>
  <si>
    <t>ZD4C</t>
  </si>
  <si>
    <t>Jakarta Utara</t>
  </si>
  <si>
    <t xml:space="preserve"> | 1/2</t>
  </si>
  <si>
    <t>ADO Jakarta Utara (Semper)</t>
  </si>
  <si>
    <t>ZD4D</t>
  </si>
  <si>
    <t>Jakarta Barat</t>
  </si>
  <si>
    <t>ADO Jakarta Barat (Kedoya)</t>
  </si>
  <si>
    <t>ZD4F</t>
  </si>
  <si>
    <t>Jakarta Timur</t>
  </si>
  <si>
    <t>DPC Jakarta Timur (Ciracas)</t>
  </si>
  <si>
    <t>ZD4H</t>
  </si>
  <si>
    <t>ADO Jakarta Timur A (Pulogadung)</t>
  </si>
  <si>
    <t>ZD4K</t>
  </si>
  <si>
    <t>Jakarta Pusat</t>
  </si>
  <si>
    <t>ADO Jakarta Pusat (Kemayoran)</t>
  </si>
  <si>
    <t>ZD4L</t>
  </si>
  <si>
    <t>DPC Jakarta Pusat A (Tanah Abang)</t>
  </si>
  <si>
    <t>ZD4M</t>
  </si>
  <si>
    <t>Jakarta Selatan</t>
  </si>
  <si>
    <t>ADO Jakarta Selatan (Pasar Minggu)</t>
  </si>
  <si>
    <t>ZD4T</t>
  </si>
  <si>
    <t>ADW Jakarta Utara (Sunter)</t>
  </si>
  <si>
    <t>ZD4N</t>
  </si>
  <si>
    <t>ADO Depok</t>
  </si>
  <si>
    <t>1-2</t>
  </si>
  <si>
    <t>Jakarta Inner</t>
  </si>
  <si>
    <t>ZD4E</t>
  </si>
  <si>
    <t>Tangerang</t>
  </si>
  <si>
    <t>ADO Tangerang</t>
  </si>
  <si>
    <t>ZD4Q</t>
  </si>
  <si>
    <t>DPC Tangerang A (Cikupa)</t>
  </si>
  <si>
    <t>ZD4G</t>
  </si>
  <si>
    <t>Bogor</t>
  </si>
  <si>
    <t>ADO Bogor</t>
  </si>
  <si>
    <t>ZD4P</t>
  </si>
  <si>
    <t>DPC Bogor (Leuwiliang)</t>
  </si>
  <si>
    <t>ZD4I</t>
  </si>
  <si>
    <t>Karawang</t>
  </si>
  <si>
    <t>Shared with Cikarang</t>
  </si>
  <si>
    <t>ADO Karawang</t>
  </si>
  <si>
    <t>ZD4J</t>
  </si>
  <si>
    <t>Serang</t>
  </si>
  <si>
    <t>ADO Serang</t>
  </si>
  <si>
    <t>ZD4S</t>
  </si>
  <si>
    <t>Pondok Pinang</t>
  </si>
  <si>
    <t>DPC Pondok Pinang</t>
  </si>
  <si>
    <t>ZD4O</t>
  </si>
  <si>
    <t>Bekasi</t>
  </si>
  <si>
    <t>ADO Bekasi</t>
  </si>
  <si>
    <t>ZD4R</t>
  </si>
  <si>
    <t>Labuan</t>
  </si>
  <si>
    <t>ADO Labuan</t>
  </si>
  <si>
    <t>Jakarta Outer</t>
  </si>
  <si>
    <t>ZD4A</t>
  </si>
  <si>
    <t>DC Cikarang</t>
  </si>
  <si>
    <t>DC Sukorejo</t>
  </si>
  <si>
    <t>DC  Cikarang</t>
  </si>
  <si>
    <t>ZD5A</t>
  </si>
  <si>
    <t>ADO Bandung</t>
  </si>
  <si>
    <t>ZD5I</t>
  </si>
  <si>
    <t>Bandung 2</t>
  </si>
  <si>
    <t>ADO Bandung 2 (Kopo)</t>
  </si>
  <si>
    <t>ZD5M</t>
  </si>
  <si>
    <t>DPC Sumedang</t>
  </si>
  <si>
    <t>ZD5B</t>
  </si>
  <si>
    <t>Bandung 3</t>
  </si>
  <si>
    <t>ADO Bandung 3 (Subang)</t>
  </si>
  <si>
    <t>ZD5J</t>
  </si>
  <si>
    <t>DPC Padalarang</t>
  </si>
  <si>
    <t>ZD5C</t>
  </si>
  <si>
    <t xml:space="preserve"> | SKJ : 2 CKG : 1</t>
  </si>
  <si>
    <t>ADO Sukabumi</t>
  </si>
  <si>
    <t>ZD5K</t>
  </si>
  <si>
    <t>DPC Cianjur</t>
  </si>
  <si>
    <t>ZD5D</t>
  </si>
  <si>
    <t>ADO Tasikmalaya</t>
  </si>
  <si>
    <t>ZD5E</t>
  </si>
  <si>
    <t>ADO Garut</t>
  </si>
  <si>
    <t>ZD5F</t>
  </si>
  <si>
    <t>ADO Cirebon</t>
  </si>
  <si>
    <t>ZD5G</t>
  </si>
  <si>
    <t>DPC Indramayu</t>
  </si>
  <si>
    <t>Java 1</t>
  </si>
  <si>
    <t>ZD5H</t>
  </si>
  <si>
    <t>ADO Purwokerto</t>
  </si>
  <si>
    <t>ZD6K</t>
  </si>
  <si>
    <t>DPC Cilacap</t>
  </si>
  <si>
    <t>ZD6F</t>
  </si>
  <si>
    <t xml:space="preserve"> | SKJ : 1 CKG : 2</t>
  </si>
  <si>
    <t>ADO Yogyakarta</t>
  </si>
  <si>
    <t>ZD6G</t>
  </si>
  <si>
    <t>ADO Magelang</t>
  </si>
  <si>
    <t>ZD6H</t>
  </si>
  <si>
    <t>ADO Surakarta</t>
  </si>
  <si>
    <t>ZD6J</t>
  </si>
  <si>
    <t>ADO Salatiga</t>
  </si>
  <si>
    <t>ZD6I</t>
  </si>
  <si>
    <t>ADO Madiun</t>
  </si>
  <si>
    <t>Java 2</t>
  </si>
  <si>
    <t>ZD6B</t>
  </si>
  <si>
    <t>ADO Semarang</t>
  </si>
  <si>
    <t>ZD6E</t>
  </si>
  <si>
    <t>ADO Pati</t>
  </si>
  <si>
    <t>ZD7C</t>
  </si>
  <si>
    <t>ADO Tuban</t>
  </si>
  <si>
    <t>ZD7E</t>
  </si>
  <si>
    <t>ADO Kediri</t>
  </si>
  <si>
    <t>ZD6C</t>
  </si>
  <si>
    <t>ADO Tegal</t>
  </si>
  <si>
    <t>ZD6D</t>
  </si>
  <si>
    <t>DPC Pekalongan</t>
  </si>
  <si>
    <t>Java 3</t>
  </si>
  <si>
    <t>ZD7B</t>
  </si>
  <si>
    <t>ADO Surabaya</t>
  </si>
  <si>
    <t>ZD7F</t>
  </si>
  <si>
    <t>ADO Pamekasan</t>
  </si>
  <si>
    <t>ZD7N</t>
  </si>
  <si>
    <t>ADO Sidoarjo</t>
  </si>
  <si>
    <t>ZD7D</t>
  </si>
  <si>
    <t>ADO Malang</t>
  </si>
  <si>
    <t>ZD7J</t>
  </si>
  <si>
    <t>Malang</t>
  </si>
  <si>
    <t>DC SKJ Malang Pre order</t>
  </si>
  <si>
    <t>ZD7M</t>
  </si>
  <si>
    <t>ADO Mojokerto</t>
  </si>
  <si>
    <t>ZD7G</t>
  </si>
  <si>
    <t>ADO Jember</t>
  </si>
  <si>
    <t>ZD7H</t>
  </si>
  <si>
    <t>DPC Banyuwangi</t>
  </si>
  <si>
    <t>ZD7I</t>
  </si>
  <si>
    <t>ADO Probolinggo</t>
  </si>
  <si>
    <t>ZD7L</t>
  </si>
  <si>
    <t>ADO Gresik</t>
  </si>
  <si>
    <t>Java 4</t>
  </si>
  <si>
    <t>ZD8A</t>
  </si>
  <si>
    <t xml:space="preserve"> | SKJ : 2 CKG : 3</t>
  </si>
  <si>
    <t>ADO Denpasar</t>
  </si>
  <si>
    <t>ZD8B</t>
  </si>
  <si>
    <t>DPC Singaraja</t>
  </si>
  <si>
    <t>ZD8C</t>
  </si>
  <si>
    <t>ADO Mataram</t>
  </si>
  <si>
    <t>ZD8E</t>
  </si>
  <si>
    <t xml:space="preserve">11 | </t>
  </si>
  <si>
    <t>DPC Ende</t>
  </si>
  <si>
    <t>ZD3P</t>
  </si>
  <si>
    <t>Ruteng</t>
  </si>
  <si>
    <t>DPC Ruteng</t>
  </si>
  <si>
    <t>ZD8D</t>
  </si>
  <si>
    <t>ADO Kupang</t>
  </si>
  <si>
    <t>Bali NT</t>
  </si>
  <si>
    <t>n</t>
  </si>
  <si>
    <t>ZD9C</t>
  </si>
  <si>
    <t>ADO Banjarmasin</t>
  </si>
  <si>
    <t>ZD9D</t>
  </si>
  <si>
    <t>DPC Barabai</t>
  </si>
  <si>
    <t>ZD9F</t>
  </si>
  <si>
    <t>SKJ : 8 CKG : 12 |</t>
  </si>
  <si>
    <t>ADO Samarinda</t>
  </si>
  <si>
    <t>ZD9G</t>
  </si>
  <si>
    <t>EZD Berau</t>
  </si>
  <si>
    <t>ZD9I</t>
  </si>
  <si>
    <t>DPC Sengatta</t>
  </si>
  <si>
    <t>ZD9H</t>
  </si>
  <si>
    <t>SKJ : 9 CKG : 12 |</t>
  </si>
  <si>
    <t>ADO Balikpapan</t>
  </si>
  <si>
    <t>ZD9J</t>
  </si>
  <si>
    <t>Samarinda</t>
  </si>
  <si>
    <t>Depo Samarinda</t>
  </si>
  <si>
    <t>7 | 7</t>
  </si>
  <si>
    <t>Kalimantan 1</t>
  </si>
  <si>
    <t>ZD9A</t>
  </si>
  <si>
    <t>ADO Pontianak</t>
  </si>
  <si>
    <t>ZD9B</t>
  </si>
  <si>
    <t>ADO Sintang</t>
  </si>
  <si>
    <t>ZD9E</t>
  </si>
  <si>
    <t>EZD Palangkaraya</t>
  </si>
  <si>
    <t>Kalimantan 2</t>
  </si>
  <si>
    <t>ZD0A</t>
  </si>
  <si>
    <t>SKJ : 10 CKG : 12 |</t>
  </si>
  <si>
    <t>ADO Makassar</t>
  </si>
  <si>
    <t>ZD0J</t>
  </si>
  <si>
    <t>ADO Makassar 2</t>
  </si>
  <si>
    <t>ZD0K</t>
  </si>
  <si>
    <t>16 |</t>
  </si>
  <si>
    <t>EZD Kendari &amp; EZD Bau Bau</t>
  </si>
  <si>
    <t>ZD0B</t>
  </si>
  <si>
    <t>11 |</t>
  </si>
  <si>
    <t>ADO Parepare</t>
  </si>
  <si>
    <t>ZD0C</t>
  </si>
  <si>
    <t>DPC Palopo</t>
  </si>
  <si>
    <t>ZD0F</t>
  </si>
  <si>
    <t>9 |</t>
  </si>
  <si>
    <t>ADO Palu</t>
  </si>
  <si>
    <t>7 - 12</t>
  </si>
  <si>
    <t>Sulawesi 1</t>
  </si>
  <si>
    <t>ZD0D</t>
  </si>
  <si>
    <t>ADO Manado</t>
  </si>
  <si>
    <t>ZD0G</t>
  </si>
  <si>
    <t>13 |</t>
  </si>
  <si>
    <t>ADO Gorontalo</t>
  </si>
  <si>
    <t>ZD0H</t>
  </si>
  <si>
    <t>ADO Ternate</t>
  </si>
  <si>
    <t>ZD0E</t>
  </si>
  <si>
    <t>ADO Ambon</t>
  </si>
  <si>
    <t>ZD0E1</t>
  </si>
  <si>
    <t>12 |</t>
  </si>
  <si>
    <t>EZD Tual</t>
  </si>
  <si>
    <t>ZD0I</t>
  </si>
  <si>
    <t>23 - 27 |</t>
  </si>
  <si>
    <t>EZD Papua</t>
  </si>
  <si>
    <t>ZD0M</t>
  </si>
  <si>
    <t>21 |</t>
  </si>
  <si>
    <t>EZD Sorong</t>
  </si>
  <si>
    <t>10 - 14</t>
  </si>
  <si>
    <t>Sulawesi 2</t>
  </si>
  <si>
    <t>Pack</t>
  </si>
  <si>
    <t>Stick</t>
  </si>
  <si>
    <t>BUBD</t>
  </si>
  <si>
    <t>AVM20</t>
  </si>
  <si>
    <t>AVR20</t>
  </si>
  <si>
    <t>DLE12</t>
  </si>
  <si>
    <t>DMM16</t>
  </si>
  <si>
    <t>DMM20</t>
  </si>
  <si>
    <t>DSB12</t>
  </si>
  <si>
    <t>DSE12</t>
  </si>
  <si>
    <t>DSM12</t>
  </si>
  <si>
    <t>DSS12</t>
  </si>
  <si>
    <t>DSS16</t>
  </si>
  <si>
    <t>MBL20</t>
  </si>
  <si>
    <t>MBR20</t>
  </si>
  <si>
    <t>MFB12</t>
  </si>
  <si>
    <t>MFB20</t>
  </si>
  <si>
    <t>MLD12</t>
  </si>
  <si>
    <t>MLD16</t>
  </si>
  <si>
    <t>MLE12</t>
  </si>
  <si>
    <t>MLE16</t>
  </si>
  <si>
    <t>MMI20</t>
  </si>
  <si>
    <t>MSU16</t>
  </si>
  <si>
    <t>MTB16</t>
  </si>
  <si>
    <t>MTR16</t>
  </si>
  <si>
    <t>PNK12</t>
  </si>
  <si>
    <t>SAH12</t>
  </si>
  <si>
    <t>SLE12</t>
  </si>
  <si>
    <t>SMS12</t>
  </si>
  <si>
    <t>MFB16</t>
  </si>
  <si>
    <t>MLD50</t>
  </si>
  <si>
    <t>PMM12</t>
  </si>
  <si>
    <t>MLG20</t>
  </si>
  <si>
    <t>MMG20</t>
  </si>
  <si>
    <t>MBG20</t>
  </si>
  <si>
    <t>MBC12</t>
  </si>
  <si>
    <t>MTR12</t>
  </si>
  <si>
    <t>MSU12</t>
  </si>
  <si>
    <t>FOR12</t>
  </si>
  <si>
    <t>MBA12</t>
  </si>
  <si>
    <t>MFE20</t>
  </si>
  <si>
    <t>ZIG16</t>
  </si>
  <si>
    <t>DRO16</t>
  </si>
  <si>
    <t>DRT12</t>
  </si>
  <si>
    <t>ROR12</t>
  </si>
  <si>
    <t>KRI12</t>
  </si>
  <si>
    <t>AUL16</t>
  </si>
  <si>
    <t>AUL12</t>
  </si>
  <si>
    <t>BLK12</t>
  </si>
  <si>
    <t>BLT12</t>
  </si>
  <si>
    <t>BRJ12</t>
  </si>
  <si>
    <t>TER12</t>
  </si>
  <si>
    <t>SPA12</t>
  </si>
  <si>
    <t>DMC12</t>
  </si>
  <si>
    <t>ROA16</t>
  </si>
  <si>
    <t>MSP12</t>
  </si>
  <si>
    <t>KAT12</t>
  </si>
  <si>
    <t>DTS12</t>
  </si>
  <si>
    <t>MCA12</t>
  </si>
  <si>
    <t>MSE16</t>
  </si>
  <si>
    <t>TRN16</t>
  </si>
  <si>
    <t>MCO12</t>
  </si>
  <si>
    <t>MRL16</t>
  </si>
  <si>
    <t>DRE12</t>
  </si>
  <si>
    <t>MSB12</t>
  </si>
  <si>
    <t>DSB16</t>
  </si>
  <si>
    <t>SAI12</t>
  </si>
  <si>
    <t>MKT12</t>
  </si>
  <si>
    <t>SAL12</t>
  </si>
  <si>
    <t>MGA16</t>
  </si>
  <si>
    <t>DLA12</t>
  </si>
  <si>
    <t>SLS12</t>
  </si>
  <si>
    <t>SLA12</t>
  </si>
  <si>
    <t>MLA16</t>
  </si>
  <si>
    <t>DTC12</t>
  </si>
  <si>
    <t>MVT16</t>
  </si>
  <si>
    <t>ALD12</t>
  </si>
  <si>
    <t>ALR12</t>
  </si>
  <si>
    <t>MVP16</t>
  </si>
  <si>
    <t>AVT20</t>
  </si>
  <si>
    <t>MCS12</t>
  </si>
  <si>
    <t>MKM12</t>
  </si>
  <si>
    <t>MKC12</t>
  </si>
  <si>
    <t>SGO12</t>
  </si>
  <si>
    <t>MKB12</t>
  </si>
  <si>
    <t>MRT20</t>
  </si>
  <si>
    <t>MGT20</t>
  </si>
  <si>
    <t>SLM12</t>
  </si>
  <si>
    <t>SLD12</t>
  </si>
  <si>
    <t>SLN12</t>
  </si>
  <si>
    <t>MLZ12</t>
  </si>
  <si>
    <t>AVL20</t>
  </si>
  <si>
    <t>MVS16</t>
  </si>
  <si>
    <t>DTM12</t>
  </si>
  <si>
    <t>MGV12</t>
  </si>
  <si>
    <t>KPS</t>
  </si>
  <si>
    <t>Picking List</t>
  </si>
  <si>
    <t>Arrival Brand to DC</t>
  </si>
  <si>
    <t>Detail Allocation</t>
  </si>
  <si>
    <t>Allocation Qty</t>
  </si>
  <si>
    <t>OS DC</t>
  </si>
  <si>
    <t>SENIN</t>
  </si>
  <si>
    <t>SELASA</t>
  </si>
  <si>
    <t>RABU</t>
  </si>
  <si>
    <t>KAMIS</t>
  </si>
  <si>
    <t>JUMAT</t>
  </si>
  <si>
    <t>SABTU</t>
  </si>
  <si>
    <t>MINGGU</t>
  </si>
  <si>
    <t>TOTAL</t>
  </si>
  <si>
    <t>SUM 1 &amp; BNT</t>
  </si>
  <si>
    <t>Follow BV1 Allocation</t>
  </si>
  <si>
    <t>FA Code</t>
  </si>
  <si>
    <t>iSMS Code</t>
  </si>
  <si>
    <t>Description</t>
  </si>
  <si>
    <t>Alias</t>
  </si>
  <si>
    <t>Tahun Cukai</t>
  </si>
  <si>
    <t>Key</t>
  </si>
  <si>
    <t>FA081144.00</t>
  </si>
  <si>
    <t>ARB1213700P2</t>
  </si>
  <si>
    <t>Ares Bold 12 13700 2022</t>
  </si>
  <si>
    <t>ARB12Z1137P2</t>
  </si>
  <si>
    <t>Ares Bold 12 Z1 13700 2022</t>
  </si>
  <si>
    <t>ARB12Z2137P2</t>
  </si>
  <si>
    <t>Ares Bold 12 Z2 13700 2022</t>
  </si>
  <si>
    <t>APB122025</t>
  </si>
  <si>
    <t>FA080049.01</t>
  </si>
  <si>
    <t>ARK1213700P2</t>
  </si>
  <si>
    <t>Ares Kaizer 12 13700 2022</t>
  </si>
  <si>
    <t>FA080047.01</t>
  </si>
  <si>
    <t>ARM12Z1137P2</t>
  </si>
  <si>
    <t>Ares Mind 12 Z1 13700 2022</t>
  </si>
  <si>
    <t>ARM12Z2137P2</t>
  </si>
  <si>
    <t>Ares Mind 12 Z2 13700 2022</t>
  </si>
  <si>
    <t>APB202025</t>
  </si>
  <si>
    <t>FA080046.01</t>
  </si>
  <si>
    <t>ARM16Z1182P2</t>
  </si>
  <si>
    <t>Ares Mind 16 Z1 18250 2022</t>
  </si>
  <si>
    <t>ARM16Z2182P2</t>
  </si>
  <si>
    <t>Ares Mind 16 Z2 18250 2022</t>
  </si>
  <si>
    <t>FA077874.01</t>
  </si>
  <si>
    <t>AUL1222875P2</t>
  </si>
  <si>
    <t>Samp. A Ultra Mild 12 22875 2022</t>
  </si>
  <si>
    <t>FA077874.02</t>
  </si>
  <si>
    <t>API122025</t>
  </si>
  <si>
    <t>FA073565.03</t>
  </si>
  <si>
    <t>AUL1630500P2</t>
  </si>
  <si>
    <t>Samp. A Ultra Mild 16 30500 2022</t>
  </si>
  <si>
    <t>FA073565.04</t>
  </si>
  <si>
    <t>FA048258.16</t>
  </si>
  <si>
    <t>AVM2038100P2</t>
  </si>
  <si>
    <t>Avo Mtl 20 38100 2022</t>
  </si>
  <si>
    <t>API162025</t>
  </si>
  <si>
    <t>FA048258.17</t>
  </si>
  <si>
    <t>FA048258.18</t>
  </si>
  <si>
    <t>FA048259.15</t>
  </si>
  <si>
    <t>AVR2038100P2</t>
  </si>
  <si>
    <t>Avolution 20 38100 2022</t>
  </si>
  <si>
    <t>APR202025</t>
  </si>
  <si>
    <t>FA048259.16</t>
  </si>
  <si>
    <t>FA048259.17</t>
  </si>
  <si>
    <t>FA078926.01</t>
  </si>
  <si>
    <t>BAJ1206075P2</t>
  </si>
  <si>
    <t>Baja SKT 12 6075 2022</t>
  </si>
  <si>
    <t>FA078925.01</t>
  </si>
  <si>
    <t>BGS1206075P2</t>
  </si>
  <si>
    <t>Bagas SKT 12 6075 2022</t>
  </si>
  <si>
    <t>FA081464.00</t>
  </si>
  <si>
    <t>BHU1207500P2</t>
  </si>
  <si>
    <t>BHUMI (SKT) NF LS BOX 12</t>
  </si>
  <si>
    <t>FA081340.00</t>
  </si>
  <si>
    <t>BLE1213700P2</t>
  </si>
  <si>
    <t>BLE12</t>
  </si>
  <si>
    <t>Bokormas LE Hardpack SKM 12 13700 2022</t>
  </si>
  <si>
    <t>FA078907.01</t>
  </si>
  <si>
    <t>BLK1213700P2</t>
  </si>
  <si>
    <t>Blake SKM HT 12 13700 2022</t>
  </si>
  <si>
    <t>ARB122025</t>
  </si>
  <si>
    <t>FA078909.01</t>
  </si>
  <si>
    <t>BLT1206075P2</t>
  </si>
  <si>
    <t>Blake SKT 12 6075 2022</t>
  </si>
  <si>
    <t>ARB202025</t>
  </si>
  <si>
    <t>FA078910.01</t>
  </si>
  <si>
    <t>BRJ1206075P2</t>
  </si>
  <si>
    <t>Braja SKT 12 6075 2022</t>
  </si>
  <si>
    <t>FA080032.00</t>
  </si>
  <si>
    <t>CTL1618250P2</t>
  </si>
  <si>
    <t>Citylite SKM 16 18250 2022</t>
  </si>
  <si>
    <t>FA079830.00</t>
  </si>
  <si>
    <t>DLE1219650P2</t>
  </si>
  <si>
    <t>Dji Sam Soe 10Plus2 12 19650 2022</t>
  </si>
  <si>
    <t>FA079830.01</t>
  </si>
  <si>
    <t>ARK122025</t>
  </si>
  <si>
    <t>FA079024.01</t>
  </si>
  <si>
    <t>DMC1222875P2</t>
  </si>
  <si>
    <t>DSS Magnum Classic 12 22875 2022</t>
  </si>
  <si>
    <t>FA079024.02</t>
  </si>
  <si>
    <t>FA079024.03</t>
  </si>
  <si>
    <t>ARL162025</t>
  </si>
  <si>
    <t>FA045300.13</t>
  </si>
  <si>
    <t>DMM16DM305P2</t>
  </si>
  <si>
    <t>DSS Mild 16 PRIF DMC 30500 2022</t>
  </si>
  <si>
    <t>Prif DMC</t>
  </si>
  <si>
    <t>FA045300.16</t>
  </si>
  <si>
    <t>FA045300.18</t>
  </si>
  <si>
    <t>FA045300.19</t>
  </si>
  <si>
    <t>FA045300.14</t>
  </si>
  <si>
    <t>DMM16DS305P2</t>
  </si>
  <si>
    <t>DSS Mild 16 PRIF DSM 30500 2022</t>
  </si>
  <si>
    <t>Prif DSM</t>
  </si>
  <si>
    <t>FA045300.15</t>
  </si>
  <si>
    <t>ARM122025</t>
  </si>
  <si>
    <t>FA045300.17</t>
  </si>
  <si>
    <t>FA071271.06</t>
  </si>
  <si>
    <t>DMM2038100P2</t>
  </si>
  <si>
    <t>DSS Magnum Mild 20 38100 2022</t>
  </si>
  <si>
    <t>FA071271.07</t>
  </si>
  <si>
    <t>FA071271.08</t>
  </si>
  <si>
    <t>FA078666.01</t>
  </si>
  <si>
    <t>DRO1618250P2</t>
  </si>
  <si>
    <t>Drogo SKM HT 16 18250 2022</t>
  </si>
  <si>
    <t>ARM162025</t>
  </si>
  <si>
    <t>FA078667.01</t>
  </si>
  <si>
    <t>DRT1206075P2</t>
  </si>
  <si>
    <t>Drogo SKT 12 6075 2022</t>
  </si>
  <si>
    <t>FA035621.24</t>
  </si>
  <si>
    <t>DSB1219650P2</t>
  </si>
  <si>
    <t>DSSP SNAP BOX 12 19650 2022</t>
  </si>
  <si>
    <t>FA035621.25</t>
  </si>
  <si>
    <t>FA079858.00</t>
  </si>
  <si>
    <t>DSE1222875P2</t>
  </si>
  <si>
    <t>DSM 12 Price Dynamics LEP 22875 2022</t>
  </si>
  <si>
    <t>FA079858.01</t>
  </si>
  <si>
    <t>FA079858.02</t>
  </si>
  <si>
    <t>FA079832.00</t>
  </si>
  <si>
    <t>DSM1222875P2</t>
  </si>
  <si>
    <t>DSS Magnum Revamp 12 22875 2022</t>
  </si>
  <si>
    <t>FA079832.01</t>
  </si>
  <si>
    <t>FA079832.03</t>
  </si>
  <si>
    <t>FA078299.02</t>
  </si>
  <si>
    <t>DSS1219650P2</t>
  </si>
  <si>
    <t>DSS Kretek 12 19650 2022</t>
  </si>
  <si>
    <t>FA078299.03</t>
  </si>
  <si>
    <t>AVL202025</t>
  </si>
  <si>
    <t>FA079257.01</t>
  </si>
  <si>
    <t>DSS1626200P2</t>
  </si>
  <si>
    <t>DSS Kretek 16 26200 2022</t>
  </si>
  <si>
    <t>FA079257.02</t>
  </si>
  <si>
    <t>FA078480.01</t>
  </si>
  <si>
    <t>DTS1219650P2</t>
  </si>
  <si>
    <t>Dji Sam Soe Elite 12 19650 2022</t>
  </si>
  <si>
    <t>FA078480.02</t>
  </si>
  <si>
    <t>FA077852.03</t>
  </si>
  <si>
    <t>FOR1213700P2</t>
  </si>
  <si>
    <t>Forza 12 13700 2022</t>
  </si>
  <si>
    <t>FA081390.00</t>
  </si>
  <si>
    <t>ISR1206075P2</t>
  </si>
  <si>
    <t>ISR12</t>
  </si>
  <si>
    <t>Istana Royal SKT 12 6075 2022</t>
  </si>
  <si>
    <t>FA081318.00</t>
  </si>
  <si>
    <t>IST1206075P2</t>
  </si>
  <si>
    <t>IST12</t>
  </si>
  <si>
    <t>Istana SKT 12 6075 2022</t>
  </si>
  <si>
    <t>FA078951.01</t>
  </si>
  <si>
    <t>KAM1206075P2</t>
  </si>
  <si>
    <t>Kama SKT 12 6075 2022</t>
  </si>
  <si>
    <t>FA079585.01</t>
  </si>
  <si>
    <t>KAT1206075P2</t>
  </si>
  <si>
    <t>Katon SKT 12 6075 2022</t>
  </si>
  <si>
    <t>FA078781.01</t>
  </si>
  <si>
    <t>KRI1213700P2</t>
  </si>
  <si>
    <t>Kripton SKM HT 12 13700 2022</t>
  </si>
  <si>
    <t>FA080082.01</t>
  </si>
  <si>
    <t>LOJ1206075P2</t>
  </si>
  <si>
    <t>Lodjie Ijo NF 12 6075 2022</t>
  </si>
  <si>
    <t>AVM202025</t>
  </si>
  <si>
    <t>FA077543.02</t>
  </si>
  <si>
    <t>MBA1222875P2</t>
  </si>
  <si>
    <t>Marlb. Advance 12 22875 2022</t>
  </si>
  <si>
    <t>FA077543.03</t>
  </si>
  <si>
    <t>FA077543.04</t>
  </si>
  <si>
    <t>FA077336.05</t>
  </si>
  <si>
    <t>MBC1207200P2</t>
  </si>
  <si>
    <t>Marlb. Crafted 12 7200  2022</t>
  </si>
  <si>
    <t>FA077336.06</t>
  </si>
  <si>
    <t>FA077336.07</t>
  </si>
  <si>
    <t>MBC1207925P2</t>
  </si>
  <si>
    <t>Marlb. Crafted 12 7925 2022</t>
  </si>
  <si>
    <t>FA080651.00</t>
  </si>
  <si>
    <t>FA061183.22</t>
  </si>
  <si>
    <t>MBG20LN401P2</t>
  </si>
  <si>
    <t>Marlb. Red 20 LNT 40100 2022</t>
  </si>
  <si>
    <t>MBG20 LNT</t>
  </si>
  <si>
    <t>FA061183.20</t>
  </si>
  <si>
    <t>MBG20UM401P2</t>
  </si>
  <si>
    <t>Marlb. Red 20 Summit 40100 2022</t>
  </si>
  <si>
    <t>MBG20 Summit</t>
  </si>
  <si>
    <t>FA074776.04</t>
  </si>
  <si>
    <t>MBL2040100P2</t>
  </si>
  <si>
    <t>Marlb Lights 20 40100 2022</t>
  </si>
  <si>
    <t>FA074776.07</t>
  </si>
  <si>
    <t>FA078780.04</t>
  </si>
  <si>
    <t>AVR202025</t>
  </si>
  <si>
    <t>FA052576.24</t>
  </si>
  <si>
    <t>MBR2040100P2</t>
  </si>
  <si>
    <t>Marlb. Red 20 40100 2022</t>
  </si>
  <si>
    <t>FA052576.25</t>
  </si>
  <si>
    <t>FA080593.00</t>
  </si>
  <si>
    <t>AVT202025</t>
  </si>
  <si>
    <t>FA079738.00</t>
  </si>
  <si>
    <t>MCA1205175P2</t>
  </si>
  <si>
    <t>Marlboro CA NF LTK FLP 12 5175 2022</t>
  </si>
  <si>
    <t>FA079738.02</t>
  </si>
  <si>
    <t>FA079738.04</t>
  </si>
  <si>
    <t>MCA1207925P2</t>
  </si>
  <si>
    <t>Marlboro CA SPT 12 7925 2022</t>
  </si>
  <si>
    <t>FA079738.05</t>
  </si>
  <si>
    <t>MCA1209375P2</t>
  </si>
  <si>
    <t>Marlboro CA 12 9375 2022</t>
  </si>
  <si>
    <t>BAJ122025</t>
  </si>
  <si>
    <t>FA081612.00</t>
  </si>
  <si>
    <t>MCO1207925P2</t>
  </si>
  <si>
    <t>Marlb. Crafted Origin 12 7925 2022</t>
  </si>
  <si>
    <t>FA069010.10</t>
  </si>
  <si>
    <t>MFB1222875P2</t>
  </si>
  <si>
    <t>Marlb Filter Black 12 22875 2022</t>
  </si>
  <si>
    <t>FA069010.15</t>
  </si>
  <si>
    <t>FA073966.09</t>
  </si>
  <si>
    <t>BGS122025</t>
  </si>
  <si>
    <t>FA073966.10</t>
  </si>
  <si>
    <t>FA073966.11</t>
  </si>
  <si>
    <t>FA077895.04</t>
  </si>
  <si>
    <t>MFB1630500P2</t>
  </si>
  <si>
    <t>Marlb Filter Black 16 30500 2022</t>
  </si>
  <si>
    <t>FA077895.05</t>
  </si>
  <si>
    <t>BHU122025</t>
  </si>
  <si>
    <t>FA077895.06</t>
  </si>
  <si>
    <t>FA077925.01</t>
  </si>
  <si>
    <t>FA077925.06</t>
  </si>
  <si>
    <t>FA061184.18</t>
  </si>
  <si>
    <t>MFB2038100P2</t>
  </si>
  <si>
    <t>Marlb Filter Black 20 38100 2022</t>
  </si>
  <si>
    <t>BLS122025</t>
  </si>
  <si>
    <t>FA071530.11</t>
  </si>
  <si>
    <t>FA071530.13</t>
  </si>
  <si>
    <t>FA071530.12</t>
  </si>
  <si>
    <t>MFE20LN381P2</t>
  </si>
  <si>
    <t>Marlb Flt Black 20 LNT 38100 2022</t>
  </si>
  <si>
    <t>MFE20 LNT</t>
  </si>
  <si>
    <t>FA071530.10</t>
  </si>
  <si>
    <t>MFE20UM381P2</t>
  </si>
  <si>
    <t>Marlb Flt Black 20 Summit 38100 2022</t>
  </si>
  <si>
    <t>MFE20 Summit</t>
  </si>
  <si>
    <t>FA071530.14</t>
  </si>
  <si>
    <t>BRW122025</t>
  </si>
  <si>
    <t>FA045795.21</t>
  </si>
  <si>
    <t>MLD1222875P2</t>
  </si>
  <si>
    <t>Samp. Mild 12 22875 2022</t>
  </si>
  <si>
    <t>BSH122025</t>
  </si>
  <si>
    <t>FA045795.24</t>
  </si>
  <si>
    <t>FA044121.30</t>
  </si>
  <si>
    <t>MLD1630500P2</t>
  </si>
  <si>
    <t>Samp. Mild 16 30500 2022</t>
  </si>
  <si>
    <t>FA044121.33</t>
  </si>
  <si>
    <t>FA073509.03</t>
  </si>
  <si>
    <t>MLD5095250P2</t>
  </si>
  <si>
    <t>Samp. Mild 50 95250 2022</t>
  </si>
  <si>
    <t>CTL162025</t>
  </si>
  <si>
    <t>FA073509.05</t>
  </si>
  <si>
    <t>FA073509.06</t>
  </si>
  <si>
    <t>FA049104.06</t>
  </si>
  <si>
    <t>MLE12IE228P2</t>
  </si>
  <si>
    <t>Samp. Mild 12 IDM LEP KA 22875 2022</t>
  </si>
  <si>
    <t>IDM Edition</t>
  </si>
  <si>
    <t>DFB122025</t>
  </si>
  <si>
    <t>FA049104.08</t>
  </si>
  <si>
    <t>FA050466.10</t>
  </si>
  <si>
    <t>MLE16IE305P2</t>
  </si>
  <si>
    <t>Samp. Mild 16 IDM LEP  30500 2022</t>
  </si>
  <si>
    <t>FA050466.16</t>
  </si>
  <si>
    <t>DFB202025</t>
  </si>
  <si>
    <t>FA078780.03</t>
  </si>
  <si>
    <t>MLG20LN401P2</t>
  </si>
  <si>
    <t>Marlb Gold 20 LNT 40100 2022</t>
  </si>
  <si>
    <t>MLG20 LNT</t>
  </si>
  <si>
    <t>FA078780.01</t>
  </si>
  <si>
    <t>MLG20UM401P2</t>
  </si>
  <si>
    <t>Marlb Gold 20 Summit 40100 2022</t>
  </si>
  <si>
    <t>MLG20 Summit</t>
  </si>
  <si>
    <t>FA069772.18</t>
  </si>
  <si>
    <t>MMG20LN401P2</t>
  </si>
  <si>
    <t>Marlb Ice Burst 20 LNT 40100 2022</t>
  </si>
  <si>
    <t>MMG20 LNT</t>
  </si>
  <si>
    <t>FA069772.16</t>
  </si>
  <si>
    <t>MMG20UM401P2</t>
  </si>
  <si>
    <t>Marlb Ice Burst 20 Summit 40100 2022</t>
  </si>
  <si>
    <t>MMG20 Summit</t>
  </si>
  <si>
    <t>DFI122025</t>
  </si>
  <si>
    <t>FA069772.17</t>
  </si>
  <si>
    <t>FA069748.11</t>
  </si>
  <si>
    <t>MMI2040100P2</t>
  </si>
  <si>
    <t>Marlb. Ice Burst 20 40100 2022</t>
  </si>
  <si>
    <t>FA069748.12</t>
  </si>
  <si>
    <t>DFI162025</t>
  </si>
  <si>
    <t>FA069748.15</t>
  </si>
  <si>
    <t>DFR202025</t>
  </si>
  <si>
    <t>FA069772.19</t>
  </si>
  <si>
    <t>DLA122025</t>
  </si>
  <si>
    <t>FA050466.11</t>
  </si>
  <si>
    <t>MSE1630500P2</t>
  </si>
  <si>
    <t>Samp. Mild 16 GT LEP 30500 2022</t>
  </si>
  <si>
    <t>FA050466.15</t>
  </si>
  <si>
    <t>FA078604.01</t>
  </si>
  <si>
    <t>MSP1222875P2</t>
  </si>
  <si>
    <t>A Splash Spring 12 22875 2022</t>
  </si>
  <si>
    <t>FA078604.02</t>
  </si>
  <si>
    <t>FA078297.03</t>
  </si>
  <si>
    <t>MSU1222875P2</t>
  </si>
  <si>
    <t>Samp. A Splash SU 12 22875 2022</t>
  </si>
  <si>
    <t>FA078297.04</t>
  </si>
  <si>
    <t>FA078295.03</t>
  </si>
  <si>
    <t>MSU1630500P2</t>
  </si>
  <si>
    <t>Samp. A Splash SU 16 30500 2022</t>
  </si>
  <si>
    <t>FA078295.04</t>
  </si>
  <si>
    <t>FA062333.14</t>
  </si>
  <si>
    <t>MTB1630500P2</t>
  </si>
  <si>
    <t>Mild Mtl Burst 16 30500 2022</t>
  </si>
  <si>
    <t>FA062333.15</t>
  </si>
  <si>
    <t>FA062333.16</t>
  </si>
  <si>
    <t>FA078296.03</t>
  </si>
  <si>
    <t>MTR1222875P2</t>
  </si>
  <si>
    <t>Samp. A Splash TR 12 22875 2022</t>
  </si>
  <si>
    <t>FA078296.04</t>
  </si>
  <si>
    <t>FA078294.03</t>
  </si>
  <si>
    <t>MTR1630500P2</t>
  </si>
  <si>
    <t>Samp. A Splash TR 16 30500 2022</t>
  </si>
  <si>
    <t>FA078294.04</t>
  </si>
  <si>
    <t>FA082013.00</t>
  </si>
  <si>
    <t>NAT1618300P2</t>
  </si>
  <si>
    <t>Nation Bold SKM 16 18300 2022</t>
  </si>
  <si>
    <t>FA080036.00</t>
  </si>
  <si>
    <t>NAT2022800P2</t>
  </si>
  <si>
    <t>Nation SKM 20 22800 2022</t>
  </si>
  <si>
    <t>FA081488.00</t>
  </si>
  <si>
    <t>OEM1005050P2</t>
  </si>
  <si>
    <t>OEPET (SKT) NF LS SOF 10 FAT</t>
  </si>
  <si>
    <t>FA081489.00</t>
  </si>
  <si>
    <t>OES1206075P2</t>
  </si>
  <si>
    <t>OEPET (SKT) NF LS BOX 12 FAT</t>
  </si>
  <si>
    <t>FA076789.03</t>
  </si>
  <si>
    <t>PMM1222875P2</t>
  </si>
  <si>
    <t>Philip Morris Magnum 12 22875 2022</t>
  </si>
  <si>
    <t>FA076789.04</t>
  </si>
  <si>
    <t>FA078300.02</t>
  </si>
  <si>
    <t>PNK1213625P2</t>
  </si>
  <si>
    <t>Panamas Kuning 12 13625 2022</t>
  </si>
  <si>
    <t>FA078300.03</t>
  </si>
  <si>
    <t>FA081543.00</t>
  </si>
  <si>
    <t>PSP12Z1607P2</t>
  </si>
  <si>
    <t>Pasopati (SKT) 12 Z1 6075 2022</t>
  </si>
  <si>
    <t>DPP122025</t>
  </si>
  <si>
    <t>PSP12Z2607P2</t>
  </si>
  <si>
    <t>Pasopati (SKT) 12 Z2 6075 2022</t>
  </si>
  <si>
    <t>FA079072.01</t>
  </si>
  <si>
    <t>ROA1618250P2</t>
  </si>
  <si>
    <t>Roar SKM HT 16 18250 2022</t>
  </si>
  <si>
    <t>FA078669.01</t>
  </si>
  <si>
    <t>ROR1206075P2</t>
  </si>
  <si>
    <t>Roar SKT 12 6075 2022</t>
  </si>
  <si>
    <t>DRE122025</t>
  </si>
  <si>
    <t>FA081386.00</t>
  </si>
  <si>
    <t>RVM1618250P2</t>
  </si>
  <si>
    <t>RVM16</t>
  </si>
  <si>
    <t>Revolution Mtl 16 18250 2022</t>
  </si>
  <si>
    <t>DRJ122025</t>
  </si>
  <si>
    <t>FA081325.00</t>
  </si>
  <si>
    <t>RVR1618250P2</t>
  </si>
  <si>
    <t>RVR16</t>
  </si>
  <si>
    <t>Revolution 16 18250 2022</t>
  </si>
  <si>
    <t>FA078301.05</t>
  </si>
  <si>
    <t>SAH1213625P2</t>
  </si>
  <si>
    <t>Samp. Hijau 12 13625 2022</t>
  </si>
  <si>
    <t>FA078301.06</t>
  </si>
  <si>
    <t>FA078927.01</t>
  </si>
  <si>
    <t>SGR1206075P2</t>
  </si>
  <si>
    <t>Segara SKT 12 6075 2022</t>
  </si>
  <si>
    <t>FA079829.00</t>
  </si>
  <si>
    <t>SLE1213625P2</t>
  </si>
  <si>
    <t>Samp. Hijau 10Plus2 12 13625 2022</t>
  </si>
  <si>
    <t>FA079829.01</t>
  </si>
  <si>
    <t>FA082194.00</t>
  </si>
  <si>
    <t>SLR1206075P2</t>
  </si>
  <si>
    <t>Selera Hijau Sejuk SKT 12 6075 2022</t>
  </si>
  <si>
    <t>FA081700.00</t>
  </si>
  <si>
    <t>SLT1207200P2</t>
  </si>
  <si>
    <t>153 SKT 12 7200 2022</t>
  </si>
  <si>
    <t>DSB122025</t>
  </si>
  <si>
    <t>FA075722.02</t>
  </si>
  <si>
    <t>SMS1213625P2</t>
  </si>
  <si>
    <t>Sampoerna 234 12 13625 2022</t>
  </si>
  <si>
    <t>FA079903.01</t>
  </si>
  <si>
    <t>SPA1213700P2</t>
  </si>
  <si>
    <t>Spade SKM HT 12 13700 2022</t>
  </si>
  <si>
    <t>DSB162025</t>
  </si>
  <si>
    <t>FA081205.00</t>
  </si>
  <si>
    <t>SPR1005050P2</t>
  </si>
  <si>
    <t>SPR10</t>
  </si>
  <si>
    <t>Super24 SKT 10 5050 2022</t>
  </si>
  <si>
    <t>FA081322.00</t>
  </si>
  <si>
    <t>SPB1206075P2</t>
  </si>
  <si>
    <t>SPR12</t>
  </si>
  <si>
    <t>Super24 Prem Blend SKT 12 6075 2022</t>
  </si>
  <si>
    <t>FA081319.00</t>
  </si>
  <si>
    <t>SPR1608100P2</t>
  </si>
  <si>
    <t>SPR16</t>
  </si>
  <si>
    <t>Super24 SKT 16 8100 2022</t>
  </si>
  <si>
    <t>FA081391.00</t>
  </si>
  <si>
    <t>SPW1618250P2</t>
  </si>
  <si>
    <t>SPW16</t>
  </si>
  <si>
    <t>UP Super Power SKM 16 18250 2022</t>
  </si>
  <si>
    <t>FA078668.01</t>
  </si>
  <si>
    <t>SRS1206075P2</t>
  </si>
  <si>
    <t>Serasa SKT 12 6075 2022</t>
  </si>
  <si>
    <t>FA081356.00</t>
  </si>
  <si>
    <t>TBM2022800P2</t>
  </si>
  <si>
    <t>TBM20</t>
  </si>
  <si>
    <t>Track Bold Mtl 20 22800 2022</t>
  </si>
  <si>
    <t>DSE122025</t>
  </si>
  <si>
    <t>FA078928.01</t>
  </si>
  <si>
    <t>TER1206075P2</t>
  </si>
  <si>
    <t>Terbit SKT 12 6075 2022</t>
  </si>
  <si>
    <t>FA080873.00</t>
  </si>
  <si>
    <t>TRI2022800P2</t>
  </si>
  <si>
    <t>TRITON BOLD (SKM) LTK BOX 20</t>
  </si>
  <si>
    <t>FA080035.00</t>
  </si>
  <si>
    <t>TRN1618250P2</t>
  </si>
  <si>
    <t>Tren SKM 16 18250 2022</t>
  </si>
  <si>
    <t>FA081323.00</t>
  </si>
  <si>
    <t>TUW1206075P2</t>
  </si>
  <si>
    <t>TUW12</t>
  </si>
  <si>
    <t>Tuwaga 12 6075 2022</t>
  </si>
  <si>
    <t>FA082225.00</t>
  </si>
  <si>
    <t>TWR1618250P2</t>
  </si>
  <si>
    <t>Twizz Royal Crush 16 18250 2022</t>
  </si>
  <si>
    <t>FA082224.00</t>
  </si>
  <si>
    <t>TWY1618250P2</t>
  </si>
  <si>
    <t>Twizz Yellow Crush 16 18250 2022</t>
  </si>
  <si>
    <t>DSM122025</t>
  </si>
  <si>
    <t>FA081385.00</t>
  </si>
  <si>
    <t>UAM1618250P2</t>
  </si>
  <si>
    <t>UAM16</t>
  </si>
  <si>
    <t>UP Apple Mtl 16 18250 2022</t>
  </si>
  <si>
    <t>FA081396.00</t>
  </si>
  <si>
    <t>UNH1206075P2</t>
  </si>
  <si>
    <t>UNH12</t>
  </si>
  <si>
    <t>Universal Hardpack SKT 12 6075 2022</t>
  </si>
  <si>
    <t>FA081324.00</t>
  </si>
  <si>
    <t>UNI1213700P2</t>
  </si>
  <si>
    <t>UNI12</t>
  </si>
  <si>
    <t>Universal SKM 12 13700 2022</t>
  </si>
  <si>
    <t>FA081320.00</t>
  </si>
  <si>
    <t>UNI1618250P2</t>
  </si>
  <si>
    <t>UNI16</t>
  </si>
  <si>
    <t>Universal SKM 16 18250 2022</t>
  </si>
  <si>
    <t>FA081389.00</t>
  </si>
  <si>
    <t>UNL1206075P2</t>
  </si>
  <si>
    <t>UNL12</t>
  </si>
  <si>
    <t>Universal LE Softpack SKT 12 6075 2022</t>
  </si>
  <si>
    <t>DSS122025</t>
  </si>
  <si>
    <t>FA081392.00</t>
  </si>
  <si>
    <t>UNM1618250P2</t>
  </si>
  <si>
    <t>UNM16</t>
  </si>
  <si>
    <t>UP Next Revolution Mtl 16 18250 2022</t>
  </si>
  <si>
    <t>FA081397.00</t>
  </si>
  <si>
    <t>UNR1618250P2</t>
  </si>
  <si>
    <t>UNR16</t>
  </si>
  <si>
    <t>UP Next Revolution 16 18250 2022</t>
  </si>
  <si>
    <t>FA081384.00</t>
  </si>
  <si>
    <t>UNT1206075P2</t>
  </si>
  <si>
    <t>UNT12</t>
  </si>
  <si>
    <t>Universal Softpack SKT 12 6075 2022</t>
  </si>
  <si>
    <t>DPP12</t>
  </si>
  <si>
    <t>FA081206.00</t>
  </si>
  <si>
    <t>UNT1608100P2</t>
  </si>
  <si>
    <t>UNT16</t>
  </si>
  <si>
    <t>UNIVERSAL (SKT) NF LS SOF 16 SLI</t>
  </si>
  <si>
    <t>SPS12</t>
  </si>
  <si>
    <t>FA081208.00</t>
  </si>
  <si>
    <t>UPA1618250P2</t>
  </si>
  <si>
    <t>UPA16</t>
  </si>
  <si>
    <t>UP Nano Apple Mtl 16 18250 2022</t>
  </si>
  <si>
    <t>DSS162025</t>
  </si>
  <si>
    <t>SPX12</t>
  </si>
  <si>
    <t>FA081304.00</t>
  </si>
  <si>
    <t>UPB1618250P2</t>
  </si>
  <si>
    <t>UPB16</t>
  </si>
  <si>
    <t>UP Berry Mtl 16 18250 2022</t>
  </si>
  <si>
    <t>DTC122025</t>
  </si>
  <si>
    <t>MLI20</t>
  </si>
  <si>
    <t>FA081305.00</t>
  </si>
  <si>
    <t>UPB2022800P2</t>
  </si>
  <si>
    <t>UPB20</t>
  </si>
  <si>
    <t>UP Berry Mtl 20 22800 2022</t>
  </si>
  <si>
    <t>DTM122025</t>
  </si>
  <si>
    <t>MRI20</t>
  </si>
  <si>
    <t>FA081398.00</t>
  </si>
  <si>
    <t>UPC1618250P2</t>
  </si>
  <si>
    <t>UPC16</t>
  </si>
  <si>
    <t>UP Click Mtl 16 18250 2022</t>
  </si>
  <si>
    <t>MAC12</t>
  </si>
  <si>
    <t>FA080624.00</t>
  </si>
  <si>
    <t>UPC2022800P2</t>
  </si>
  <si>
    <t>UPC20</t>
  </si>
  <si>
    <t>UP Click Mtl 20 22800 2022</t>
  </si>
  <si>
    <t>MSL20</t>
  </si>
  <si>
    <t>FA081207.00</t>
  </si>
  <si>
    <t>UPG1618250P2</t>
  </si>
  <si>
    <t>UPG16</t>
  </si>
  <si>
    <t>UP Nano Grape Mtl 16 18250 2022</t>
  </si>
  <si>
    <t>MST20</t>
  </si>
  <si>
    <t>FA081204.00</t>
  </si>
  <si>
    <t>UPG2022800P2</t>
  </si>
  <si>
    <t>UPG20</t>
  </si>
  <si>
    <t>UP Nano Grape Mtl 20 22800 2022</t>
  </si>
  <si>
    <t>MSR20</t>
  </si>
  <si>
    <t>FA081357.00</t>
  </si>
  <si>
    <t>UPM1618250P2</t>
  </si>
  <si>
    <t>UPM16</t>
  </si>
  <si>
    <t>UP Original Mtl 16 18250 2022</t>
  </si>
  <si>
    <t>FA081358.00</t>
  </si>
  <si>
    <t>UPO1618250P2</t>
  </si>
  <si>
    <t>UPO16</t>
  </si>
  <si>
    <t>UP Original 16 18250 2022</t>
  </si>
  <si>
    <t>FA081388.00</t>
  </si>
  <si>
    <t>UPG1206075P2</t>
  </si>
  <si>
    <t>UPG12</t>
  </si>
  <si>
    <t>UP Nano Grape Mtl 12 6075 2022</t>
  </si>
  <si>
    <t>UPT1206075P2</t>
  </si>
  <si>
    <t>UPT12</t>
  </si>
  <si>
    <t>UP Giga 12 6075 2022</t>
  </si>
  <si>
    <t>FA081393.00</t>
  </si>
  <si>
    <t>USL1206075P2</t>
  </si>
  <si>
    <t>USL12</t>
  </si>
  <si>
    <t>Universal Sliding SKT 12 6075 2022</t>
  </si>
  <si>
    <t>GLP162025</t>
  </si>
  <si>
    <t>FA081737.00</t>
  </si>
  <si>
    <t>VER2022700P2</t>
  </si>
  <si>
    <t>VERMONT SPM 20 22700 2022</t>
  </si>
  <si>
    <t>MFI20</t>
  </si>
  <si>
    <t>FA080031.00</t>
  </si>
  <si>
    <t>VGZ1618250P2</t>
  </si>
  <si>
    <t>Vegaz SKM 16 18250 2022</t>
  </si>
  <si>
    <t>GLY162025</t>
  </si>
  <si>
    <t>FA078670.01</t>
  </si>
  <si>
    <t>ZIG1618250P2</t>
  </si>
  <si>
    <t>Ziggy SKM 16 18250 2022</t>
  </si>
  <si>
    <t>FA083073.00</t>
  </si>
  <si>
    <t>APB1215075Q3</t>
  </si>
  <si>
    <t>Aspro Bold Filter HT 12 15075 2023</t>
  </si>
  <si>
    <t>FA083074.00</t>
  </si>
  <si>
    <t>APB2025100Q3</t>
  </si>
  <si>
    <t>Aspro Bold Filter HT 20 25100 2023</t>
  </si>
  <si>
    <t>FA083089.00</t>
  </si>
  <si>
    <t>API1215075Q3</t>
  </si>
  <si>
    <t>Aspro Inter HT 12 15075 2023</t>
  </si>
  <si>
    <t>FA083076.00</t>
  </si>
  <si>
    <t>API1620100Q3</t>
  </si>
  <si>
    <t>Aspro Inter HT 16 20100 2023</t>
  </si>
  <si>
    <t>FA081144.01</t>
  </si>
  <si>
    <t>ARB12Z1150Q3</t>
  </si>
  <si>
    <t>Ares Bold HT 12 Z1 15075 2023</t>
  </si>
  <si>
    <t>ARB12Z2150Q3</t>
  </si>
  <si>
    <t>Ares Bold HT 12 Z2 15075 2023</t>
  </si>
  <si>
    <t>KAM122025</t>
  </si>
  <si>
    <t>FA080049.02</t>
  </si>
  <si>
    <t>ARK1215075Q3</t>
  </si>
  <si>
    <t>Ares Kaizer HT 12 15075 2023</t>
  </si>
  <si>
    <t>FA083460.00</t>
  </si>
  <si>
    <t>ARL1620100Q3</t>
  </si>
  <si>
    <t>Ares Lite LT 16 20100 2023</t>
  </si>
  <si>
    <t>KBL122025</t>
  </si>
  <si>
    <t>FA080047.02</t>
  </si>
  <si>
    <t>ARM12Z1150Q3</t>
  </si>
  <si>
    <t>Ares Mind HT 12 Z1 15075 2023</t>
  </si>
  <si>
    <t>ARM12Z2150Q3</t>
  </si>
  <si>
    <t>Ares Mind HT 12 Z2 15075 2023</t>
  </si>
  <si>
    <t>FA080046.02</t>
  </si>
  <si>
    <t>ARM16Z1201Q3</t>
  </si>
  <si>
    <t>Ares Mind HT 16 Z1 20100 2023</t>
  </si>
  <si>
    <t>KIT122025</t>
  </si>
  <si>
    <t>FA077874.03</t>
  </si>
  <si>
    <t>AUL1224675Q3</t>
  </si>
  <si>
    <t>Samp. A Ultra Mild 12 24675 2023</t>
  </si>
  <si>
    <t>FA077874.04</t>
  </si>
  <si>
    <t>FA073565.05</t>
  </si>
  <si>
    <t>AUL1632900Q3</t>
  </si>
  <si>
    <t>Samp. A Ultra Mild 16 32900 2023</t>
  </si>
  <si>
    <t>KIT162025</t>
  </si>
  <si>
    <t>FA073565.06</t>
  </si>
  <si>
    <t>FA048258.19</t>
  </si>
  <si>
    <t>AVM2041100Q3</t>
  </si>
  <si>
    <t>Avolution Mtl 20 41100 2023</t>
  </si>
  <si>
    <t>FA048258.20</t>
  </si>
  <si>
    <t>KPT122025</t>
  </si>
  <si>
    <t>FA048258.21</t>
  </si>
  <si>
    <t>FA048258.22</t>
  </si>
  <si>
    <t>LND202025</t>
  </si>
  <si>
    <t>FA048259.18</t>
  </si>
  <si>
    <t>AVR2041100Q3</t>
  </si>
  <si>
    <t>Avolution 20 41100 2023</t>
  </si>
  <si>
    <t>FA048259.19</t>
  </si>
  <si>
    <t>FA048259.20</t>
  </si>
  <si>
    <t>FA048259.21</t>
  </si>
  <si>
    <t>LOJ122025</t>
  </si>
  <si>
    <t>FA078926.02</t>
  </si>
  <si>
    <t>BAJ1207275Q3</t>
  </si>
  <si>
    <t>Baja SKT 12 7275 2023</t>
  </si>
  <si>
    <t>FA078925.02</t>
  </si>
  <si>
    <t>BGS1207275Q3</t>
  </si>
  <si>
    <t>Bagas SKT 12 7275 2023</t>
  </si>
  <si>
    <t>FA081464.01</t>
  </si>
  <si>
    <t>BHU1207500Q3</t>
  </si>
  <si>
    <t>Bhumi SKT 12 7500 2023</t>
  </si>
  <si>
    <t>LOK122025</t>
  </si>
  <si>
    <t>FA078907.02</t>
  </si>
  <si>
    <t>BLK1215075Q3</t>
  </si>
  <si>
    <t>Blake HT 12 15075 2023</t>
  </si>
  <si>
    <t>MAC122025</t>
  </si>
  <si>
    <t>FA084702.00</t>
  </si>
  <si>
    <t>BRW1207275Q3</t>
  </si>
  <si>
    <t>Birawa SKT 12 7275 2023</t>
  </si>
  <si>
    <t>MAU122025</t>
  </si>
  <si>
    <t>FA080032.01</t>
  </si>
  <si>
    <t>CTL1620100Q3</t>
  </si>
  <si>
    <t>Citylite LT 16 20100 2023</t>
  </si>
  <si>
    <t>FA083069.00</t>
  </si>
  <si>
    <t>DFB1215075Q3</t>
  </si>
  <si>
    <t>Duff Bold Filter HT 12 15075 2023</t>
  </si>
  <si>
    <t>FA083070.00</t>
  </si>
  <si>
    <t>DFB2025100Q3</t>
  </si>
  <si>
    <t>Duff Bold Filter HT 20 25100 2023</t>
  </si>
  <si>
    <t>FA083071.00</t>
  </si>
  <si>
    <t>DFI1215075Q3</t>
  </si>
  <si>
    <t>Duff Inter HT 12 15075 2023</t>
  </si>
  <si>
    <t>FA083072.00</t>
  </si>
  <si>
    <t>DFI1620100Q3</t>
  </si>
  <si>
    <t>Duff Inter HT 16 20100 2023</t>
  </si>
  <si>
    <t>FA079830.02</t>
  </si>
  <si>
    <t>DLE1221625Q3</t>
  </si>
  <si>
    <t>DSS 10Plus2 12 21625 2023</t>
  </si>
  <si>
    <t>FA080607.00</t>
  </si>
  <si>
    <t>FA080607.01</t>
  </si>
  <si>
    <t>FA079024.06</t>
  </si>
  <si>
    <t>DMC1224675Q3</t>
  </si>
  <si>
    <t>DSS Magnum Classic 12 24675 2023</t>
  </si>
  <si>
    <t>FA079024.08</t>
  </si>
  <si>
    <t>FA045300.20</t>
  </si>
  <si>
    <t>DMM16DM329Q3</t>
  </si>
  <si>
    <t>DSS Mild 16 PRIF DMC 32900 2023</t>
  </si>
  <si>
    <t>DMM Morph</t>
  </si>
  <si>
    <t>FA045300.21</t>
  </si>
  <si>
    <t>FA035355.01</t>
  </si>
  <si>
    <t>DRE1221625Q3</t>
  </si>
  <si>
    <t>DSS Snap Box 12 LEP Maestro 21625 2023</t>
  </si>
  <si>
    <t>MBC122025</t>
  </si>
  <si>
    <t>FA078666.02</t>
  </si>
  <si>
    <t>DRO1620100Q3</t>
  </si>
  <si>
    <t>Drogo HT 16 20100 2023</t>
  </si>
  <si>
    <t>FA035621.26</t>
  </si>
  <si>
    <t>DSB1221625Q3</t>
  </si>
  <si>
    <t>DSS Snap Box 12 21625 2023</t>
  </si>
  <si>
    <t>FA079858.03</t>
  </si>
  <si>
    <t>DSE1224675Q3</t>
  </si>
  <si>
    <t>DSM 12 Price Dynamics LEP 24675 2023</t>
  </si>
  <si>
    <t>FA079832.04</t>
  </si>
  <si>
    <t>DSM1224675Q3</t>
  </si>
  <si>
    <t>DSS Magnum 12 24675 2023</t>
  </si>
  <si>
    <t>FA078299.04</t>
  </si>
  <si>
    <t>DSS1221625Q3</t>
  </si>
  <si>
    <t>DSS Kretek 12 21625 2023</t>
  </si>
  <si>
    <t>FA079257.03</t>
  </si>
  <si>
    <t>DSS1628825Q3</t>
  </si>
  <si>
    <t>DSS Kretek 16 28825 2023</t>
  </si>
  <si>
    <t>FA078480.03</t>
  </si>
  <si>
    <t>DTS1221625Q3</t>
  </si>
  <si>
    <t>DSS Elite 12 21625 2023</t>
  </si>
  <si>
    <t>MBG202025</t>
  </si>
  <si>
    <t>FA077852.04</t>
  </si>
  <si>
    <t>FOR1215075Q3</t>
  </si>
  <si>
    <t>Forza HT 12 15075 2023</t>
  </si>
  <si>
    <t>FA084154.00</t>
  </si>
  <si>
    <t>GLP1620100Q3</t>
  </si>
  <si>
    <t>Glizz Purple Click LT 16 20100 2023</t>
  </si>
  <si>
    <t>FA078951.02</t>
  </si>
  <si>
    <t>KAM1207275Q3</t>
  </si>
  <si>
    <t>Kama SKT 12 7275 2023</t>
  </si>
  <si>
    <t>FA083432.00</t>
  </si>
  <si>
    <t>KIT1207275Q3</t>
  </si>
  <si>
    <t>KITO KRETEK SKT NF LS BOX 12 FAT</t>
  </si>
  <si>
    <t>FA083433.00</t>
  </si>
  <si>
    <t>KIT1609700Q3</t>
  </si>
  <si>
    <t>KITO KRETEK SKT NF LS BOX 16 FAT</t>
  </si>
  <si>
    <t>FA082854.00</t>
  </si>
  <si>
    <t>KPT1207275Q3</t>
  </si>
  <si>
    <t>Kapten Sari Pucuk SKT 12 7275 2023</t>
  </si>
  <si>
    <t>FA080082.02</t>
  </si>
  <si>
    <t>LOJ1207275Q3</t>
  </si>
  <si>
    <t>Lodjie Ijo SKT 12 7275 2023</t>
  </si>
  <si>
    <t>FA082857.00</t>
  </si>
  <si>
    <t>LOK1207275Q3</t>
  </si>
  <si>
    <t>Lokal Pucuk Wangi SKT 12 7275 2023</t>
  </si>
  <si>
    <t>FA077543.05</t>
  </si>
  <si>
    <t>MBA1224675Q3</t>
  </si>
  <si>
    <t>Marlb. Advance 12 24675 2023</t>
  </si>
  <si>
    <t>FA080651.01</t>
  </si>
  <si>
    <t>MBC1208650Q3</t>
  </si>
  <si>
    <t>Marlb. Crafted 12 8650 2023</t>
  </si>
  <si>
    <t>MBL202025</t>
  </si>
  <si>
    <t>FA077336.08</t>
  </si>
  <si>
    <t>MBC1208925Q3</t>
  </si>
  <si>
    <t>Marlb. Crafted 12 8925 2023</t>
  </si>
  <si>
    <t>FA077336.12</t>
  </si>
  <si>
    <t>MBC1209900Q3</t>
  </si>
  <si>
    <t>Marlb. Crafted 12 9900 2023</t>
  </si>
  <si>
    <t>FA080593.04</t>
  </si>
  <si>
    <t>MBG20DV433Q3</t>
  </si>
  <si>
    <t>Marlb. Red 20 LEP Divers 43300 2023</t>
  </si>
  <si>
    <t>MBG20 Divers</t>
  </si>
  <si>
    <t>FA080593.02</t>
  </si>
  <si>
    <t>MBG20FY433Q3</t>
  </si>
  <si>
    <t>Marlb. Red 20 LEP 50Years 43300 2023</t>
  </si>
  <si>
    <t>MBG20 50years</t>
  </si>
  <si>
    <t>FA074776.05</t>
  </si>
  <si>
    <t>MBL2043300Q3</t>
  </si>
  <si>
    <t>Marlb. Gold 20 43300 2023</t>
  </si>
  <si>
    <t>FA074776.08</t>
  </si>
  <si>
    <t>FA074776.09</t>
  </si>
  <si>
    <t>FA078780.07</t>
  </si>
  <si>
    <t>FA078780.10</t>
  </si>
  <si>
    <t>FA080592.00</t>
  </si>
  <si>
    <t>MBR2043300Q3</t>
  </si>
  <si>
    <t>Marlb. Red 20 43300 2023</t>
  </si>
  <si>
    <t>MBR202025</t>
  </si>
  <si>
    <t>FA080592.01</t>
  </si>
  <si>
    <t>FA080592.02</t>
  </si>
  <si>
    <t>FA080593.03</t>
  </si>
  <si>
    <t>FA079738.06</t>
  </si>
  <si>
    <t>MCA1210325Q3</t>
  </si>
  <si>
    <t>Marlboro CA 12 10325 2023</t>
  </si>
  <si>
    <t>FA081612.01</t>
  </si>
  <si>
    <t>MCO1208650Q3</t>
  </si>
  <si>
    <t>Marlb. Crafted Origin 12 8650 2023</t>
  </si>
  <si>
    <t>FA081612.02</t>
  </si>
  <si>
    <t>MCO1208925Q3</t>
  </si>
  <si>
    <t>Marlb. Crafted Origin 12 8925 2023</t>
  </si>
  <si>
    <t>FA069010.17</t>
  </si>
  <si>
    <t>MFB1224675Q3</t>
  </si>
  <si>
    <t>Marlb. Filter Black 12 24675 2023</t>
  </si>
  <si>
    <t>FA073966.12</t>
  </si>
  <si>
    <t>FA077895.07</t>
  </si>
  <si>
    <t>MFB1632900Q3</t>
  </si>
  <si>
    <t>Marlb. Filter Black 16 32900 2023</t>
  </si>
  <si>
    <t>FA077925.07</t>
  </si>
  <si>
    <t>FA061184.17</t>
  </si>
  <si>
    <t>MFB2041100Q3</t>
  </si>
  <si>
    <t>Marlb. Filter Black 20 41100 2023</t>
  </si>
  <si>
    <t>MCS122025</t>
  </si>
  <si>
    <t>FA061184.20</t>
  </si>
  <si>
    <t>FA071530.16</t>
  </si>
  <si>
    <t>FA071530.18</t>
  </si>
  <si>
    <t>MFE20DV411Q3</t>
  </si>
  <si>
    <t>Marlb. Filter Black 20 LEP Divers 41100 2023</t>
  </si>
  <si>
    <t>MFE20 Divers</t>
  </si>
  <si>
    <t>FA071530.15</t>
  </si>
  <si>
    <t>MFE20FY411Q3</t>
  </si>
  <si>
    <t>Marlb. Filter Black 20 LEP 50Years 41100 2023</t>
  </si>
  <si>
    <t>MFE20 50years</t>
  </si>
  <si>
    <t>FA045795.22</t>
  </si>
  <si>
    <t>MLD1224675Q3</t>
  </si>
  <si>
    <t>Samp. A Mild 12 24675 2023</t>
  </si>
  <si>
    <t>FA045795.26</t>
  </si>
  <si>
    <t>FA044121.31</t>
  </si>
  <si>
    <t>MLD1632900Q3</t>
  </si>
  <si>
    <t>Samp. A Mild 16 32900 2023</t>
  </si>
  <si>
    <t>FA044121.38</t>
  </si>
  <si>
    <t>FA044121.39</t>
  </si>
  <si>
    <t>MFB122025</t>
  </si>
  <si>
    <t>FA044121.40</t>
  </si>
  <si>
    <t>FA073509.08</t>
  </si>
  <si>
    <t>MLD5010275Q3</t>
  </si>
  <si>
    <t>Samp. A Mild 50 102750 2023</t>
  </si>
  <si>
    <t>FA073509.09</t>
  </si>
  <si>
    <t>FA044121.44</t>
  </si>
  <si>
    <t>MLE16IC329Q3</t>
  </si>
  <si>
    <t>Samp. A Mild 16 IDM LEP 32900 2023</t>
  </si>
  <si>
    <t>FA050466.19</t>
  </si>
  <si>
    <t>FA050466.22</t>
  </si>
  <si>
    <t>FA078780.09</t>
  </si>
  <si>
    <t>MLG20DV433Q3</t>
  </si>
  <si>
    <t>Marlb. Gold 20 LEP Divers 43300 2023</t>
  </si>
  <si>
    <t>MLG20 Divers</t>
  </si>
  <si>
    <t>FA078780.06</t>
  </si>
  <si>
    <t>MLG20FY433Q3</t>
  </si>
  <si>
    <t>Marlb. Gold 20 LEP 50Years 43300 2023</t>
  </si>
  <si>
    <t>MLG20 50years</t>
  </si>
  <si>
    <t>FA069772.24</t>
  </si>
  <si>
    <t>MMG20DV433Q3</t>
  </si>
  <si>
    <t>Marlb. Ice Burst 20 LEP Divers 43300 2023</t>
  </si>
  <si>
    <t>MMG20 Divers</t>
  </si>
  <si>
    <t>FA069772.21</t>
  </si>
  <si>
    <t>MMG20FY433Q3</t>
  </si>
  <si>
    <t>Marlb. Ice Burst 20 LEP 50Years 43300 2023</t>
  </si>
  <si>
    <t>MMG20 50years</t>
  </si>
  <si>
    <t>FA069748.13</t>
  </si>
  <si>
    <t>MMI2043300Q3</t>
  </si>
  <si>
    <t>Marlb. Ice Burst 20 43300 2023</t>
  </si>
  <si>
    <t>MFB162025</t>
  </si>
  <si>
    <t>FA069748.16</t>
  </si>
  <si>
    <t>FA069748.17</t>
  </si>
  <si>
    <t>FA069772.22</t>
  </si>
  <si>
    <t>FA083388.00</t>
  </si>
  <si>
    <t>MRL1632900Q3</t>
  </si>
  <si>
    <t>Samp. A Splash Royal 16 32900 2023</t>
  </si>
  <si>
    <t>FA082995.00</t>
  </si>
  <si>
    <t>MSB1215000Q3</t>
  </si>
  <si>
    <t>Marlb. Black 12 15000 2023</t>
  </si>
  <si>
    <t>FA044121.41</t>
  </si>
  <si>
    <t>MSE1632900Q3</t>
  </si>
  <si>
    <t>Samp. A Mild 16 GT LEP 32900 2023</t>
  </si>
  <si>
    <t>FA044121.42</t>
  </si>
  <si>
    <t>FA050466.20</t>
  </si>
  <si>
    <t>FA050466.21</t>
  </si>
  <si>
    <t>FA078604.03</t>
  </si>
  <si>
    <t>MSP1224675Q3</t>
  </si>
  <si>
    <t>Samp. A Splash Spring 12 24675 2023</t>
  </si>
  <si>
    <t>MFB202025</t>
  </si>
  <si>
    <t>FA078297.05</t>
  </si>
  <si>
    <t>MSU1224675Q3</t>
  </si>
  <si>
    <t>Samp. A Splash SU 12 24675 2023</t>
  </si>
  <si>
    <t>FA078297.06</t>
  </si>
  <si>
    <t>FA078295.05</t>
  </si>
  <si>
    <t>MSU1632900Q3</t>
  </si>
  <si>
    <t>Samp. A Splash SU 16 32900 2023</t>
  </si>
  <si>
    <t>FA062333.17</t>
  </si>
  <si>
    <t>MTB1632900Q3</t>
  </si>
  <si>
    <t>Samp. A Mild Mtl Burst 16 32900 2023</t>
  </si>
  <si>
    <t>FA062333.18</t>
  </si>
  <si>
    <t>FA062333.19</t>
  </si>
  <si>
    <t>FA062333.21</t>
  </si>
  <si>
    <t>FA062333.22</t>
  </si>
  <si>
    <t>FA078296.05</t>
  </si>
  <si>
    <t>MTR1224675Q3</t>
  </si>
  <si>
    <t>Samp. A Splash TR 12 24675 2023</t>
  </si>
  <si>
    <t>MGA162025</t>
  </si>
  <si>
    <t>FA078296.06</t>
  </si>
  <si>
    <t>MGT202025</t>
  </si>
  <si>
    <t>FA078294.05</t>
  </si>
  <si>
    <t>MTR1632900Q3</t>
  </si>
  <si>
    <t>Samp. A Splash TR 16 32900 2023</t>
  </si>
  <si>
    <t>MGV122025</t>
  </si>
  <si>
    <t>FA082855.00</t>
  </si>
  <si>
    <t>NAK1609700Q3</t>
  </si>
  <si>
    <t>NAK16</t>
  </si>
  <si>
    <t>Nation Kretek Sari Pucuk SKT 16 9700 2023</t>
  </si>
  <si>
    <t>MKB122025</t>
  </si>
  <si>
    <t>FA082013.01</t>
  </si>
  <si>
    <t>NAT1620100Q3</t>
  </si>
  <si>
    <t>Nation Bold HT 16 20100 2023</t>
  </si>
  <si>
    <t>MKC122025</t>
  </si>
  <si>
    <t>FA080036.01</t>
  </si>
  <si>
    <t>NAT2025100Q3</t>
  </si>
  <si>
    <t>Nation Bold HT 20 25100 2023</t>
  </si>
  <si>
    <t>MKM122025</t>
  </si>
  <si>
    <t>NAT20Z2251Q3</t>
  </si>
  <si>
    <t>Nation Bold HT 20 Z2 25100 2023</t>
  </si>
  <si>
    <t>MKT122025</t>
  </si>
  <si>
    <t>FA084706.00</t>
  </si>
  <si>
    <t>NIA1609700Q3</t>
  </si>
  <si>
    <t>Nian SKT 16 9700 2023</t>
  </si>
  <si>
    <t>MLA162025</t>
  </si>
  <si>
    <t>FA083461.00</t>
  </si>
  <si>
    <t>NTL1620100Q3</t>
  </si>
  <si>
    <t>Nation Line LT 16 20100 2023</t>
  </si>
  <si>
    <t>FA081488.01</t>
  </si>
  <si>
    <t>OEM1006050Q3</t>
  </si>
  <si>
    <t>Oepet SKT 10 6050 2023</t>
  </si>
  <si>
    <t>FA081489.01</t>
  </si>
  <si>
    <t>OES1207275Q3</t>
  </si>
  <si>
    <t>Oepet SKT 12 7275 2023</t>
  </si>
  <si>
    <t>FA078300.04</t>
  </si>
  <si>
    <t>PNK1215000Q3</t>
  </si>
  <si>
    <t>Panamas Kuning 12 15000 2023</t>
  </si>
  <si>
    <t>FA083003.00</t>
  </si>
  <si>
    <t>POS1620100Q3</t>
  </si>
  <si>
    <t>Post X LT 16 20100 2023</t>
  </si>
  <si>
    <t>FA083773.00</t>
  </si>
  <si>
    <t>PRJ1207275Q3</t>
  </si>
  <si>
    <t>Praja SKT 12 7275 2023</t>
  </si>
  <si>
    <t>FA083795.00</t>
  </si>
  <si>
    <t>PRB1207275Q3</t>
  </si>
  <si>
    <t>Prabu SKT 12 7275 2023</t>
  </si>
  <si>
    <t>MLD122025</t>
  </si>
  <si>
    <t>FA081543.01</t>
  </si>
  <si>
    <t>PSP12Z1072Q3</t>
  </si>
  <si>
    <t>Pasopati SKT 12 Z1 7275 2023</t>
  </si>
  <si>
    <t>PSP12Z2072Q3</t>
  </si>
  <si>
    <t>Pasopati SKT 12 Z2 7275 2023</t>
  </si>
  <si>
    <t>FA083304.00</t>
  </si>
  <si>
    <t>RKT1609700Q3</t>
  </si>
  <si>
    <t>Region Kretek Sari Poci SKT 16 9700 2023</t>
  </si>
  <si>
    <t>FA078301.07</t>
  </si>
  <si>
    <t>SAH1215000Q3</t>
  </si>
  <si>
    <t>Samp. Hijau 12 15000 2023</t>
  </si>
  <si>
    <t>FA084705.00</t>
  </si>
  <si>
    <t>SBH1207275Q3</t>
  </si>
  <si>
    <t>Sumbu Hijau SKT 12 7275 2023</t>
  </si>
  <si>
    <t>FA078927.02</t>
  </si>
  <si>
    <t>SGR1207275Q3</t>
  </si>
  <si>
    <t>Segara SKT 12 7275 2023</t>
  </si>
  <si>
    <t>FA079829.02</t>
  </si>
  <si>
    <t>SLE1215000Q3</t>
  </si>
  <si>
    <t>Samp. Hijau 10Plus2 12 15000 2023</t>
  </si>
  <si>
    <t>FA082856.00</t>
  </si>
  <si>
    <t>SLP1207275Q3</t>
  </si>
  <si>
    <t>Selera Sari Pucuk SKT 12 7275 2023</t>
  </si>
  <si>
    <t>FA082194.01</t>
  </si>
  <si>
    <t>SLR1207275Q3</t>
  </si>
  <si>
    <t>Selera Hijau Sejuk SKT 12 7275 2023</t>
  </si>
  <si>
    <t>MLD162025</t>
  </si>
  <si>
    <t>FA081700.01</t>
  </si>
  <si>
    <t>SLT1208650Q3</t>
  </si>
  <si>
    <t>153 SKT 12 8650 2023</t>
  </si>
  <si>
    <t>FA083399.00</t>
  </si>
  <si>
    <t>SLT1611525Q3</t>
  </si>
  <si>
    <t xml:space="preserve">153 (SKT) NF LS SOF 16 FAT </t>
  </si>
  <si>
    <t>FA083434.00</t>
  </si>
  <si>
    <t>SOA1207275Q3</t>
  </si>
  <si>
    <t>SOANG KRETEK RED SKT NF LS BOX 12 FAT  </t>
  </si>
  <si>
    <t>FA078668.02</t>
  </si>
  <si>
    <t>SRS1207275Q3</t>
  </si>
  <si>
    <t>Serasa SKT 12 7275 2023</t>
  </si>
  <si>
    <t>FA083418.00</t>
  </si>
  <si>
    <t>TEH1207275Q3</t>
  </si>
  <si>
    <t xml:space="preserve">363 HITAM KRETEK SKT NF BOX 12 FAT  </t>
  </si>
  <si>
    <t>FA083426.00</t>
  </si>
  <si>
    <t>TEK1207275Q3</t>
  </si>
  <si>
    <t xml:space="preserve">363 KRETEK SKT NF LS BOX 12 FAT  </t>
  </si>
  <si>
    <t>FA083427.00</t>
  </si>
  <si>
    <t>TEK1609700Q3</t>
  </si>
  <si>
    <t>363 KRETEK SKT NF LS BOX 16 FAT</t>
  </si>
  <si>
    <t>FA083428.00</t>
  </si>
  <si>
    <t>TEM1207275Q3</t>
  </si>
  <si>
    <t>363 MERAH KRETEK SKT NF LS BOX 12 FAT  </t>
  </si>
  <si>
    <t>FA080873.01</t>
  </si>
  <si>
    <t>TRI2025100Q3</t>
  </si>
  <si>
    <t>Triton Bold HT 20 25100 2023</t>
  </si>
  <si>
    <t>FA080035.01</t>
  </si>
  <si>
    <t>TRN1620100Q3</t>
  </si>
  <si>
    <t>Tren LT 16 20100 2023</t>
  </si>
  <si>
    <t>MLD502025</t>
  </si>
  <si>
    <t>FA083004.00</t>
  </si>
  <si>
    <t>TTL1620100Q3</t>
  </si>
  <si>
    <t>Total LT 16 20100 2023</t>
  </si>
  <si>
    <t>FA082828.00</t>
  </si>
  <si>
    <t>TWG1620100Q3</t>
  </si>
  <si>
    <t>Twizz Green Crush LT 16 20100 2023</t>
  </si>
  <si>
    <t>FA083325.00</t>
  </si>
  <si>
    <t>TWR1215075Q3</t>
  </si>
  <si>
    <t>Twizz Royal Crush LT 12 15075 2023</t>
  </si>
  <si>
    <t>FA082225.01</t>
  </si>
  <si>
    <t>TWR1620100Q3</t>
  </si>
  <si>
    <t>Twizz Royal Crush LT 16 20100 2023</t>
  </si>
  <si>
    <t>FA082224.01</t>
  </si>
  <si>
    <t>TWY1620100Q3</t>
  </si>
  <si>
    <t>Twizz Yellow Crush LT 16 20100 2023</t>
  </si>
  <si>
    <t>FA081206.01</t>
  </si>
  <si>
    <t>UNT1609700Q3</t>
  </si>
  <si>
    <t>Universal SKT 16 9700 2023</t>
  </si>
  <si>
    <t>FA081737.01</t>
  </si>
  <si>
    <t>VER2025900Q3</t>
  </si>
  <si>
    <t>Vermont SPM 20 25900 2023</t>
  </si>
  <si>
    <t>FA080031.01</t>
  </si>
  <si>
    <t>VGZ1620100Q3</t>
  </si>
  <si>
    <t>Vegaz LT 16 20100 2023</t>
  </si>
  <si>
    <t>FA083330.00</t>
  </si>
  <si>
    <t>VTX1620100Q3</t>
  </si>
  <si>
    <t>Vortex LT 16 20100 2023</t>
  </si>
  <si>
    <t>FA078670.02</t>
  </si>
  <si>
    <t>ZIG1620100Q3</t>
  </si>
  <si>
    <t>Ziggy LT 16 20100 2023</t>
  </si>
  <si>
    <t>FA085231.00</t>
  </si>
  <si>
    <t>ALD1227125R4</t>
  </si>
  <si>
    <t>Samp. A Zetta Grey Batik 12 27125 2024</t>
  </si>
  <si>
    <t>FA085231.01</t>
  </si>
  <si>
    <t>ALR1227125R4</t>
  </si>
  <si>
    <t>Samp. A Zetta Red Batik 12 27125 2024</t>
  </si>
  <si>
    <t>FA083073.01</t>
  </si>
  <si>
    <t>APB1216575R4</t>
  </si>
  <si>
    <t>Aspro Bold Filter HT 12 16575 2024</t>
  </si>
  <si>
    <t>FA083074.01</t>
  </si>
  <si>
    <t>APB2027600R4</t>
  </si>
  <si>
    <t>Aspro Bold Filter HT 20 27600 2024</t>
  </si>
  <si>
    <t>MLG202025</t>
  </si>
  <si>
    <t>APB20Z2276R4</t>
  </si>
  <si>
    <t>Aspro Bold Filter HT 20 Z2 27600 2024</t>
  </si>
  <si>
    <t>MLI202025</t>
  </si>
  <si>
    <t>FA083089.01</t>
  </si>
  <si>
    <t>API1216575R4</t>
  </si>
  <si>
    <t>Aspro Inter HT 12 16575 2024</t>
  </si>
  <si>
    <t>MLZ122025</t>
  </si>
  <si>
    <t>FA083076.01</t>
  </si>
  <si>
    <t>API1622100R4</t>
  </si>
  <si>
    <t>Aspro Inter HT 16 22100 2024</t>
  </si>
  <si>
    <t>API16Z2221R4</t>
  </si>
  <si>
    <t>API16Z3221R4</t>
  </si>
  <si>
    <t>FA081144.02</t>
  </si>
  <si>
    <t>ARB1216575R4</t>
  </si>
  <si>
    <t>Ares Bold HT 12 16575 2024</t>
  </si>
  <si>
    <t>FA080049.03</t>
  </si>
  <si>
    <t>ARK1216575R4</t>
  </si>
  <si>
    <t>Ares Kaizer HT 12 16575 2024</t>
  </si>
  <si>
    <t>FA083460.01</t>
  </si>
  <si>
    <t>ARL1622100R4</t>
  </si>
  <si>
    <t>Ares Lite LT 16 22100 2024</t>
  </si>
  <si>
    <t>FA080047.03</t>
  </si>
  <si>
    <t>ARM1216575R4</t>
  </si>
  <si>
    <t>Ares Mind HT 12 16575 2024</t>
  </si>
  <si>
    <t>FA080046.03</t>
  </si>
  <si>
    <t>ARM1622100R4</t>
  </si>
  <si>
    <t>Ares Mind HT 16 22100 2024</t>
  </si>
  <si>
    <t>MMG202025</t>
  </si>
  <si>
    <t>FA077874.06</t>
  </si>
  <si>
    <t>AUL1227125R4</t>
  </si>
  <si>
    <t>Samp. A Ultra Mild 12 27125 2024</t>
  </si>
  <si>
    <t>FA073565.08</t>
  </si>
  <si>
    <t>AUL1636175R4</t>
  </si>
  <si>
    <t>Samp. A Ultra Mild 16 36175 2024</t>
  </si>
  <si>
    <t>FA048258.23</t>
  </si>
  <si>
    <t>AVM2045200R4</t>
  </si>
  <si>
    <t>Avolution Mtl 20 45200 2024</t>
  </si>
  <si>
    <t>FA048258.24</t>
  </si>
  <si>
    <t>FA048258.25</t>
  </si>
  <si>
    <t>FA048258.27</t>
  </si>
  <si>
    <t xml:space="preserve">Avolution Mtl 20 45200 2024 </t>
  </si>
  <si>
    <t>FA048259.22</t>
  </si>
  <si>
    <t>AVR2045200R4</t>
  </si>
  <si>
    <t>Avolution 20 45200 2024</t>
  </si>
  <si>
    <t>FA048259.23</t>
  </si>
  <si>
    <t>FA048259.24</t>
  </si>
  <si>
    <t>FA048259.26</t>
  </si>
  <si>
    <t>MMI202025</t>
  </si>
  <si>
    <t>FA085444.00</t>
  </si>
  <si>
    <t>AVT2045200R4</t>
  </si>
  <si>
    <t>Avolution Twilight Breeze 20 45200 2024</t>
  </si>
  <si>
    <t>FA078926.03</t>
  </si>
  <si>
    <t>BAJ1208700R4</t>
  </si>
  <si>
    <t>Baja SKT 12 8700 2024</t>
  </si>
  <si>
    <t>MRI202025</t>
  </si>
  <si>
    <t>FA078925.03</t>
  </si>
  <si>
    <t>BGS1208700R4</t>
  </si>
  <si>
    <t>Bagas SKT 12 8700 2024</t>
  </si>
  <si>
    <t>FA081464.02</t>
  </si>
  <si>
    <t>BHU1208700R4</t>
  </si>
  <si>
    <t>Bhumi SKT 12 8700 2024</t>
  </si>
  <si>
    <t>FA084702.01</t>
  </si>
  <si>
    <t>BRW1208700R4</t>
  </si>
  <si>
    <t>Birawa SKT 12 8700 2024</t>
  </si>
  <si>
    <t>FA080032.02</t>
  </si>
  <si>
    <t>CTL1622100R4</t>
  </si>
  <si>
    <t>Citylite LT 16 22100 2024</t>
  </si>
  <si>
    <t>MRL162025</t>
  </si>
  <si>
    <t>FA083069.01</t>
  </si>
  <si>
    <t>DFB1216575R4</t>
  </si>
  <si>
    <t>Duff Bold Filter HT 12 16575 2024</t>
  </si>
  <si>
    <t>FA083070.01</t>
  </si>
  <si>
    <t>DFB2027600R4</t>
  </si>
  <si>
    <t>Duff Bold Filter HT 20 27600 2024</t>
  </si>
  <si>
    <t>DFB20Z2276R4</t>
  </si>
  <si>
    <t>Duff Bold Filter HT 20 Z2 27600 2024</t>
  </si>
  <si>
    <t>FA083071.01</t>
  </si>
  <si>
    <t>DFI1216575R4</t>
  </si>
  <si>
    <t>Duff Inter HT 12 16575 2024</t>
  </si>
  <si>
    <t>MRT202025</t>
  </si>
  <si>
    <t>FA083072.01</t>
  </si>
  <si>
    <t>DFI1622100R4</t>
  </si>
  <si>
    <t>Duff Inter HT 16 22100 2024</t>
  </si>
  <si>
    <t>FA085321.00</t>
  </si>
  <si>
    <t>DLA1223775R4</t>
  </si>
  <si>
    <t>DSS 6Plus6 12 23775 2024</t>
  </si>
  <si>
    <t>FA085321.01</t>
  </si>
  <si>
    <t>FA080607.02</t>
  </si>
  <si>
    <t>DLE1223775R4</t>
  </si>
  <si>
    <t>DSS 10Plus2 12 23775 2024</t>
  </si>
  <si>
    <t>FA035355.02</t>
  </si>
  <si>
    <t>DRE1223775R4</t>
  </si>
  <si>
    <t>DSS Snap Box 12 LEP Maestro 23775 2024</t>
  </si>
  <si>
    <t>FA035621.27</t>
  </si>
  <si>
    <t>DSB1223775R4</t>
  </si>
  <si>
    <t>DSS Snap Box 12 23775 2024</t>
  </si>
  <si>
    <t>FA083067.00</t>
  </si>
  <si>
    <t>DSB1631700R4</t>
  </si>
  <si>
    <t>DSS Snap Box 16 31700 2024</t>
  </si>
  <si>
    <t>FA079858.04</t>
  </si>
  <si>
    <t>DSE1227125R4</t>
  </si>
  <si>
    <t>DSM 12 Price Dynamics LEP 27125 2024</t>
  </si>
  <si>
    <t>FA079858.05</t>
  </si>
  <si>
    <t>FA079832.05</t>
  </si>
  <si>
    <t>DSM1227125R4</t>
  </si>
  <si>
    <t>DSS Magnum 12 27125 2024</t>
  </si>
  <si>
    <t>MSE162025</t>
  </si>
  <si>
    <t>FA079832.06</t>
  </si>
  <si>
    <t>MSL202025</t>
  </si>
  <si>
    <t>FA078299.05</t>
  </si>
  <si>
    <t>DSS1223775R4</t>
  </si>
  <si>
    <t>DSS Kretek 12 23775 2024</t>
  </si>
  <si>
    <t>FA079257.04</t>
  </si>
  <si>
    <t>DSS1631700R4</t>
  </si>
  <si>
    <t>DSS Kretek 16 31700 2024</t>
  </si>
  <si>
    <t>FA084644.00</t>
  </si>
  <si>
    <t>DTC1223775R4</t>
  </si>
  <si>
    <t>DSS Super Premium Tin - LEP 111 Years - 12 23775 2024</t>
  </si>
  <si>
    <t>FA078480.04</t>
  </si>
  <si>
    <t>DTS1223775R4</t>
  </si>
  <si>
    <t>DSS Elite 12 23775 2024</t>
  </si>
  <si>
    <t>MSR202025</t>
  </si>
  <si>
    <t>FA084154.01</t>
  </si>
  <si>
    <t>GLP1622100R4</t>
  </si>
  <si>
    <t>Glizz Purple Click LT 16 22100 2024</t>
  </si>
  <si>
    <t>MST202025</t>
  </si>
  <si>
    <t>FA084153.01</t>
  </si>
  <si>
    <t>GLY1622100R4</t>
  </si>
  <si>
    <t>Glizz Yellow Click LT 16 22100 2024</t>
  </si>
  <si>
    <t>FA084703.00</t>
  </si>
  <si>
    <t>GSS1208700R4</t>
  </si>
  <si>
    <t>Giri Seduh Sari SKT 12 8700 2024</t>
  </si>
  <si>
    <t>FA078951.03</t>
  </si>
  <si>
    <t>KAM1208700R4</t>
  </si>
  <si>
    <t>Kama SKT 12 8700 2024</t>
  </si>
  <si>
    <t>FA083432.01</t>
  </si>
  <si>
    <t>KIT1208700R4</t>
  </si>
  <si>
    <t>Kito SKT 12 8700 2024</t>
  </si>
  <si>
    <t>FA083433.01</t>
  </si>
  <si>
    <t>KIT1611600R4</t>
  </si>
  <si>
    <t>Kito SKT 16 11600 2024</t>
  </si>
  <si>
    <t>FA082854.01</t>
  </si>
  <si>
    <t>KPT1208700R4</t>
  </si>
  <si>
    <t>Kapten Sari Pucuk SKT 12 8700 2024</t>
  </si>
  <si>
    <t>FA080082.03</t>
  </si>
  <si>
    <t>LOJ1208700R4</t>
  </si>
  <si>
    <t>Lodjie Ijo SKT 12 8700 2024</t>
  </si>
  <si>
    <t>FA082857.01</t>
  </si>
  <si>
    <t>LOK1208700R4</t>
  </si>
  <si>
    <t>Lokal Pucuk Wangi SKT 12 8700 2024</t>
  </si>
  <si>
    <t>FA077336.13</t>
  </si>
  <si>
    <t>MBC1210400R4</t>
  </si>
  <si>
    <t>Marlb. Crafted 12 10400 2024</t>
  </si>
  <si>
    <t>FA077336.14</t>
  </si>
  <si>
    <t>MBC1210825R4</t>
  </si>
  <si>
    <t>Marlb. Crafted 12 10825 2024</t>
  </si>
  <si>
    <t>FA080593.05</t>
  </si>
  <si>
    <t>MBG20DV476R4</t>
  </si>
  <si>
    <t>Marlb. Red 20 LEP Divers 47600 2024</t>
  </si>
  <si>
    <t>FA080593.06</t>
  </si>
  <si>
    <t>MBG20MO476R4</t>
  </si>
  <si>
    <t>Marlb. Red 20 LEP Motorcycle 47600 2024</t>
  </si>
  <si>
    <t>MBG20 Motorcycle</t>
  </si>
  <si>
    <t>FA074776.10</t>
  </si>
  <si>
    <t>MBL2047600R4</t>
  </si>
  <si>
    <t>Marlb. Gold 20 47600 2024</t>
  </si>
  <si>
    <t>FA074776.11</t>
  </si>
  <si>
    <t>FA074776.12</t>
  </si>
  <si>
    <t>FA074776.13</t>
  </si>
  <si>
    <t>FA074776.14</t>
  </si>
  <si>
    <t>FA080592.04</t>
  </si>
  <si>
    <t>MBR2047600R4</t>
  </si>
  <si>
    <t>Marlb. Red 20 47600 2024</t>
  </si>
  <si>
    <t>FA080592.05</t>
  </si>
  <si>
    <t>FA080592.06</t>
  </si>
  <si>
    <t>MTB162025</t>
  </si>
  <si>
    <t>FA080592.08</t>
  </si>
  <si>
    <t>FA080592.09</t>
  </si>
  <si>
    <t>FA081612.03</t>
  </si>
  <si>
    <t>MCO1210400R4</t>
  </si>
  <si>
    <t>Marlb. Crafted Origin 12 10400 2024</t>
  </si>
  <si>
    <t>FA085817.00</t>
  </si>
  <si>
    <t>MCS1210400R4</t>
  </si>
  <si>
    <t>Marlb. Crafted Origin with Wrap 12 10400 2024</t>
  </si>
  <si>
    <t>FA069010.18</t>
  </si>
  <si>
    <t>MFB1227125R4</t>
  </si>
  <si>
    <t>Marlb. Filter Black 12 27125 2024</t>
  </si>
  <si>
    <t>FA077925.08</t>
  </si>
  <si>
    <t>MFB1636175R4</t>
  </si>
  <si>
    <t>Marlb. Filter Black 16 36175 2024</t>
  </si>
  <si>
    <t>FA061184.22</t>
  </si>
  <si>
    <t>MFB2045200R4</t>
  </si>
  <si>
    <t>Marlb. Filter Black 20 45200 2024</t>
  </si>
  <si>
    <t>FA071530.19</t>
  </si>
  <si>
    <t>MFE20DV452R4</t>
  </si>
  <si>
    <t>Marlb. Filter Black 20 LEP Divers 45200 2024</t>
  </si>
  <si>
    <t>FA071530.20</t>
  </si>
  <si>
    <t>MFE20MO452R4</t>
  </si>
  <si>
    <t>Marlb. Filter Black 20 LEP Motorcycle 45200 2024</t>
  </si>
  <si>
    <t>MFE20 Motorcycle</t>
  </si>
  <si>
    <t>FA084893.00</t>
  </si>
  <si>
    <t>MGA1636175R4</t>
  </si>
  <si>
    <t>Samp. A Splash Gala 16 36175 2024</t>
  </si>
  <si>
    <t>FA085739.00</t>
  </si>
  <si>
    <t>MKB1216500R4</t>
  </si>
  <si>
    <t>Marlb. Black 12 16500 2024</t>
  </si>
  <si>
    <t>FA085737.00</t>
  </si>
  <si>
    <t>MKC1216500R4</t>
  </si>
  <si>
    <t>Magnum Kretek Coklat 12 16500 2024</t>
  </si>
  <si>
    <t>FA085736.00</t>
  </si>
  <si>
    <t>MKM1216500R4</t>
  </si>
  <si>
    <t>Magnum Kretek Merah 12 16500 2024</t>
  </si>
  <si>
    <t>MTR162025</t>
  </si>
  <si>
    <t>FA085197.00</t>
  </si>
  <si>
    <t>MKT1216500R4</t>
  </si>
  <si>
    <t>Magnum Kretek 12 16500 2024</t>
  </si>
  <si>
    <t>FA050466.25</t>
  </si>
  <si>
    <t>MLA1636175R4</t>
  </si>
  <si>
    <t>Samp. A Mild 16 LEP 35 Years Edition 36175 2024</t>
  </si>
  <si>
    <t>FA045795.27</t>
  </si>
  <si>
    <t>MLD1227125R4</t>
  </si>
  <si>
    <t>Samp. A Mild 12 27125 2024</t>
  </si>
  <si>
    <t>FA044121.45</t>
  </si>
  <si>
    <t>MLD1636175R4</t>
  </si>
  <si>
    <t>Samp. A Mild 16 36175 2024</t>
  </si>
  <si>
    <t>MVP162025</t>
  </si>
  <si>
    <t>FA044121.46</t>
  </si>
  <si>
    <t>MVS162025</t>
  </si>
  <si>
    <t>FA044121.47</t>
  </si>
  <si>
    <t>MVT162025</t>
  </si>
  <si>
    <t>FA044121.48</t>
  </si>
  <si>
    <t>FA044121.49</t>
  </si>
  <si>
    <t>NAG202025</t>
  </si>
  <si>
    <t>FA044121.50</t>
  </si>
  <si>
    <t>FA073509.10</t>
  </si>
  <si>
    <t>MLD5011300R4</t>
  </si>
  <si>
    <t>Samp. A Mild 50 113000 2024</t>
  </si>
  <si>
    <t>FA078780.11</t>
  </si>
  <si>
    <t>MLG20DV476R4</t>
  </si>
  <si>
    <t>Marlb. Gold 20 LEP Divers 47600 2024</t>
  </si>
  <si>
    <t>FA078780.12</t>
  </si>
  <si>
    <t>MLG20MO476R4</t>
  </si>
  <si>
    <t>Marlb. Gold 20 LEP Motorcycle 47600 2024</t>
  </si>
  <si>
    <t>MLG20 Motorcycle</t>
  </si>
  <si>
    <t>FA069772.25</t>
  </si>
  <si>
    <t>MMG20DV476R4</t>
  </si>
  <si>
    <t>Marlb. Ice Burst 20 LEP Divers 47600 2024</t>
  </si>
  <si>
    <t>NAT162025</t>
  </si>
  <si>
    <t>FA069772.26</t>
  </si>
  <si>
    <t>MMG20MO476R4</t>
  </si>
  <si>
    <t>Marlb. Ice Burst 20 LEP Motorcycle 47600 2024</t>
  </si>
  <si>
    <t>MMG20 Motorcycle</t>
  </si>
  <si>
    <t>FA069748.18</t>
  </si>
  <si>
    <t>MMI2047600R4</t>
  </si>
  <si>
    <t>Marlb. Ice Burst 20 47600 2024</t>
  </si>
  <si>
    <t>FA069748.19</t>
  </si>
  <si>
    <t>FA069748.20</t>
  </si>
  <si>
    <t>FA069748.21</t>
  </si>
  <si>
    <t>NAT202025</t>
  </si>
  <si>
    <t>FA069748.22</t>
  </si>
  <si>
    <t>FA069772.27</t>
  </si>
  <si>
    <t>FA083388.03</t>
  </si>
  <si>
    <t>MRL1636175R4</t>
  </si>
  <si>
    <t>Samp. A Splash Royal 16 36175 202</t>
  </si>
  <si>
    <t>FA083388.04</t>
  </si>
  <si>
    <t>Samp. A Splash Royal 16 36175 2024</t>
  </si>
  <si>
    <t>NIA162025</t>
  </si>
  <si>
    <t>FA083388.05</t>
  </si>
  <si>
    <t>FA082995.01</t>
  </si>
  <si>
    <t>MSB1216500R4</t>
  </si>
  <si>
    <t>FA050466.24</t>
  </si>
  <si>
    <t>MSE1636175R4</t>
  </si>
  <si>
    <t>Samp. A Mild 16 LEP Revamp 36175 2024</t>
  </si>
  <si>
    <t>NTL162025</t>
  </si>
  <si>
    <t>FA078297.07</t>
  </si>
  <si>
    <t>MSU1227125R4</t>
  </si>
  <si>
    <t>Samp. A Splash SU 12 27125 2024</t>
  </si>
  <si>
    <t>OEB122025</t>
  </si>
  <si>
    <t>FA078295.06</t>
  </si>
  <si>
    <t>MSU1636175R4</t>
  </si>
  <si>
    <t>Samp. A Splash SU 16 36175 2024</t>
  </si>
  <si>
    <t>OEB162025</t>
  </si>
  <si>
    <t>FA078295.07</t>
  </si>
  <si>
    <t>OEB202025</t>
  </si>
  <si>
    <t>FA062333.23</t>
  </si>
  <si>
    <t>MTB1636175R4</t>
  </si>
  <si>
    <t>Samp. A Mild Mtl Burst 16 36175 2024</t>
  </si>
  <si>
    <t>FA062333.24</t>
  </si>
  <si>
    <t>FA062333.25</t>
  </si>
  <si>
    <t>FA062333.26</t>
  </si>
  <si>
    <t>OEM102025</t>
  </si>
  <si>
    <t>FA062333.27</t>
  </si>
  <si>
    <t>FA062333.28</t>
  </si>
  <si>
    <t>FA078296.08</t>
  </si>
  <si>
    <t>MTR1227125R4</t>
  </si>
  <si>
    <t>Samp. A Splash TR 12 27125 2024</t>
  </si>
  <si>
    <t>FA078294.08</t>
  </si>
  <si>
    <t>OES122025</t>
  </si>
  <si>
    <t>FA078294.06</t>
  </si>
  <si>
    <t>MTR1636175R4</t>
  </si>
  <si>
    <t>Samp. A Splash TR 16 36175 2024</t>
  </si>
  <si>
    <t>ONG162025</t>
  </si>
  <si>
    <t>FA078294.07</t>
  </si>
  <si>
    <t>FA085270.00</t>
  </si>
  <si>
    <t>MVP1636175R4</t>
  </si>
  <si>
    <t>Marlb. Purple Burst 16 36175 2024</t>
  </si>
  <si>
    <t>FA084887.00</t>
  </si>
  <si>
    <t>MVT1636175R4</t>
  </si>
  <si>
    <t>Marlb. Tropical Burst 16 36175 2024</t>
  </si>
  <si>
    <t>FA085325.00</t>
  </si>
  <si>
    <t>NAG2027600R4</t>
  </si>
  <si>
    <t>Nation Gold HT 20 27600 2024</t>
  </si>
  <si>
    <t>FA082013.02</t>
  </si>
  <si>
    <t>NAT1622100R4</t>
  </si>
  <si>
    <t>Nation Bold HT 16 22100 2024</t>
  </si>
  <si>
    <t>FA080036.02</t>
  </si>
  <si>
    <t>NAT2027600R4</t>
  </si>
  <si>
    <t>Nation Bold HT 20 27600 2024</t>
  </si>
  <si>
    <t>NAT20Z2276R4</t>
  </si>
  <si>
    <t>Nation Bold HT 20 Z2 27600 2024</t>
  </si>
  <si>
    <t>PNK122025</t>
  </si>
  <si>
    <t>FA084706.01</t>
  </si>
  <si>
    <t>NIA1611600R4</t>
  </si>
  <si>
    <t>Nian SKT 16 11600 2024</t>
  </si>
  <si>
    <t>FA083461.01</t>
  </si>
  <si>
    <t>NTL1622100R4</t>
  </si>
  <si>
    <t>Nation Line LT 16 22100 2024</t>
  </si>
  <si>
    <t>FA085652.00</t>
  </si>
  <si>
    <t>OEB1216575R4</t>
  </si>
  <si>
    <t>OE Bold HT 12 16575 2024</t>
  </si>
  <si>
    <t>POS162025</t>
  </si>
  <si>
    <t>FA085653.00</t>
  </si>
  <si>
    <t>OEB1622100R4</t>
  </si>
  <si>
    <t>OE Bold HT 16 22100 2024</t>
  </si>
  <si>
    <t>FA085654.00</t>
  </si>
  <si>
    <t>OEB2027600R4</t>
  </si>
  <si>
    <t>OE Bold HT 20 27600 2024</t>
  </si>
  <si>
    <t>FA081488.02</t>
  </si>
  <si>
    <t>OEM1007250R4</t>
  </si>
  <si>
    <t>Oepet SKT 10 7250 2024</t>
  </si>
  <si>
    <t>PRJ122025</t>
  </si>
  <si>
    <t>FA081489.02</t>
  </si>
  <si>
    <t>OES1208700R4</t>
  </si>
  <si>
    <t>Oepet SKT 12 8700 2024</t>
  </si>
  <si>
    <t>PRL122025</t>
  </si>
  <si>
    <t>FA078300.05</t>
  </si>
  <si>
    <t>PNK1216500R4</t>
  </si>
  <si>
    <t>Panamas Kuning 12 16500 2024</t>
  </si>
  <si>
    <t>FA083003.01</t>
  </si>
  <si>
    <t>POS1622100R4</t>
  </si>
  <si>
    <t>Post X LT 16 22100 2024</t>
  </si>
  <si>
    <t>FA083773.01</t>
  </si>
  <si>
    <t>PRJ1208700R4</t>
  </si>
  <si>
    <t>Praja SKT 12 8700 2024</t>
  </si>
  <si>
    <t>PRU122025</t>
  </si>
  <si>
    <t>FA083795.01</t>
  </si>
  <si>
    <t>PRU1208700R4</t>
  </si>
  <si>
    <t>Prabu SKT 12 8700 2024</t>
  </si>
  <si>
    <t>FA081543.02</t>
  </si>
  <si>
    <t>PSP12Z1087R4</t>
  </si>
  <si>
    <t>Pasopati SKT 12 Z1 8700 2024</t>
  </si>
  <si>
    <t>PSP12Z2087R4</t>
  </si>
  <si>
    <t>Pasopati SKT 12 Z2 8700 2024</t>
  </si>
  <si>
    <t>FA083304.01</t>
  </si>
  <si>
    <t>RKT1611600R4</t>
  </si>
  <si>
    <t>Region Kretek Sari Poci SKT 16 11600 2024</t>
  </si>
  <si>
    <t>FA078301.08</t>
  </si>
  <si>
    <t>SAH1216500R4</t>
  </si>
  <si>
    <t>Samp. Hijau 12 16500 2024</t>
  </si>
  <si>
    <t>FA084857.00</t>
  </si>
  <si>
    <t>SAI1216500R4</t>
  </si>
  <si>
    <t>Samp. Hijau Prima 12 16500 2024</t>
  </si>
  <si>
    <t>FA084899.00</t>
  </si>
  <si>
    <t>SAL1216500R4</t>
  </si>
  <si>
    <t>Samp. Hijau Legit Nira 12 16500 2024</t>
  </si>
  <si>
    <t>PSP122025</t>
  </si>
  <si>
    <t>FA084705.01</t>
  </si>
  <si>
    <t>SBH1208700R4</t>
  </si>
  <si>
    <t>Sumbu Hijau SKT 12 8700 2024</t>
  </si>
  <si>
    <t>FA085735.00</t>
  </si>
  <si>
    <t>SGO1216500R4</t>
  </si>
  <si>
    <t>Samp. Kretek Prima GO 12 16500 2024</t>
  </si>
  <si>
    <t>FA078927.03</t>
  </si>
  <si>
    <t>SGR1208700R4</t>
  </si>
  <si>
    <t>Segara SKT 12 8700 2024</t>
  </si>
  <si>
    <t>FA085046.00</t>
  </si>
  <si>
    <t>SLA1216500R4</t>
  </si>
  <si>
    <t>Samp. Hijau Legit Amerta 12 16500 2024</t>
  </si>
  <si>
    <t>RKT162025</t>
  </si>
  <si>
    <t>FA079829.03</t>
  </si>
  <si>
    <t>SLE1216500R4</t>
  </si>
  <si>
    <t>Samp. Hijau 10Plus2 12 16500 2024</t>
  </si>
  <si>
    <t>FA082856.01</t>
  </si>
  <si>
    <t>SLP1208700R4</t>
  </si>
  <si>
    <t>Selera Sari Pucuk SKT 12 8700 2024</t>
  </si>
  <si>
    <t>FA082194.02</t>
  </si>
  <si>
    <t>SLR1208700R4</t>
  </si>
  <si>
    <t>Selera Hijau Sejuk SKT 12 8700 2024</t>
  </si>
  <si>
    <t>FA085045.00</t>
  </si>
  <si>
    <t>SLS1216500R4</t>
  </si>
  <si>
    <t>Samp. Hijau Legit Sada 12 16500 2024</t>
  </si>
  <si>
    <t>FA081700.02</t>
  </si>
  <si>
    <t>SLT1210400R4</t>
  </si>
  <si>
    <t>153 SKT 12 10400 2024</t>
  </si>
  <si>
    <t>FA083399.01</t>
  </si>
  <si>
    <t>SLT1613850R4</t>
  </si>
  <si>
    <t>153 SKT 16 13850 2024</t>
  </si>
  <si>
    <t>FA083434.01</t>
  </si>
  <si>
    <t>SOA1208700R4</t>
  </si>
  <si>
    <t>Soang Red SKT 12 8700 2024</t>
  </si>
  <si>
    <t>FA078668.03</t>
  </si>
  <si>
    <t>SRS1208700R4</t>
  </si>
  <si>
    <t>Serasa SKT 12 8700 2024</t>
  </si>
  <si>
    <t>FA083418.01</t>
  </si>
  <si>
    <t>TEH1208700R4</t>
  </si>
  <si>
    <t>363 Hitam SKT 12 8700 2024</t>
  </si>
  <si>
    <t>FA083426.01</t>
  </si>
  <si>
    <t>TEK1208700R4</t>
  </si>
  <si>
    <t>363 SKT 12 8700 2024</t>
  </si>
  <si>
    <t>SAH122025</t>
  </si>
  <si>
    <t>FA083427.01</t>
  </si>
  <si>
    <t>TEK1611600R4</t>
  </si>
  <si>
    <t>363 SKT 16 11600 2024</t>
  </si>
  <si>
    <t>FA083428.01</t>
  </si>
  <si>
    <t>TEM1208700R4</t>
  </si>
  <si>
    <t>363 Merah SKT 12 8700 2024</t>
  </si>
  <si>
    <t>SAI122025</t>
  </si>
  <si>
    <t>FA080873.02</t>
  </si>
  <si>
    <t>TRI2027600R4</t>
  </si>
  <si>
    <t>Triton Bold HT 20 27600 2024</t>
  </si>
  <si>
    <t>SAL122025</t>
  </si>
  <si>
    <t>TRI20Z2276R4</t>
  </si>
  <si>
    <t>Triton Bold HT 20 Z2 27600 2024</t>
  </si>
  <si>
    <t>FA083004.01</t>
  </si>
  <si>
    <t>TTL1622100R4</t>
  </si>
  <si>
    <t>Total LT 16 22100 2024</t>
  </si>
  <si>
    <t>FA084959.00</t>
  </si>
  <si>
    <t>TWD1622100R4</t>
  </si>
  <si>
    <t>Twizz Red Crush LT 16 22100 2024</t>
  </si>
  <si>
    <t>SBH122025</t>
  </si>
  <si>
    <t>FA082828.01</t>
  </si>
  <si>
    <t>TWG1622100R4</t>
  </si>
  <si>
    <t>Twizz Green Crush LT 16 22100 2024</t>
  </si>
  <si>
    <t>SGO122025</t>
  </si>
  <si>
    <t>FA083325.01</t>
  </si>
  <si>
    <t>TWR1216575R4</t>
  </si>
  <si>
    <t>Twizz Royal Crush LT 12 16575 2024</t>
  </si>
  <si>
    <t>FA082225.02</t>
  </si>
  <si>
    <t>TWR1622100R4</t>
  </si>
  <si>
    <t>Twizz Royal Crush LT 16 22100 2024</t>
  </si>
  <si>
    <t>FA084960.00</t>
  </si>
  <si>
    <t>TWS1622100R4</t>
  </si>
  <si>
    <t>Twizz Summer Crush LT 16 22100 2024</t>
  </si>
  <si>
    <t>FA082224.02</t>
  </si>
  <si>
    <t>TWY1622100R4</t>
  </si>
  <si>
    <t>Twizz Yellow Crush LT 16 22100 2024</t>
  </si>
  <si>
    <t>SGR122025</t>
  </si>
  <si>
    <t>FA084704.00</t>
  </si>
  <si>
    <t>UTG1208700R4</t>
  </si>
  <si>
    <t>Untung SKT 12 8700 2024</t>
  </si>
  <si>
    <t>SJK122025</t>
  </si>
  <si>
    <t>FA081737.02</t>
  </si>
  <si>
    <t>VER2029300R4</t>
  </si>
  <si>
    <t>Vermont SPM 20 29300 2024</t>
  </si>
  <si>
    <t>SLA122025</t>
  </si>
  <si>
    <t>FA080031.02</t>
  </si>
  <si>
    <t>VGZ1622100R4</t>
  </si>
  <si>
    <t>Vegaz LT 16 22100 2024</t>
  </si>
  <si>
    <t>SLD122025</t>
  </si>
  <si>
    <t>FA085154.00</t>
  </si>
  <si>
    <t>VKT1611600R4</t>
  </si>
  <si>
    <t>Version SKT 16 11600 2024</t>
  </si>
  <si>
    <t>FA085155.00</t>
  </si>
  <si>
    <t>VOK1208700R4</t>
  </si>
  <si>
    <t>Vokal Jingga Harum SKT 12 8700 2024</t>
  </si>
  <si>
    <t>FA083330.01</t>
  </si>
  <si>
    <t>VTX1622100R4</t>
  </si>
  <si>
    <t>Vortex LT 16 22100 2024</t>
  </si>
  <si>
    <t>FA086125.00</t>
  </si>
  <si>
    <t>AVL2047500S5</t>
  </si>
  <si>
    <t>Avolution Royal Burst 20 47500 2025</t>
  </si>
  <si>
    <t>FA048258.29</t>
  </si>
  <si>
    <t>AVM2047500S5</t>
  </si>
  <si>
    <t>Avolution Mtl 20 47500 2025</t>
  </si>
  <si>
    <t>SLE122025</t>
  </si>
  <si>
    <t>FA048258.30</t>
  </si>
  <si>
    <t>SLM122025</t>
  </si>
  <si>
    <t>FA048258.31</t>
  </si>
  <si>
    <t>SLN122025</t>
  </si>
  <si>
    <t>FA048259.28</t>
  </si>
  <si>
    <t>AVR2047500S5</t>
  </si>
  <si>
    <t>Avolution 20 47500 2025</t>
  </si>
  <si>
    <t>SLO122025</t>
  </si>
  <si>
    <t>FA048259.29</t>
  </si>
  <si>
    <t>FA048259.30</t>
  </si>
  <si>
    <t>FA085444.01</t>
  </si>
  <si>
    <t>AVT2047500S5</t>
  </si>
  <si>
    <t>Avolution Twilight Breeze 20 47500 2025</t>
  </si>
  <si>
    <t>SLP122025</t>
  </si>
  <si>
    <t>FA085321.02</t>
  </si>
  <si>
    <t>DLA1226075S5</t>
  </si>
  <si>
    <t>DSS 6Plus6 12 26075 2025</t>
  </si>
  <si>
    <t>FA087372.00</t>
  </si>
  <si>
    <t>DPP1226075S5</t>
  </si>
  <si>
    <t>DSS Super Premium (Soft Pack) 12 26075 2025</t>
  </si>
  <si>
    <t>FA035355.04</t>
  </si>
  <si>
    <t>DRE1226075S5</t>
  </si>
  <si>
    <t>DSS Super Premium 12 LEP Maestro 26075 2025</t>
  </si>
  <si>
    <t>FA035621.28</t>
  </si>
  <si>
    <t>DSB1226075S5</t>
  </si>
  <si>
    <t>DSS Super Premium 12 26075 2025</t>
  </si>
  <si>
    <t>FA083067.02</t>
  </si>
  <si>
    <t>DSB1634750S5</t>
  </si>
  <si>
    <t>DSS Super Premium 16 34750 2025</t>
  </si>
  <si>
    <t>SLR122025</t>
  </si>
  <si>
    <t>FA079858.06</t>
  </si>
  <si>
    <t>DSE1228500S5</t>
  </si>
  <si>
    <t>DSS Magnum 12 LEP Price Dynamics 28500 2025</t>
  </si>
  <si>
    <t>SLS122025</t>
  </si>
  <si>
    <t>FA079832.07</t>
  </si>
  <si>
    <t>DSM1228500S5</t>
  </si>
  <si>
    <t>DSS Magnum 12 28500 2025</t>
  </si>
  <si>
    <t>FA078299.06</t>
  </si>
  <si>
    <t>DSS1226075S5</t>
  </si>
  <si>
    <t>DSS Kretek 12 26075 2025</t>
  </si>
  <si>
    <t>FA079257.05</t>
  </si>
  <si>
    <t>DSS1634750S5</t>
  </si>
  <si>
    <t>DSS Kretek 16 34750 2025</t>
  </si>
  <si>
    <t>FA084644.01</t>
  </si>
  <si>
    <t>DTC1226075S5</t>
  </si>
  <si>
    <t>DSS Super Premium Tin 12 LEP 111 Years 26075 2025</t>
  </si>
  <si>
    <t>SLT122025</t>
  </si>
  <si>
    <t>FA084644.02</t>
  </si>
  <si>
    <t>DTM1226075S5</t>
  </si>
  <si>
    <t>DSS Super Premium Tin 12 LEP Mahakarya 26075 2025</t>
  </si>
  <si>
    <t>FA087075.00</t>
  </si>
  <si>
    <t>MAC1218675S5</t>
  </si>
  <si>
    <t>Marlboro Aromatic Brown 12 18675 2025</t>
  </si>
  <si>
    <t>FA077336.15</t>
  </si>
  <si>
    <t>MBC1211950S5</t>
  </si>
  <si>
    <t>Marlboro Crafted 12 11950 2025</t>
  </si>
  <si>
    <t>SLT162025</t>
  </si>
  <si>
    <t>FA074776.15</t>
  </si>
  <si>
    <t>MBL2049900S5</t>
  </si>
  <si>
    <t>Marlboro Gold 20 49900 2025</t>
  </si>
  <si>
    <t>SLT202025</t>
  </si>
  <si>
    <t>FA074776.16</t>
  </si>
  <si>
    <t>FA074776.17</t>
  </si>
  <si>
    <t>FA080592.10</t>
  </si>
  <si>
    <t>MBR2049900S5</t>
  </si>
  <si>
    <t>Marlboro Red 20 49900 2025</t>
  </si>
  <si>
    <t>FA080592.12</t>
  </si>
  <si>
    <t>SOA122025</t>
  </si>
  <si>
    <t>FA080592.13</t>
  </si>
  <si>
    <t>FA085817.01</t>
  </si>
  <si>
    <t>MCS1211950S5</t>
  </si>
  <si>
    <t>Marlboro Crafted Origin With Wrap 12 11950 2025</t>
  </si>
  <si>
    <t>FA069010.19</t>
  </si>
  <si>
    <t>MFB1228500S5</t>
  </si>
  <si>
    <t>Marlboro Filter Black 12 28500 2025</t>
  </si>
  <si>
    <t>FA069010.20</t>
  </si>
  <si>
    <t>FA069010.21</t>
  </si>
  <si>
    <t>SPS122025</t>
  </si>
  <si>
    <t>FA077925.09</t>
  </si>
  <si>
    <t>MFB1638000S5</t>
  </si>
  <si>
    <t>Marlboro Filter Black 16 38000 2025</t>
  </si>
  <si>
    <t>FA077925.10</t>
  </si>
  <si>
    <t>SPX122025</t>
  </si>
  <si>
    <t>FA077925.11</t>
  </si>
  <si>
    <t>FA061184.23</t>
  </si>
  <si>
    <t>MFB2047500S5</t>
  </si>
  <si>
    <t>Marlboro Filter Black 20 47500 2025</t>
  </si>
  <si>
    <t>FA061184.24</t>
  </si>
  <si>
    <t>FA084893.01</t>
  </si>
  <si>
    <t>MGA1638000S5</t>
  </si>
  <si>
    <t>Sampoerna A Splash Gala 16 38000 2025</t>
  </si>
  <si>
    <t>SRS122025</t>
  </si>
  <si>
    <t>FA085979.00</t>
  </si>
  <si>
    <t>MGT2049900S5</t>
  </si>
  <si>
    <t>Marlboro Gold 20 Titanium Ed. 49900 2025</t>
  </si>
  <si>
    <t>TBB122025</t>
  </si>
  <si>
    <t>FA086933.00</t>
  </si>
  <si>
    <t>MGV1218675S5</t>
  </si>
  <si>
    <t>Magnum Venture Golden 12 18675 2025</t>
  </si>
  <si>
    <t>FA085739.01</t>
  </si>
  <si>
    <t>MKB1218675S5</t>
  </si>
  <si>
    <t>Marlboro Black 12 18675 2025</t>
  </si>
  <si>
    <t>FA085737.01</t>
  </si>
  <si>
    <t>MKC1218675S5</t>
  </si>
  <si>
    <t>Magnum Kretek Coklat 12 18675 2025</t>
  </si>
  <si>
    <t>TBS122025</t>
  </si>
  <si>
    <t>FA085736.01</t>
  </si>
  <si>
    <t>MKM1218675S5</t>
  </si>
  <si>
    <t>Magnum Kretek Merah 12 18675 2025</t>
  </si>
  <si>
    <t>FA085197.01</t>
  </si>
  <si>
    <t>MKT1218675S5</t>
  </si>
  <si>
    <t>Magnum Kretek 12 18675 2025</t>
  </si>
  <si>
    <t>FA050466.27</t>
  </si>
  <si>
    <t>MLA1638000S5</t>
  </si>
  <si>
    <t>Sampoerna A Mild 16 LEP Vintage 38000 2025</t>
  </si>
  <si>
    <t>TEH122025</t>
  </si>
  <si>
    <t>FA050466.28</t>
  </si>
  <si>
    <t>FA045795.28</t>
  </si>
  <si>
    <t>MLD1228500S5</t>
  </si>
  <si>
    <t>Sampoerna A Mild 12 28500 2025</t>
  </si>
  <si>
    <t>FA044121.53</t>
  </si>
  <si>
    <t>MLD1638000S5</t>
  </si>
  <si>
    <t>Sampoerna A Mild 16 38000 2025</t>
  </si>
  <si>
    <t>TEK122025</t>
  </si>
  <si>
    <t>FA044121.54</t>
  </si>
  <si>
    <t>FA044121.55</t>
  </si>
  <si>
    <t>FA044121.56</t>
  </si>
  <si>
    <t>TEK162025</t>
  </si>
  <si>
    <t>FA044121.57</t>
  </si>
  <si>
    <t>FA073509.11</t>
  </si>
  <si>
    <t>MLD5011875S5</t>
  </si>
  <si>
    <t>Sampoerna A Mild 50 118750 2025</t>
  </si>
  <si>
    <t>FA086397.00</t>
  </si>
  <si>
    <t>MLI2049900S5</t>
  </si>
  <si>
    <t>Marlboro Gold 20 LEP The Edition 49900 2025</t>
  </si>
  <si>
    <t>TEM122025</t>
  </si>
  <si>
    <t>FA085231.03</t>
  </si>
  <si>
    <t>MLZ1228500S5</t>
  </si>
  <si>
    <t>Sampoerna A Zetta Red Batik 12 28500 2025</t>
  </si>
  <si>
    <t>FA069748.23</t>
  </si>
  <si>
    <t>MMI2049900S5</t>
  </si>
  <si>
    <t>Marlboro Ice Burst 20 49900 2025</t>
  </si>
  <si>
    <t>FA069748.24</t>
  </si>
  <si>
    <t>FA069748.25</t>
  </si>
  <si>
    <t>FA086398.00</t>
  </si>
  <si>
    <t>MRI2049900S5</t>
  </si>
  <si>
    <t>Marlboro Red 20 LEP The Edition 49900 2025</t>
  </si>
  <si>
    <t>FA083388.07</t>
  </si>
  <si>
    <t>MRL1638000S5</t>
  </si>
  <si>
    <t>Sampoerna A Splash Royal 16 38000 2025</t>
  </si>
  <si>
    <t>MRL Current</t>
  </si>
  <si>
    <t>FA083388.08</t>
  </si>
  <si>
    <t>FA083388.09</t>
  </si>
  <si>
    <t>FA083388.10</t>
  </si>
  <si>
    <t>MRL Revamp</t>
  </si>
  <si>
    <t>TTL162025</t>
  </si>
  <si>
    <t>FA085978.00</t>
  </si>
  <si>
    <t>MRT2049900S5</t>
  </si>
  <si>
    <t>Marlboro Red 20 Titanium Ed. 49900 2025</t>
  </si>
  <si>
    <t>FA050466.26</t>
  </si>
  <si>
    <t>MSE1638000S5</t>
  </si>
  <si>
    <t>Sampoerna A Mild 16 LEP Icon 38000 2025</t>
  </si>
  <si>
    <t>FA078780.14</t>
  </si>
  <si>
    <t>MSL2049900S5</t>
  </si>
  <si>
    <t>Marlboro Gold 20 LEP Sustainability 49900 2025</t>
  </si>
  <si>
    <t>TWD162025</t>
  </si>
  <si>
    <t>FA080593.08</t>
  </si>
  <si>
    <t>MSR2049900S5</t>
  </si>
  <si>
    <t>Marlboro Red 20 LEP Sustainability 49900 2025</t>
  </si>
  <si>
    <t>FA069772.29</t>
  </si>
  <si>
    <t>MST2049900S5</t>
  </si>
  <si>
    <t>Marlboro Ice Burst 20 LEP Sustainability 49900 2025</t>
  </si>
  <si>
    <t>FA062333.29</t>
  </si>
  <si>
    <t>MTB1638000S5</t>
  </si>
  <si>
    <t>Sampoerna A Mild Mtl Burst 16 38000 2025</t>
  </si>
  <si>
    <t>MTB Current</t>
  </si>
  <si>
    <t>TWG162025</t>
  </si>
  <si>
    <t>FA062333.30</t>
  </si>
  <si>
    <t>TWP162025</t>
  </si>
  <si>
    <t>FA062333.31</t>
  </si>
  <si>
    <t>MTB Revamp</t>
  </si>
  <si>
    <t>FA078294.10</t>
  </si>
  <si>
    <t>MTR1638000S5</t>
  </si>
  <si>
    <t>Sampoerna A Splash Tropical 16 38000 2025</t>
  </si>
  <si>
    <t>MTR Current</t>
  </si>
  <si>
    <t>FA078294.11</t>
  </si>
  <si>
    <t>TWR122025</t>
  </si>
  <si>
    <t>FA078294.12</t>
  </si>
  <si>
    <t>FA078294.13</t>
  </si>
  <si>
    <t>MTR Revamp</t>
  </si>
  <si>
    <t>FA085270.01</t>
  </si>
  <si>
    <t>MVP1638000S5</t>
  </si>
  <si>
    <t>Marlboro Vista Purple Burst 16 38000 2025</t>
  </si>
  <si>
    <t>FA085852.00</t>
  </si>
  <si>
    <t>MVS1638000S5</t>
  </si>
  <si>
    <t>Marlboro Vista Summer Burst 16 38000 2025</t>
  </si>
  <si>
    <t>TWR162025</t>
  </si>
  <si>
    <t>FA084887.01</t>
  </si>
  <si>
    <t>MVT1638000S5</t>
  </si>
  <si>
    <t>Marlboro Vista Tropical Burst 16 38000 2025</t>
  </si>
  <si>
    <t>FA084887.02</t>
  </si>
  <si>
    <t>TWS162025</t>
  </si>
  <si>
    <t>FA078300.06</t>
  </si>
  <si>
    <t>PNK1218675S5</t>
  </si>
  <si>
    <t>Panamas Kuning 12 18675 2025</t>
  </si>
  <si>
    <t>FA078301.09</t>
  </si>
  <si>
    <t>SAH1218675S5</t>
  </si>
  <si>
    <t>Sampoerna Hijau 12 18675 2025</t>
  </si>
  <si>
    <t>FA084857.01</t>
  </si>
  <si>
    <t>SAI1218675S5</t>
  </si>
  <si>
    <t>Sampoerna Kretek Prima 12 18675 2025</t>
  </si>
  <si>
    <t>FA084899.01</t>
  </si>
  <si>
    <t>SAL1218675S5</t>
  </si>
  <si>
    <t>Sampoerna Hijau Legit Nira 12 18675 2025</t>
  </si>
  <si>
    <t>TWY162025</t>
  </si>
  <si>
    <t>FA085735.01</t>
  </si>
  <si>
    <t>SGO1218675S5</t>
  </si>
  <si>
    <t>Sampoerna Kretek Prima GO 12 18675 2025</t>
  </si>
  <si>
    <t>FA085046.01</t>
  </si>
  <si>
    <t>SLA1218675S5</t>
  </si>
  <si>
    <t>Sampoerna Hijau Legit Amerta 12 18675 2025</t>
  </si>
  <si>
    <t>FA085848.00</t>
  </si>
  <si>
    <t>SLD1218675S5</t>
  </si>
  <si>
    <t>Sampoerna Hijau Legit Adma 12 18675 2025</t>
  </si>
  <si>
    <t>FA079829.04</t>
  </si>
  <si>
    <t>SLE1218675S5</t>
  </si>
  <si>
    <t>Sampoerna Hijau 10Plus2 12 18675 2025</t>
  </si>
  <si>
    <t>FA086140.00</t>
  </si>
  <si>
    <t>SLM1218675S5</t>
  </si>
  <si>
    <t>Sampoerna Hijau Legit Mangkara 12 18675 2025</t>
  </si>
  <si>
    <t>FA086139.00</t>
  </si>
  <si>
    <t>SLN1218675S5</t>
  </si>
  <si>
    <t>Sampoerna Hijau Legit Nasaka 12 18675 2025</t>
  </si>
  <si>
    <t>FA085045.01</t>
  </si>
  <si>
    <t>SLS1218675S5</t>
  </si>
  <si>
    <t>Sampoerna Hijau Legit Sada 12 18675 2025</t>
  </si>
  <si>
    <t>FA087414.00</t>
  </si>
  <si>
    <t>SPS1218675S5</t>
  </si>
  <si>
    <t>Sampoerna Kretek Prima (Soft Pack) 12 18675 2025</t>
  </si>
  <si>
    <t>FA086947.00</t>
  </si>
  <si>
    <t>SPX1218675S5</t>
  </si>
  <si>
    <t>Sampoerna Kretek Prima (X) 12 18675 2025</t>
  </si>
  <si>
    <t>FA050466.29</t>
  </si>
  <si>
    <t>FA050466.30</t>
  </si>
  <si>
    <t>FA085852.01</t>
  </si>
  <si>
    <t>FA086652.00</t>
  </si>
  <si>
    <t>MFI2047500S5</t>
  </si>
  <si>
    <t>Marlboro Filter Black 20 LEP The Edition 47500 2025</t>
  </si>
  <si>
    <t>FA044121.58</t>
  </si>
  <si>
    <t>APB1217825S5</t>
  </si>
  <si>
    <t>Aspro Bold Filter HT 12 17825 2025</t>
  </si>
  <si>
    <t>APB20Z1297S5</t>
  </si>
  <si>
    <t>Aspro Bold Filter HT 20 Z1 29700 2025</t>
  </si>
  <si>
    <t>APB20Z2297S5</t>
  </si>
  <si>
    <t>Aspro Bold Filter HT 20 Z2 29700 2025</t>
  </si>
  <si>
    <t>API1217825S5</t>
  </si>
  <si>
    <t>Aspro Inter HT 12 17825 2025</t>
  </si>
  <si>
    <t>API16Z1237S5</t>
  </si>
  <si>
    <t>Aspro Inter HT 16 Z1 23775 2025</t>
  </si>
  <si>
    <t>API16Z2237S5</t>
  </si>
  <si>
    <t>Aspro Inter HT 16 Z2 23775 2025</t>
  </si>
  <si>
    <t>API16Z3237S5</t>
  </si>
  <si>
    <t>Aspro Inter HT 16 Z3 23775 2025</t>
  </si>
  <si>
    <t>APR2029700S5</t>
  </si>
  <si>
    <t>Apro Red HT 20 29700 2025</t>
  </si>
  <si>
    <t>ARB1217825S5</t>
  </si>
  <si>
    <t>Ares Bold HT 12 17825 2025</t>
  </si>
  <si>
    <t>UTG122025</t>
  </si>
  <si>
    <t>ARB2029700S5</t>
  </si>
  <si>
    <t>Ares Bold HT 20 29700 2025</t>
  </si>
  <si>
    <t>ARK1217825S5</t>
  </si>
  <si>
    <t>Ares Kaizer HT 12 17825 2025</t>
  </si>
  <si>
    <t>ARL1623775S5</t>
  </si>
  <si>
    <t>Ares Lite LT 16 23775 2025</t>
  </si>
  <si>
    <t>ARM1217825S5</t>
  </si>
  <si>
    <t>Ares Mind HT 12 17825 2025</t>
  </si>
  <si>
    <t>VER202025</t>
  </si>
  <si>
    <t>ARM1623775S5</t>
  </si>
  <si>
    <t>Ares Mind HT 16 23775 2025</t>
  </si>
  <si>
    <t>BAJ1210325S5</t>
  </si>
  <si>
    <t>Baja SKT 12 10325 2025</t>
  </si>
  <si>
    <t>BGS1210325S5</t>
  </si>
  <si>
    <t>Bagas SKT 12 10325 2025</t>
  </si>
  <si>
    <t>BHU1210325S5</t>
  </si>
  <si>
    <t>Bhumi SKT 12 10325 2025</t>
  </si>
  <si>
    <t>VGZ162025</t>
  </si>
  <si>
    <t>BLS1217825S5</t>
  </si>
  <si>
    <t>Balai Emas HT 12 17825 2025</t>
  </si>
  <si>
    <t>BRW1210325S5</t>
  </si>
  <si>
    <t>Birawa SKT 12 10325 2025</t>
  </si>
  <si>
    <t>VKT162025</t>
  </si>
  <si>
    <t>BSH1210325S5</t>
  </si>
  <si>
    <t>Bagas Sugih SKT 12 10325 2025</t>
  </si>
  <si>
    <t>CTL1623775S5</t>
  </si>
  <si>
    <t>Citylite LT 16 23775 2025</t>
  </si>
  <si>
    <t>VOK122025</t>
  </si>
  <si>
    <t>DFB1217825S5</t>
  </si>
  <si>
    <t>Duff Bold Filter HT 12 17825 2025</t>
  </si>
  <si>
    <t>DFB20Z1297S5</t>
  </si>
  <si>
    <t>Duff Bold Filter HT 20 Z1 29700 2025</t>
  </si>
  <si>
    <t>DFB20Z2297S5</t>
  </si>
  <si>
    <t>Duff Bold Filter HT 20 Z2 29700 2025</t>
  </si>
  <si>
    <t>VTX162025</t>
  </si>
  <si>
    <t>DFI1217825S5</t>
  </si>
  <si>
    <t>Duff Inter HT 12 17825 2025</t>
  </si>
  <si>
    <t>DFI1623775S5</t>
  </si>
  <si>
    <t>Duff Inter HT 16 23775 2025</t>
  </si>
  <si>
    <t>DFR2029700S5</t>
  </si>
  <si>
    <t>Duff Red HT 20 29700 2025</t>
  </si>
  <si>
    <t>DRJ1210325S5</t>
  </si>
  <si>
    <t>Dirja SKT 12 10325 2025</t>
  </si>
  <si>
    <t>GLP1623775S5</t>
  </si>
  <si>
    <t>Glizz Purple Click LT 16 23775 2025</t>
  </si>
  <si>
    <t>GLY1623775S5</t>
  </si>
  <si>
    <t>Glizz Yellow Click LT 16 23775 2025</t>
  </si>
  <si>
    <t>KAM1210325S5</t>
  </si>
  <si>
    <t>Kama SKT 12 10325 2025</t>
  </si>
  <si>
    <t>KBL1210325S5</t>
  </si>
  <si>
    <t>Kabel SKT 12 10325 2025</t>
  </si>
  <si>
    <t>KIT1210325S5</t>
  </si>
  <si>
    <t>Kito SKT 12 10325 2025</t>
  </si>
  <si>
    <t>KIT1613775S5</t>
  </si>
  <si>
    <t>Kito SKT 16 13775 2025</t>
  </si>
  <si>
    <t>KPT12Z1103S5</t>
  </si>
  <si>
    <t>Kapten Sari Pucuk SKT 12 Z1 10325 2025</t>
  </si>
  <si>
    <t>KPT12Z2103S5</t>
  </si>
  <si>
    <t>Kapten Sari Pucuk SKT 12 Z2 10325 2025</t>
  </si>
  <si>
    <t>LND2017200S5</t>
  </si>
  <si>
    <t>Lima &amp; Dua SKT 20 17200 2025</t>
  </si>
  <si>
    <t>LOJ1210325S5</t>
  </si>
  <si>
    <t>Lodjie Ijo SKT 12 10325 2025</t>
  </si>
  <si>
    <t>LOK1210325S5</t>
  </si>
  <si>
    <t>Lokal Pucuk Wangi SKT 12 10325 2025</t>
  </si>
  <si>
    <t>MAU1210325S5</t>
  </si>
  <si>
    <t>Maung SKT 12 10325 2025</t>
  </si>
  <si>
    <t>NAG2029700S5</t>
  </si>
  <si>
    <t>Nation Gold HT 20 29700 2025</t>
  </si>
  <si>
    <t>NAT1623775S5</t>
  </si>
  <si>
    <t>Nation Bold HT 16 23775 2025</t>
  </si>
  <si>
    <t>NAT2029700S5</t>
  </si>
  <si>
    <t>Nation Bold HT 20 Z1 29700 2025</t>
  </si>
  <si>
    <t>Nation Bold HT 20 Z2 29700 2025</t>
  </si>
  <si>
    <t>NIA1613775S5</t>
  </si>
  <si>
    <t>Nian SKT 16 13775 2025</t>
  </si>
  <si>
    <t>NTL1623775S5</t>
  </si>
  <si>
    <t>Nation Line LT 16 23775 2025</t>
  </si>
  <si>
    <t>OEB1217825S5</t>
  </si>
  <si>
    <t>OE Bold HT 12 17825 2025</t>
  </si>
  <si>
    <t>OEB1623775S5</t>
  </si>
  <si>
    <t>OE Bold HT 16 23775 2025</t>
  </si>
  <si>
    <t>OEB2029700S5</t>
  </si>
  <si>
    <t>OE Bold HT 20 29700 2025</t>
  </si>
  <si>
    <t>OEM1008600S5</t>
  </si>
  <si>
    <t>Oepet SKT 10 8600 2025</t>
  </si>
  <si>
    <t>OES1210325S5</t>
  </si>
  <si>
    <t>Oepet SKT 12 10325 2025</t>
  </si>
  <si>
    <t>ONG1613775S5</t>
  </si>
  <si>
    <t>Ongko SKT 16 13775 2025</t>
  </si>
  <si>
    <t>POS1623775S5</t>
  </si>
  <si>
    <t>PostX LT 16 23775 2025</t>
  </si>
  <si>
    <t>PRJ1210325S5</t>
  </si>
  <si>
    <t>Praja SKT 12 10325 2025</t>
  </si>
  <si>
    <t>PRL1210325S5</t>
  </si>
  <si>
    <t>Praja Royal SKT 12 10325 2025</t>
  </si>
  <si>
    <t>PRU1210325S5</t>
  </si>
  <si>
    <t>Prabu SKT 12 10325 2025</t>
  </si>
  <si>
    <t>PSP12Z1103S5</t>
  </si>
  <si>
    <t>Pasopati SKT 12 Z1 10325 2025</t>
  </si>
  <si>
    <t>PSP12Z2103S5</t>
  </si>
  <si>
    <t>Pasopati SKT 12 Z2 10325 2025</t>
  </si>
  <si>
    <t>RKT16Z1137S5</t>
  </si>
  <si>
    <t>Region Kretek Sari Poci SKT 16 Z1 13775 2025</t>
  </si>
  <si>
    <t>RKT16Z2137S5</t>
  </si>
  <si>
    <t>Region Kretek Sari Poci SKT 16 Z2 13775 2025</t>
  </si>
  <si>
    <t>SBH1210325S5</t>
  </si>
  <si>
    <t>Sumbu Hijau SKT 12 10325 2025</t>
  </si>
  <si>
    <t>SGR1210325S5</t>
  </si>
  <si>
    <t>Segara SKT 12 10325 2025</t>
  </si>
  <si>
    <t>SJK1210325S5</t>
  </si>
  <si>
    <t>Sejuk Alami SKT 12 10325 2025</t>
  </si>
  <si>
    <t>SLO1210325S5</t>
  </si>
  <si>
    <t>Selera Origin SKT 12 10325 2025</t>
  </si>
  <si>
    <t>SLP12Z1103S5</t>
  </si>
  <si>
    <t>Selera Sari Pucuk SKT 12 Z1 10325 2025</t>
  </si>
  <si>
    <t>SLP12Z2103S5</t>
  </si>
  <si>
    <t>Selera Sari Pucuk SKT 12 Z2 10325 2025</t>
  </si>
  <si>
    <t>SLR1210325S5</t>
  </si>
  <si>
    <t>Selera Hijau Sejuk SKT 12 10325 2025</t>
  </si>
  <si>
    <t>SLT1211950S5</t>
  </si>
  <si>
    <t>153 SKT 12 11950 2025</t>
  </si>
  <si>
    <t>SLT1615925S5</t>
  </si>
  <si>
    <t>153 SKT 16 15925 2025</t>
  </si>
  <si>
    <t>SLT2019900S5</t>
  </si>
  <si>
    <t>153 SKT 20 19900 2025</t>
  </si>
  <si>
    <t>SOA1210325S5</t>
  </si>
  <si>
    <t>Soang Red SKT 12 10325 2025</t>
  </si>
  <si>
    <t>SRS1210325S5</t>
  </si>
  <si>
    <t>Serasa SKT 12 10325 2025</t>
  </si>
  <si>
    <t>TBB1217825S5</t>
  </si>
  <si>
    <t>Trubus Bold HT 12 17825 2025</t>
  </si>
  <si>
    <t>TBS1210325S5</t>
  </si>
  <si>
    <t>Trubus Alami SKT 12 10325 2025</t>
  </si>
  <si>
    <t>TEH1210325S5</t>
  </si>
  <si>
    <t>363 Hitam SKT 12 10325 2025</t>
  </si>
  <si>
    <t>TEK1210325S5</t>
  </si>
  <si>
    <t>363 SKT 12 10325 2025</t>
  </si>
  <si>
    <t>TEK1613775S5</t>
  </si>
  <si>
    <t>363 SKT 16 13775 2025</t>
  </si>
  <si>
    <t>TEM1210325S5</t>
  </si>
  <si>
    <t>363 Merah SKT 12 10325 2025</t>
  </si>
  <si>
    <t>TTL1623775S5</t>
  </si>
  <si>
    <t>Total LT 16 23775 2025</t>
  </si>
  <si>
    <t>TWD1623775S5</t>
  </si>
  <si>
    <t>Twizz Red Crush LT 16 23775 2025</t>
  </si>
  <si>
    <t>TWG1623775S5</t>
  </si>
  <si>
    <t>Twizz Green Crush LT 16 23775 2025</t>
  </si>
  <si>
    <t>TWP1623775S5</t>
  </si>
  <si>
    <t>Twizz Prime LT 16 23775 2025</t>
  </si>
  <si>
    <t>TWR1217825S5</t>
  </si>
  <si>
    <t>Twizz Royal Crush LT 12 17825 2025</t>
  </si>
  <si>
    <t>TWR1623775S5</t>
  </si>
  <si>
    <t>Twizz Royal Crush LT 16 23775 2025</t>
  </si>
  <si>
    <t>TWS1623775S5</t>
  </si>
  <si>
    <t>Twizz Summer Crush LT 16 23775 2025</t>
  </si>
  <si>
    <t>TWY1623775S5</t>
  </si>
  <si>
    <t>Twizz Yellow Crush LT 16 23775 2025</t>
  </si>
  <si>
    <t>UTG1210325S5</t>
  </si>
  <si>
    <t>Untung SKT 12 10325 2025</t>
  </si>
  <si>
    <t>VER2031300S5</t>
  </si>
  <si>
    <t>Vermont SPM 20 31300 2025</t>
  </si>
  <si>
    <t>VGZ1623775S5</t>
  </si>
  <si>
    <t>Vegaz LT 16 23775 2025</t>
  </si>
  <si>
    <t>VKT1613775S5</t>
  </si>
  <si>
    <t>Version SKT 16 13775 2025</t>
  </si>
  <si>
    <t>VOK1210325S5</t>
  </si>
  <si>
    <t>Vokal Jingga Harum SKT 12 10325 2025</t>
  </si>
  <si>
    <t>VTX1623775S5</t>
  </si>
  <si>
    <t>Vortex LT 16 23775 2025</t>
  </si>
  <si>
    <t>SME1210325S5</t>
  </si>
  <si>
    <t>Simustika 269 Edition SKT 12 10325 2025</t>
  </si>
  <si>
    <t>SMB1210325S5</t>
  </si>
  <si>
    <t>Simustika 269 Bold SKT 12 10325 2025</t>
  </si>
  <si>
    <t>SMG1210325S5</t>
  </si>
  <si>
    <t>Simustika 269 Gold SKT 12 10325 2025</t>
  </si>
  <si>
    <t>TPT1623775S5</t>
  </si>
  <si>
    <t>Twizz Prime Tropical LT 16 23775 2025</t>
  </si>
  <si>
    <t>TPR1623775S5</t>
  </si>
  <si>
    <t>Twizz Prime Royal LT 16 23775 2025</t>
  </si>
  <si>
    <t>No</t>
  </si>
  <si>
    <t>Sender</t>
  </si>
  <si>
    <t>Receiver</t>
  </si>
  <si>
    <t>Lead Time (Day)</t>
  </si>
  <si>
    <t>Mon</t>
  </si>
  <si>
    <t>Tue</t>
  </si>
  <si>
    <t>Wed</t>
  </si>
  <si>
    <t>Thu</t>
  </si>
  <si>
    <t>Fri</t>
  </si>
  <si>
    <t>Sat</t>
  </si>
  <si>
    <t>Sun</t>
  </si>
  <si>
    <t>Keterangan</t>
  </si>
  <si>
    <t>Ship</t>
  </si>
  <si>
    <t>ADW Balikpapan</t>
  </si>
  <si>
    <t>ADW Batam</t>
  </si>
  <si>
    <t>ADW Makassar</t>
  </si>
  <si>
    <t>ADW Padang</t>
  </si>
  <si>
    <t>ADW Pangkal Pinang</t>
  </si>
  <si>
    <t>ADW Pekanbaru</t>
  </si>
  <si>
    <t>ADW Pontianak</t>
  </si>
  <si>
    <t>EZD Arjuna</t>
  </si>
  <si>
    <t>EZD Senang</t>
  </si>
  <si>
    <t>ADW Duri</t>
  </si>
  <si>
    <t>Train</t>
  </si>
  <si>
    <t>ADW Semarang</t>
  </si>
  <si>
    <t>Truck</t>
  </si>
  <si>
    <t>ADW Air Molek</t>
  </si>
  <si>
    <t>ADW Bandung</t>
  </si>
  <si>
    <t>ADW Bandung 3</t>
  </si>
  <si>
    <t>ADW Bengkulu</t>
  </si>
  <si>
    <t>ADW Bogor</t>
  </si>
  <si>
    <t>ADW Bukittinggi</t>
  </si>
  <si>
    <t>ADW Cirebon</t>
  </si>
  <si>
    <t>ADW Denpasar</t>
  </si>
  <si>
    <t>ADW Garut</t>
  </si>
  <si>
    <t>ADW Jakarta Timur A</t>
  </si>
  <si>
    <t>ADW Jakarta Utara</t>
  </si>
  <si>
    <t>ADW Jambi</t>
  </si>
  <si>
    <t>ADW Kotabumi</t>
  </si>
  <si>
    <t>ADW Labuan</t>
  </si>
  <si>
    <t>ADW Lahat</t>
  </si>
  <si>
    <t>ADW Lampung</t>
  </si>
  <si>
    <t>ADW Metro</t>
  </si>
  <si>
    <t>ADW Muara Bungo</t>
  </si>
  <si>
    <t>ADW Palembang</t>
  </si>
  <si>
    <t>ADW Palembang 2</t>
  </si>
  <si>
    <t>ADW Pati</t>
  </si>
  <si>
    <t>ADW Purwokerto</t>
  </si>
  <si>
    <t>ADW Serang</t>
  </si>
  <si>
    <t>ADW Sukabumi</t>
  </si>
  <si>
    <t>ADW Tangerang</t>
  </si>
  <si>
    <t>ADW Tasikmalaya</t>
  </si>
  <si>
    <t>ADW Tegal</t>
  </si>
  <si>
    <t>DPC Baturaja</t>
  </si>
  <si>
    <t>DPC Jakarta Timur</t>
  </si>
  <si>
    <t>DPC Tangerang A</t>
  </si>
  <si>
    <t>ADW Kota Bumi</t>
  </si>
  <si>
    <t>ADW Magelang</t>
  </si>
  <si>
    <t>ADW Salatiga</t>
  </si>
  <si>
    <t>ADW Surakarta</t>
  </si>
  <si>
    <t>ADW Tuban</t>
  </si>
  <si>
    <t>ADW Yogyakarta</t>
  </si>
  <si>
    <t>ADW Bukit Tinggi</t>
  </si>
  <si>
    <t>ADW Ambon</t>
  </si>
  <si>
    <t>ADW Banjarmasin</t>
  </si>
  <si>
    <t>ADW Gorontalo</t>
  </si>
  <si>
    <t>ADW Kupang</t>
  </si>
  <si>
    <t>ADW Manado</t>
  </si>
  <si>
    <t>Original closing hari Kamis. Latest closing Jumat jam 9 malam.</t>
  </si>
  <si>
    <t>ADW Palu</t>
  </si>
  <si>
    <t>ADW Pare - Pare</t>
  </si>
  <si>
    <t>ADW Ternate</t>
  </si>
  <si>
    <t>EZD Bau-Bau</t>
  </si>
  <si>
    <t>Jika ada jadwal kapal Senin, area prefer yang dapat muat tercepat di hari Senin dengan kondisi DO EZD sudah ada.</t>
  </si>
  <si>
    <t>EZD Biak</t>
  </si>
  <si>
    <t>EZD Fak-Fak</t>
  </si>
  <si>
    <t>EZD Jayapura</t>
  </si>
  <si>
    <t>EZD Kendari</t>
  </si>
  <si>
    <t>EZD Kupang</t>
  </si>
  <si>
    <t>EZD Manokwari</t>
  </si>
  <si>
    <t>EZD Merauke</t>
  </si>
  <si>
    <t>EZD Nabire</t>
  </si>
  <si>
    <t>EZD Timika</t>
  </si>
  <si>
    <t>ADW Gresik</t>
  </si>
  <si>
    <t>ADW Jember</t>
  </si>
  <si>
    <t>ADW Kediri</t>
  </si>
  <si>
    <t>ADW Madiun</t>
  </si>
  <si>
    <t>ADW Malang</t>
  </si>
  <si>
    <t>ADW Mataram</t>
  </si>
  <si>
    <t>ADW Mojokerto</t>
  </si>
  <si>
    <t>ADW Pamekasan</t>
  </si>
  <si>
    <t>ADW Probolinggo</t>
  </si>
  <si>
    <t>ADW Surabaya</t>
  </si>
  <si>
    <t>EZD Kaimana</t>
  </si>
  <si>
    <t>EZD Serui</t>
  </si>
  <si>
    <t>DPC Bone</t>
  </si>
  <si>
    <t>Choose SKU &amp; Copy Sheet</t>
  </si>
  <si>
    <t>Arrival Senin</t>
  </si>
  <si>
    <t>Arrival Selasa</t>
  </si>
  <si>
    <t>Arrival Rabu</t>
  </si>
  <si>
    <t>Arrival Kamis</t>
  </si>
  <si>
    <t>Arrival Jumat</t>
  </si>
  <si>
    <t>Arrival Sabtu</t>
  </si>
  <si>
    <t>Arrival Minggu</t>
  </si>
  <si>
    <t>in box</t>
  </si>
  <si>
    <t>Cikarang / Sukorejo</t>
  </si>
  <si>
    <t>Launch</t>
  </si>
  <si>
    <t>Alokasi</t>
  </si>
  <si>
    <t>EZD Tanjung Pandan</t>
  </si>
  <si>
    <t>DPC Jakarta Timur (Halim)</t>
  </si>
  <si>
    <t>ADO Labuan (rangkas)</t>
  </si>
  <si>
    <t>stock</t>
  </si>
  <si>
    <t>alokasi</t>
  </si>
  <si>
    <t>sisa stock</t>
  </si>
  <si>
    <t>Note : Pembagian alokasi di atas sudah mengikuti tanggal stuffing, bukan lagi mengikuti angka arrival di DC.
Mohon PL mengikuti tanggal dan angka diatas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</si>
</sst>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dd"/>
    <numFmt numFmtId="166" formatCode="_-* #,##0_-;\-* #,##0_-;_-* &quot;-&quot;_-;_-@"/>
    <numFmt numFmtId="167" formatCode="0.0"/>
  </numFmts>
  <fonts count="26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0"/>
      <name val="Calibri"/>
    </font>
    <font>
      <i/>
      <sz val="11"/>
      <color rgb="FF7F7F7F"/>
      <name val="Calibri"/>
    </font>
    <font>
      <sz val="11"/>
      <color rgb="FF0070C0"/>
      <name val="Calibri"/>
    </font>
    <font>
      <b/>
      <sz val="11"/>
      <color rgb="FF0070C0"/>
      <name val="Calibri"/>
    </font>
    <font>
      <sz val="10"/>
      <color theme="0"/>
      <name val="Calibri"/>
    </font>
    <font>
      <b/>
      <sz val="11"/>
      <color theme="4"/>
      <name val="Calibri"/>
    </font>
    <font>
      <b/>
      <sz val="11"/>
      <color rgb="FFFF0000"/>
      <name val="Calibri"/>
    </font>
    <font>
      <i/>
      <sz val="10"/>
      <color theme="1"/>
      <name val="Calibri"/>
    </font>
    <font>
      <b/>
      <sz val="8"/>
      <color theme="0"/>
      <name val="Calibri"/>
    </font>
    <font>
      <b/>
      <sz val="10"/>
      <color theme="0"/>
      <name val="Calibri"/>
    </font>
    <font>
      <sz val="9"/>
      <color theme="1"/>
      <name val="Calibri"/>
    </font>
    <font>
      <b/>
      <sz val="9"/>
      <color theme="1"/>
      <name val="Calibri"/>
    </font>
    <font>
      <i/>
      <sz val="8"/>
      <color theme="1"/>
      <name val="Calibri"/>
    </font>
    <font>
      <b/>
      <sz val="8"/>
      <color theme="1"/>
      <name val="Calibri"/>
    </font>
    <font>
      <sz val="8"/>
      <color theme="1"/>
      <name val="Calibri"/>
    </font>
    <font>
      <b/>
      <sz val="10"/>
      <color theme="1"/>
      <name val="Calibri"/>
    </font>
    <font>
      <i/>
      <sz val="9"/>
      <color theme="1"/>
      <name val="Calibri"/>
    </font>
    <font>
      <b/>
      <sz val="9"/>
      <color rgb="FFFF0000"/>
      <name val="Calibri"/>
    </font>
    <font>
      <b/>
      <sz val="9"/>
      <color theme="0"/>
      <name val="Calibri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theme="5"/>
        <bgColor theme="5"/>
      </patternFill>
    </fill>
    <fill>
      <patternFill patternType="solid">
        <fgColor theme="1"/>
        <bgColor theme="1"/>
      </patternFill>
    </fill>
    <fill>
      <patternFill patternType="solid">
        <fgColor rgb="FFEAEDF1"/>
        <bgColor rgb="FFEAEDF1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  <fill>
      <patternFill patternType="solid">
        <fgColor rgb="FFADB9CA"/>
        <bgColor rgb="FFADB9CA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C55A11"/>
        <bgColor rgb="FFC55A11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theme="7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medium">
        <color rgb="FF000000"/>
      </left>
      <right style="thin">
        <color rgb="FFD0CECE"/>
      </right>
      <top style="medium">
        <color rgb="FF000000"/>
      </top>
      <bottom style="thin">
        <color rgb="FFD0CECE"/>
      </bottom>
      <diagonal/>
    </border>
    <border>
      <left style="thin">
        <color rgb="FFD0CECE"/>
      </left>
      <right style="thin">
        <color rgb="FFD0CECE"/>
      </right>
      <top style="medium">
        <color rgb="FF000000"/>
      </top>
      <bottom style="thin">
        <color rgb="FFD0CECE"/>
      </bottom>
      <diagonal/>
    </border>
    <border>
      <left style="thin">
        <color rgb="FFD0CECE"/>
      </left>
      <right/>
      <top style="medium">
        <color rgb="FF000000"/>
      </top>
      <bottom style="thin">
        <color rgb="FFD0CECE"/>
      </bottom>
      <diagonal/>
    </border>
    <border>
      <left style="medium">
        <color rgb="FF000000"/>
      </left>
      <right/>
      <top style="medium">
        <color rgb="FF000000"/>
      </top>
      <bottom style="thin">
        <color rgb="FFD0CECE"/>
      </bottom>
      <diagonal/>
    </border>
    <border>
      <left/>
      <right style="medium">
        <color rgb="FF000000"/>
      </right>
      <top style="medium">
        <color rgb="FF000000"/>
      </top>
      <bottom style="thin">
        <color rgb="FFD0CECE"/>
      </bottom>
      <diagonal/>
    </border>
    <border>
      <left/>
      <right/>
      <top style="medium">
        <color rgb="FF000000"/>
      </top>
      <bottom style="thin">
        <color rgb="FFD0CECE"/>
      </bottom>
      <diagonal/>
    </border>
    <border>
      <left style="thin">
        <color rgb="FFD0CECE"/>
      </left>
      <right style="medium">
        <color rgb="FF000000"/>
      </right>
      <top style="medium">
        <color rgb="FF000000"/>
      </top>
      <bottom style="thin">
        <color rgb="FFD0CECE"/>
      </bottom>
      <diagonal/>
    </border>
    <border>
      <left/>
      <right style="thin">
        <color rgb="FFD0CECE"/>
      </right>
      <top style="medium">
        <color rgb="FF000000"/>
      </top>
      <bottom style="thin">
        <color rgb="FFD0CECE"/>
      </bottom>
      <diagonal/>
    </border>
    <border>
      <left/>
      <right style="medium">
        <color rgb="FF000000"/>
      </right>
      <top style="medium">
        <color rgb="FF000000"/>
      </top>
      <bottom style="thin">
        <color rgb="FFD0CECE"/>
      </bottom>
      <diagonal/>
    </border>
    <border>
      <left style="medium">
        <color rgb="FF000000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medium">
        <color rgb="FF000000"/>
      </right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/>
      <right style="medium">
        <color rgb="FF000000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 style="medium">
        <color rgb="FF000000"/>
      </right>
      <top style="thin">
        <color rgb="FFD0CECE"/>
      </top>
      <bottom/>
      <diagonal/>
    </border>
    <border>
      <left/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/>
      <diagonal/>
    </border>
    <border>
      <left style="thin">
        <color rgb="FFD0CECE"/>
      </left>
      <right style="medium">
        <color rgb="FF000000"/>
      </right>
      <top/>
      <bottom/>
      <diagonal/>
    </border>
    <border>
      <left style="thin">
        <color rgb="FFD0CECE"/>
      </left>
      <right/>
      <top/>
      <bottom/>
      <diagonal/>
    </border>
    <border>
      <left style="thin">
        <color rgb="FFD0CECE"/>
      </left>
      <right style="medium">
        <color rgb="FF000000"/>
      </right>
      <top/>
      <bottom style="thin">
        <color rgb="FFD0CECE"/>
      </bottom>
      <diagonal/>
    </border>
    <border>
      <left style="thin">
        <color rgb="FFD0CECE"/>
      </left>
      <right/>
      <top/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/>
      <diagonal/>
    </border>
    <border>
      <left style="thin">
        <color rgb="FFD0CECE"/>
      </left>
      <right/>
      <top/>
      <bottom/>
      <diagonal/>
    </border>
    <border>
      <left style="thin">
        <color rgb="FFD0CECE"/>
      </left>
      <right/>
      <top/>
      <bottom style="thin">
        <color rgb="FFD0CECE"/>
      </bottom>
      <diagonal/>
    </border>
    <border>
      <left style="medium">
        <color rgb="FF000000"/>
      </left>
      <right style="thin">
        <color rgb="FFD0CECE"/>
      </right>
      <top style="thin">
        <color rgb="FFD0CECE"/>
      </top>
      <bottom style="medium">
        <color rgb="FF000000"/>
      </bottom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medium">
        <color rgb="FF000000"/>
      </bottom>
      <diagonal/>
    </border>
    <border>
      <left style="thin">
        <color rgb="FFD0CECE"/>
      </left>
      <right/>
      <top style="thin">
        <color rgb="FFD0CECE"/>
      </top>
      <bottom style="medium">
        <color rgb="FF000000"/>
      </bottom>
      <diagonal/>
    </border>
    <border>
      <left style="thin">
        <color rgb="FFD0CECE"/>
      </left>
      <right style="medium">
        <color rgb="FF000000"/>
      </right>
      <top style="thin">
        <color rgb="FFD0CECE"/>
      </top>
      <bottom style="medium">
        <color rgb="FF000000"/>
      </bottom>
      <diagonal/>
    </border>
    <border>
      <left/>
      <right/>
      <top style="thin">
        <color rgb="FFD0CECE"/>
      </top>
      <bottom style="medium">
        <color rgb="FF000000"/>
      </bottom>
      <diagonal/>
    </border>
    <border>
      <left/>
      <right style="thin">
        <color rgb="FFD0CECE"/>
      </right>
      <top style="thin">
        <color rgb="FFD0CECE"/>
      </top>
      <bottom style="medium">
        <color rgb="FF000000"/>
      </bottom>
      <diagonal/>
    </border>
    <border>
      <left/>
      <right style="medium">
        <color rgb="FF000000"/>
      </right>
      <top style="thin">
        <color rgb="FFD0CECE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ck">
        <color rgb="FFBFBFBF"/>
      </left>
      <right/>
      <top/>
      <bottom/>
      <diagonal/>
    </border>
    <border>
      <left/>
      <right style="thick">
        <color rgb="FFBFBFBF"/>
      </right>
      <top/>
      <bottom/>
      <diagonal/>
    </border>
    <border>
      <left style="thick">
        <color rgb="FFBFBFBF"/>
      </left>
      <right/>
      <top/>
      <bottom/>
      <diagonal/>
    </border>
    <border>
      <left/>
      <right style="thick">
        <color rgb="FFBFBFBF"/>
      </right>
      <top/>
      <bottom/>
      <diagonal/>
    </border>
    <border>
      <left style="thick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BFBFBF"/>
      </left>
      <right style="thick">
        <color rgb="FFBFBFBF"/>
      </right>
      <top style="hair">
        <color rgb="FFBFBFBF"/>
      </top>
      <bottom style="hair">
        <color rgb="FFBFBFB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/>
      <diagonal/>
    </border>
    <border>
      <left/>
      <right style="thin">
        <color rgb="FFBFBFBF"/>
      </right>
      <top style="medium">
        <color rgb="FFD8D8D8"/>
      </top>
      <bottom/>
      <diagonal/>
    </border>
    <border>
      <left style="thin">
        <color rgb="FFBFBFBF"/>
      </left>
      <right style="thin">
        <color rgb="FFBFBFBF"/>
      </right>
      <top style="medium">
        <color rgb="FFD8D8D8"/>
      </top>
      <bottom/>
      <diagonal/>
    </border>
    <border>
      <left style="thin">
        <color rgb="FFBFBFBF"/>
      </left>
      <right style="medium">
        <color rgb="FFD8D8D8"/>
      </right>
      <top style="medium">
        <color rgb="FFD8D8D8"/>
      </top>
      <bottom/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medium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D8D8D8"/>
      </left>
      <right style="medium">
        <color rgb="FFD8D8D8"/>
      </right>
      <top style="thin">
        <color rgb="FFD8D8D8"/>
      </top>
      <bottom style="medium">
        <color rgb="FFD8D8D8"/>
      </bottom>
      <diagonal/>
    </border>
  </borders>
  <cellStyleXfs count="1">
    <xf numFmtId="0" fontId="0" fillId="0" borderId="0"/>
  </cellStyleXfs>
  <cellXfs count="32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3" fillId="0" borderId="0" xfId="0" applyFont="1"/>
    <xf numFmtId="164" fontId="2" fillId="2" borderId="1" xfId="0" applyNumberFormat="1" applyFont="1" applyFill="1" applyBorder="1"/>
    <xf numFmtId="0" fontId="4" fillId="2" borderId="1" xfId="0" applyFont="1" applyFill="1" applyBorder="1"/>
    <xf numFmtId="43" fontId="2" fillId="2" borderId="1" xfId="0" applyNumberFormat="1" applyFont="1" applyFill="1" applyBorder="1"/>
    <xf numFmtId="14" fontId="3" fillId="2" borderId="1" xfId="0" applyNumberFormat="1" applyFont="1" applyFill="1" applyBorder="1"/>
    <xf numFmtId="165" fontId="2" fillId="2" borderId="1" xfId="0" applyNumberFormat="1" applyFont="1" applyFill="1" applyBorder="1"/>
    <xf numFmtId="3" fontId="2" fillId="2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4" fontId="7" fillId="3" borderId="10" xfId="0" applyNumberFormat="1" applyFont="1" applyFill="1" applyBorder="1" applyAlignment="1">
      <alignment horizontal="center"/>
    </xf>
    <xf numFmtId="14" fontId="7" fillId="3" borderId="1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8" fillId="0" borderId="0" xfId="0" applyFont="1"/>
    <xf numFmtId="0" fontId="9" fillId="6" borderId="9" xfId="0" applyFont="1" applyFill="1" applyBorder="1" applyAlignment="1">
      <alignment horizontal="left"/>
    </xf>
    <xf numFmtId="0" fontId="9" fillId="6" borderId="9" xfId="0" applyFont="1" applyFill="1" applyBorder="1" applyAlignment="1">
      <alignment horizontal="center"/>
    </xf>
    <xf numFmtId="3" fontId="9" fillId="6" borderId="9" xfId="0" applyNumberFormat="1" applyFont="1" applyFill="1" applyBorder="1" applyAlignment="1">
      <alignment horizontal="center"/>
    </xf>
    <xf numFmtId="3" fontId="9" fillId="6" borderId="11" xfId="0" applyNumberFormat="1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3" fontId="9" fillId="6" borderId="9" xfId="0" applyNumberFormat="1" applyFont="1" applyFill="1" applyBorder="1" applyAlignment="1">
      <alignment horizontal="center" vertical="center"/>
    </xf>
    <xf numFmtId="3" fontId="10" fillId="6" borderId="9" xfId="0" applyNumberFormat="1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3" fontId="2" fillId="0" borderId="0" xfId="0" applyNumberFormat="1" applyFont="1"/>
    <xf numFmtId="0" fontId="9" fillId="0" borderId="9" xfId="0" applyFont="1" applyBorder="1" applyAlignment="1">
      <alignment horizontal="left"/>
    </xf>
    <xf numFmtId="0" fontId="9" fillId="2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2" borderId="9" xfId="0" applyFont="1" applyFill="1" applyBorder="1" applyAlignment="1">
      <alignment horizontal="left"/>
    </xf>
    <xf numFmtId="3" fontId="9" fillId="2" borderId="9" xfId="0" applyNumberFormat="1" applyFont="1" applyFill="1" applyBorder="1" applyAlignment="1">
      <alignment horizontal="center"/>
    </xf>
    <xf numFmtId="3" fontId="9" fillId="2" borderId="9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 vertical="center"/>
    </xf>
    <xf numFmtId="3" fontId="9" fillId="0" borderId="9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3" fontId="9" fillId="7" borderId="9" xfId="0" applyNumberFormat="1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3" fontId="9" fillId="7" borderId="11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2" borderId="13" xfId="0" applyFont="1" applyFill="1" applyBorder="1" applyAlignment="1">
      <alignment horizontal="left"/>
    </xf>
    <xf numFmtId="0" fontId="9" fillId="0" borderId="9" xfId="0" quotePrefix="1" applyFont="1" applyBorder="1" applyAlignment="1">
      <alignment horizontal="center"/>
    </xf>
    <xf numFmtId="3" fontId="7" fillId="3" borderId="9" xfId="0" applyNumberFormat="1" applyFont="1" applyFill="1" applyBorder="1" applyAlignment="1">
      <alignment horizontal="center"/>
    </xf>
    <xf numFmtId="3" fontId="7" fillId="3" borderId="10" xfId="0" applyNumberFormat="1" applyFont="1" applyFill="1" applyBorder="1" applyAlignment="1">
      <alignment horizontal="center"/>
    </xf>
    <xf numFmtId="3" fontId="7" fillId="3" borderId="11" xfId="0" applyNumberFormat="1" applyFont="1" applyFill="1" applyBorder="1" applyAlignment="1">
      <alignment horizontal="center"/>
    </xf>
    <xf numFmtId="164" fontId="7" fillId="3" borderId="9" xfId="0" applyNumberFormat="1" applyFont="1" applyFill="1" applyBorder="1" applyAlignment="1">
      <alignment horizontal="center"/>
    </xf>
    <xf numFmtId="15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14" fontId="7" fillId="3" borderId="23" xfId="0" applyNumberFormat="1" applyFont="1" applyFill="1" applyBorder="1" applyAlignment="1">
      <alignment horizontal="center"/>
    </xf>
    <xf numFmtId="0" fontId="2" fillId="8" borderId="25" xfId="0" applyFont="1" applyFill="1" applyBorder="1" applyAlignment="1">
      <alignment horizontal="center" vertical="center" wrapText="1"/>
    </xf>
    <xf numFmtId="14" fontId="7" fillId="3" borderId="27" xfId="0" applyNumberFormat="1" applyFont="1" applyFill="1" applyBorder="1" applyAlignment="1">
      <alignment horizontal="center"/>
    </xf>
    <xf numFmtId="0" fontId="2" fillId="8" borderId="2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horizontal="left"/>
    </xf>
    <xf numFmtId="0" fontId="9" fillId="9" borderId="13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left"/>
    </xf>
    <xf numFmtId="0" fontId="9" fillId="9" borderId="24" xfId="0" applyFont="1" applyFill="1" applyBorder="1" applyAlignment="1">
      <alignment horizontal="center"/>
    </xf>
    <xf numFmtId="3" fontId="9" fillId="9" borderId="23" xfId="0" applyNumberFormat="1" applyFont="1" applyFill="1" applyBorder="1" applyAlignment="1">
      <alignment horizontal="center"/>
    </xf>
    <xf numFmtId="0" fontId="9" fillId="9" borderId="25" xfId="0" applyFont="1" applyFill="1" applyBorder="1" applyAlignment="1">
      <alignment horizontal="center"/>
    </xf>
    <xf numFmtId="0" fontId="9" fillId="9" borderId="26" xfId="0" applyFont="1" applyFill="1" applyBorder="1" applyAlignment="1">
      <alignment horizontal="center"/>
    </xf>
    <xf numFmtId="3" fontId="10" fillId="9" borderId="23" xfId="0" applyNumberFormat="1" applyFont="1" applyFill="1" applyBorder="1" applyAlignment="1">
      <alignment horizontal="center"/>
    </xf>
    <xf numFmtId="3" fontId="10" fillId="9" borderId="25" xfId="0" applyNumberFormat="1" applyFont="1" applyFill="1" applyBorder="1" applyAlignment="1">
      <alignment horizontal="center" vertical="center"/>
    </xf>
    <xf numFmtId="3" fontId="10" fillId="9" borderId="27" xfId="0" applyNumberFormat="1" applyFont="1" applyFill="1" applyBorder="1" applyAlignment="1">
      <alignment horizontal="center"/>
    </xf>
    <xf numFmtId="3" fontId="10" fillId="9" borderId="24" xfId="0" applyNumberFormat="1" applyFont="1" applyFill="1" applyBorder="1" applyAlignment="1">
      <alignment horizontal="center" vertical="center"/>
    </xf>
    <xf numFmtId="0" fontId="9" fillId="0" borderId="23" xfId="0" applyFont="1" applyBorder="1" applyAlignment="1">
      <alignment horizontal="left"/>
    </xf>
    <xf numFmtId="0" fontId="9" fillId="2" borderId="24" xfId="0" applyFont="1" applyFill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3" fontId="10" fillId="0" borderId="23" xfId="0" applyNumberFormat="1" applyFont="1" applyBorder="1" applyAlignment="1">
      <alignment horizontal="center"/>
    </xf>
    <xf numFmtId="3" fontId="10" fillId="0" borderId="30" xfId="0" applyNumberFormat="1" applyFont="1" applyBorder="1" applyAlignment="1">
      <alignment horizontal="center"/>
    </xf>
    <xf numFmtId="3" fontId="10" fillId="0" borderId="25" xfId="0" applyNumberFormat="1" applyFont="1" applyBorder="1" applyAlignment="1">
      <alignment horizontal="center" vertical="center"/>
    </xf>
    <xf numFmtId="3" fontId="10" fillId="0" borderId="36" xfId="0" applyNumberFormat="1" applyFont="1" applyBorder="1" applyAlignment="1">
      <alignment horizontal="center" vertical="center"/>
    </xf>
    <xf numFmtId="3" fontId="10" fillId="2" borderId="23" xfId="0" applyNumberFormat="1" applyFont="1" applyFill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36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3" fontId="10" fillId="2" borderId="27" xfId="0" applyNumberFormat="1" applyFont="1" applyFill="1" applyBorder="1" applyAlignment="1">
      <alignment horizontal="center"/>
    </xf>
    <xf numFmtId="3" fontId="10" fillId="2" borderId="25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0" fontId="8" fillId="9" borderId="1" xfId="0" applyFont="1" applyFill="1" applyBorder="1"/>
    <xf numFmtId="3" fontId="12" fillId="9" borderId="23" xfId="0" applyNumberFormat="1" applyFont="1" applyFill="1" applyBorder="1" applyAlignment="1">
      <alignment horizontal="center"/>
    </xf>
    <xf numFmtId="0" fontId="9" fillId="9" borderId="13" xfId="0" quotePrefix="1" applyFont="1" applyFill="1" applyBorder="1" applyAlignment="1">
      <alignment horizontal="center"/>
    </xf>
    <xf numFmtId="0" fontId="7" fillId="3" borderId="41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3" borderId="43" xfId="0" applyFont="1" applyFill="1" applyBorder="1" applyAlignment="1">
      <alignment horizontal="center"/>
    </xf>
    <xf numFmtId="3" fontId="7" fillId="3" borderId="41" xfId="0" applyNumberFormat="1" applyFont="1" applyFill="1" applyBorder="1" applyAlignment="1">
      <alignment horizontal="center"/>
    </xf>
    <xf numFmtId="3" fontId="7" fillId="3" borderId="44" xfId="0" applyNumberFormat="1" applyFont="1" applyFill="1" applyBorder="1" applyAlignment="1">
      <alignment horizontal="center"/>
    </xf>
    <xf numFmtId="0" fontId="7" fillId="3" borderId="45" xfId="0" applyFont="1" applyFill="1" applyBorder="1" applyAlignment="1">
      <alignment horizontal="center"/>
    </xf>
    <xf numFmtId="3" fontId="7" fillId="3" borderId="46" xfId="0" applyNumberFormat="1" applyFont="1" applyFill="1" applyBorder="1" applyAlignment="1">
      <alignment horizontal="center"/>
    </xf>
    <xf numFmtId="3" fontId="7" fillId="3" borderId="43" xfId="0" applyNumberFormat="1" applyFont="1" applyFill="1" applyBorder="1" applyAlignment="1">
      <alignment horizontal="center"/>
    </xf>
    <xf numFmtId="164" fontId="7" fillId="3" borderId="47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3" fontId="2" fillId="2" borderId="2" xfId="0" applyNumberFormat="1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16" fontId="5" fillId="9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vertical="center"/>
    </xf>
    <xf numFmtId="14" fontId="14" fillId="2" borderId="1" xfId="0" applyNumberFormat="1" applyFont="1" applyFill="1" applyBorder="1" applyAlignment="1">
      <alignment horizontal="center" vertical="center"/>
    </xf>
    <xf numFmtId="16" fontId="5" fillId="10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" fontId="5" fillId="1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7" borderId="1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66" fontId="7" fillId="13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15" fillId="3" borderId="9" xfId="0" applyFont="1" applyFill="1" applyBorder="1" applyAlignment="1">
      <alignment horizontal="center" vertical="center" wrapText="1"/>
    </xf>
    <xf numFmtId="0" fontId="16" fillId="3" borderId="9" xfId="0" applyFont="1" applyFill="1" applyBorder="1" applyAlignment="1">
      <alignment horizontal="center" vertical="center" wrapText="1"/>
    </xf>
    <xf numFmtId="0" fontId="16" fillId="3" borderId="52" xfId="0" applyFont="1" applyFill="1" applyBorder="1" applyAlignment="1">
      <alignment horizontal="center" vertical="center" wrapText="1"/>
    </xf>
    <xf numFmtId="167" fontId="16" fillId="14" borderId="53" xfId="0" applyNumberFormat="1" applyFont="1" applyFill="1" applyBorder="1" applyAlignment="1">
      <alignment horizontal="center" vertical="center" wrapText="1"/>
    </xf>
    <xf numFmtId="167" fontId="16" fillId="14" borderId="9" xfId="0" applyNumberFormat="1" applyFont="1" applyFill="1" applyBorder="1" applyAlignment="1">
      <alignment horizontal="center" vertical="center" wrapText="1"/>
    </xf>
    <xf numFmtId="167" fontId="16" fillId="14" borderId="54" xfId="0" applyNumberFormat="1" applyFont="1" applyFill="1" applyBorder="1" applyAlignment="1">
      <alignment horizontal="center" vertical="center" wrapText="1"/>
    </xf>
    <xf numFmtId="166" fontId="16" fillId="14" borderId="55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1" xfId="0" quotePrefix="1" applyFont="1" applyFill="1" applyBorder="1" applyAlignment="1">
      <alignment horizontal="center" vertical="center" shrinkToFit="1"/>
    </xf>
    <xf numFmtId="164" fontId="17" fillId="0" borderId="56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0" borderId="57" xfId="0" applyNumberFormat="1" applyFont="1" applyBorder="1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0" fontId="18" fillId="2" borderId="1" xfId="0" applyFont="1" applyFill="1" applyBorder="1" applyAlignment="1">
      <alignment vertical="center" shrinkToFit="1"/>
    </xf>
    <xf numFmtId="0" fontId="18" fillId="2" borderId="1" xfId="0" applyFont="1" applyFill="1" applyBorder="1" applyAlignment="1">
      <alignment horizontal="center" vertical="center" shrinkToFit="1"/>
    </xf>
    <xf numFmtId="164" fontId="17" fillId="9" borderId="58" xfId="0" applyNumberFormat="1" applyFont="1" applyFill="1" applyBorder="1" applyAlignment="1">
      <alignment horizontal="center" vertical="center"/>
    </xf>
    <xf numFmtId="164" fontId="17" fillId="9" borderId="1" xfId="0" applyNumberFormat="1" applyFont="1" applyFill="1" applyBorder="1" applyAlignment="1">
      <alignment horizontal="center" vertical="center"/>
    </xf>
    <xf numFmtId="164" fontId="17" fillId="12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vertical="center" shrinkToFit="1"/>
    </xf>
    <xf numFmtId="0" fontId="18" fillId="15" borderId="1" xfId="0" applyFont="1" applyFill="1" applyBorder="1" applyAlignment="1">
      <alignment horizontal="center" vertical="center" shrinkToFit="1"/>
    </xf>
    <xf numFmtId="164" fontId="18" fillId="15" borderId="58" xfId="0" applyNumberFormat="1" applyFont="1" applyFill="1" applyBorder="1" applyAlignment="1">
      <alignment horizontal="center" vertical="center" shrinkToFit="1"/>
    </xf>
    <xf numFmtId="164" fontId="18" fillId="15" borderId="1" xfId="0" applyNumberFormat="1" applyFont="1" applyFill="1" applyBorder="1" applyAlignment="1">
      <alignment horizontal="center" vertical="center" shrinkToFit="1"/>
    </xf>
    <xf numFmtId="164" fontId="18" fillId="15" borderId="59" xfId="0" applyNumberFormat="1" applyFont="1" applyFill="1" applyBorder="1" applyAlignment="1">
      <alignment horizontal="center" vertical="center" shrinkToFit="1"/>
    </xf>
    <xf numFmtId="164" fontId="19" fillId="2" borderId="1" xfId="0" applyNumberFormat="1" applyFont="1" applyFill="1" applyBorder="1" applyAlignment="1">
      <alignment vertical="center"/>
    </xf>
    <xf numFmtId="0" fontId="17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 shrinkToFit="1"/>
    </xf>
    <xf numFmtId="0" fontId="17" fillId="0" borderId="0" xfId="0" quotePrefix="1" applyFont="1" applyAlignment="1">
      <alignment horizontal="center" vertical="center" shrinkToFit="1"/>
    </xf>
    <xf numFmtId="164" fontId="17" fillId="10" borderId="1" xfId="0" applyNumberFormat="1" applyFont="1" applyFill="1" applyBorder="1" applyAlignment="1">
      <alignment horizontal="center" vertical="center"/>
    </xf>
    <xf numFmtId="164" fontId="17" fillId="16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vertical="center"/>
    </xf>
    <xf numFmtId="164" fontId="17" fillId="10" borderId="58" xfId="0" applyNumberFormat="1" applyFont="1" applyFill="1" applyBorder="1" applyAlignment="1">
      <alignment horizontal="center" vertical="center"/>
    </xf>
    <xf numFmtId="164" fontId="17" fillId="10" borderId="59" xfId="0" applyNumberFormat="1" applyFont="1" applyFill="1" applyBorder="1" applyAlignment="1">
      <alignment horizontal="center" vertical="center"/>
    </xf>
    <xf numFmtId="164" fontId="17" fillId="12" borderId="58" xfId="0" applyNumberFormat="1" applyFont="1" applyFill="1" applyBorder="1" applyAlignment="1">
      <alignment horizontal="center" vertical="center"/>
    </xf>
    <xf numFmtId="164" fontId="17" fillId="16" borderId="59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4" fontId="18" fillId="10" borderId="1" xfId="0" applyNumberFormat="1" applyFont="1" applyFill="1" applyBorder="1" applyAlignment="1">
      <alignment horizontal="center" vertical="center"/>
    </xf>
    <xf numFmtId="164" fontId="17" fillId="9" borderId="59" xfId="0" applyNumberFormat="1" applyFont="1" applyFill="1" applyBorder="1" applyAlignment="1">
      <alignment horizontal="center" vertical="center"/>
    </xf>
    <xf numFmtId="164" fontId="17" fillId="12" borderId="59" xfId="0" applyNumberFormat="1" applyFont="1" applyFill="1" applyBorder="1" applyAlignment="1">
      <alignment horizontal="center" vertical="center"/>
    </xf>
    <xf numFmtId="164" fontId="17" fillId="0" borderId="60" xfId="0" applyNumberFormat="1" applyFont="1" applyBorder="1" applyAlignment="1">
      <alignment horizontal="center" vertical="center"/>
    </xf>
    <xf numFmtId="164" fontId="17" fillId="9" borderId="61" xfId="0" applyNumberFormat="1" applyFont="1" applyFill="1" applyBorder="1" applyAlignment="1">
      <alignment horizontal="center" vertical="center"/>
    </xf>
    <xf numFmtId="164" fontId="18" fillId="10" borderId="61" xfId="0" applyNumberFormat="1" applyFont="1" applyFill="1" applyBorder="1" applyAlignment="1">
      <alignment horizontal="center" vertical="center"/>
    </xf>
    <xf numFmtId="164" fontId="17" fillId="10" borderId="61" xfId="0" applyNumberFormat="1" applyFont="1" applyFill="1" applyBorder="1" applyAlignment="1">
      <alignment horizontal="center" vertical="center"/>
    </xf>
    <xf numFmtId="164" fontId="17" fillId="0" borderId="61" xfId="0" applyNumberFormat="1" applyFont="1" applyBorder="1" applyAlignment="1">
      <alignment horizontal="center" vertical="center"/>
    </xf>
    <xf numFmtId="164" fontId="17" fillId="10" borderId="62" xfId="0" applyNumberFormat="1" applyFont="1" applyFill="1" applyBorder="1" applyAlignment="1">
      <alignment horizontal="center" vertical="center"/>
    </xf>
    <xf numFmtId="164" fontId="17" fillId="12" borderId="61" xfId="0" applyNumberFormat="1" applyFont="1" applyFill="1" applyBorder="1" applyAlignment="1">
      <alignment horizontal="center" vertical="center"/>
    </xf>
    <xf numFmtId="164" fontId="17" fillId="2" borderId="61" xfId="0" applyNumberFormat="1" applyFont="1" applyFill="1" applyBorder="1" applyAlignment="1">
      <alignment horizontal="center" vertical="center"/>
    </xf>
    <xf numFmtId="164" fontId="18" fillId="9" borderId="61" xfId="0" applyNumberFormat="1" applyFont="1" applyFill="1" applyBorder="1" applyAlignment="1">
      <alignment horizontal="center" vertical="center"/>
    </xf>
    <xf numFmtId="164" fontId="18" fillId="12" borderId="61" xfId="0" applyNumberFormat="1" applyFont="1" applyFill="1" applyBorder="1" applyAlignment="1">
      <alignment horizontal="center" vertical="center"/>
    </xf>
    <xf numFmtId="164" fontId="17" fillId="0" borderId="62" xfId="0" applyNumberFormat="1" applyFont="1" applyBorder="1" applyAlignment="1">
      <alignment horizontal="center" vertical="center"/>
    </xf>
    <xf numFmtId="0" fontId="17" fillId="2" borderId="63" xfId="0" applyFont="1" applyFill="1" applyBorder="1" applyAlignment="1">
      <alignment vertical="center" shrinkToFit="1"/>
    </xf>
    <xf numFmtId="0" fontId="17" fillId="2" borderId="63" xfId="0" applyFont="1" applyFill="1" applyBorder="1" applyAlignment="1">
      <alignment horizontal="center" vertical="center" shrinkToFit="1"/>
    </xf>
    <xf numFmtId="0" fontId="17" fillId="2" borderId="64" xfId="0" applyFont="1" applyFill="1" applyBorder="1" applyAlignment="1">
      <alignment vertical="center" shrinkToFit="1"/>
    </xf>
    <xf numFmtId="0" fontId="17" fillId="17" borderId="1" xfId="0" applyFont="1" applyFill="1" applyBorder="1" applyAlignment="1">
      <alignment vertical="center" shrinkToFit="1"/>
    </xf>
    <xf numFmtId="0" fontId="17" fillId="2" borderId="64" xfId="0" applyFont="1" applyFill="1" applyBorder="1" applyAlignment="1">
      <alignment horizontal="center" vertical="center" shrinkToFit="1"/>
    </xf>
    <xf numFmtId="0" fontId="17" fillId="2" borderId="64" xfId="0" quotePrefix="1" applyFont="1" applyFill="1" applyBorder="1" applyAlignment="1">
      <alignment horizontal="center" vertical="center" shrinkToFit="1"/>
    </xf>
    <xf numFmtId="0" fontId="18" fillId="2" borderId="64" xfId="0" applyFont="1" applyFill="1" applyBorder="1" applyAlignment="1">
      <alignment vertical="center" shrinkToFit="1"/>
    </xf>
    <xf numFmtId="1" fontId="17" fillId="2" borderId="1" xfId="0" applyNumberFormat="1" applyFont="1" applyFill="1" applyBorder="1" applyAlignment="1">
      <alignment horizontal="center" vertical="center"/>
    </xf>
    <xf numFmtId="0" fontId="20" fillId="0" borderId="65" xfId="0" applyFont="1" applyBorder="1"/>
    <xf numFmtId="0" fontId="20" fillId="0" borderId="66" xfId="0" applyFont="1" applyBorder="1" applyAlignment="1">
      <alignment horizontal="center"/>
    </xf>
    <xf numFmtId="0" fontId="20" fillId="0" borderId="67" xfId="0" applyFont="1" applyBorder="1" applyAlignment="1">
      <alignment horizontal="center"/>
    </xf>
    <xf numFmtId="0" fontId="21" fillId="0" borderId="68" xfId="0" applyFont="1" applyBorder="1"/>
    <xf numFmtId="0" fontId="21" fillId="0" borderId="0" xfId="0" applyFont="1"/>
    <xf numFmtId="0" fontId="21" fillId="0" borderId="69" xfId="0" applyFont="1" applyBorder="1"/>
    <xf numFmtId="164" fontId="21" fillId="0" borderId="69" xfId="0" applyNumberFormat="1" applyFont="1" applyBorder="1"/>
    <xf numFmtId="0" fontId="2" fillId="0" borderId="0" xfId="0" applyFont="1" applyAlignment="1">
      <alignment horizontal="center"/>
    </xf>
    <xf numFmtId="0" fontId="7" fillId="18" borderId="71" xfId="0" applyFont="1" applyFill="1" applyBorder="1" applyAlignment="1">
      <alignment horizontal="center" vertical="center"/>
    </xf>
    <xf numFmtId="3" fontId="7" fillId="18" borderId="71" xfId="0" applyNumberFormat="1" applyFont="1" applyFill="1" applyBorder="1" applyAlignment="1">
      <alignment horizontal="center" vertical="center"/>
    </xf>
    <xf numFmtId="3" fontId="5" fillId="16" borderId="71" xfId="0" applyNumberFormat="1" applyFont="1" applyFill="1" applyBorder="1" applyAlignment="1">
      <alignment horizontal="center"/>
    </xf>
    <xf numFmtId="0" fontId="2" fillId="0" borderId="71" xfId="0" applyFont="1" applyBorder="1" applyAlignment="1">
      <alignment horizontal="center"/>
    </xf>
    <xf numFmtId="3" fontId="5" fillId="0" borderId="71" xfId="0" applyNumberFormat="1" applyFont="1" applyBorder="1" applyAlignment="1">
      <alignment horizontal="center"/>
    </xf>
    <xf numFmtId="3" fontId="2" fillId="0" borderId="71" xfId="0" applyNumberFormat="1" applyFont="1" applyBorder="1" applyAlignment="1">
      <alignment horizontal="center"/>
    </xf>
    <xf numFmtId="0" fontId="2" fillId="2" borderId="71" xfId="0" applyFont="1" applyFill="1" applyBorder="1" applyAlignment="1">
      <alignment horizontal="center"/>
    </xf>
    <xf numFmtId="3" fontId="2" fillId="0" borderId="71" xfId="0" applyNumberFormat="1" applyFont="1" applyBorder="1" applyAlignment="1">
      <alignment horizontal="center" vertical="center"/>
    </xf>
    <xf numFmtId="3" fontId="5" fillId="0" borderId="71" xfId="0" applyNumberFormat="1" applyFont="1" applyBorder="1" applyAlignment="1">
      <alignment horizontal="center" vertical="center"/>
    </xf>
    <xf numFmtId="0" fontId="20" fillId="0" borderId="66" xfId="0" applyFont="1" applyBorder="1"/>
    <xf numFmtId="0" fontId="20" fillId="0" borderId="67" xfId="0" applyFont="1" applyBorder="1"/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72" xfId="0" applyFont="1" applyBorder="1" applyAlignment="1">
      <alignment horizontal="center"/>
    </xf>
    <xf numFmtId="0" fontId="21" fillId="0" borderId="73" xfId="0" applyFont="1" applyBorder="1"/>
    <xf numFmtId="0" fontId="21" fillId="0" borderId="74" xfId="0" applyFont="1" applyBorder="1"/>
    <xf numFmtId="0" fontId="21" fillId="12" borderId="1" xfId="0" applyFont="1" applyFill="1" applyBorder="1"/>
    <xf numFmtId="0" fontId="20" fillId="7" borderId="1" xfId="0" applyFont="1" applyFill="1" applyBorder="1"/>
    <xf numFmtId="0" fontId="5" fillId="9" borderId="71" xfId="0" applyFont="1" applyFill="1" applyBorder="1" applyAlignment="1">
      <alignment horizontal="center" vertical="center"/>
    </xf>
    <xf numFmtId="0" fontId="2" fillId="0" borderId="71" xfId="0" applyFont="1" applyBorder="1" applyAlignment="1">
      <alignment vertical="center"/>
    </xf>
    <xf numFmtId="0" fontId="2" fillId="0" borderId="71" xfId="0" applyFont="1" applyBorder="1"/>
    <xf numFmtId="0" fontId="2" fillId="2" borderId="71" xfId="0" applyFont="1" applyFill="1" applyBorder="1" applyAlignment="1">
      <alignment vertical="center"/>
    </xf>
    <xf numFmtId="0" fontId="2" fillId="2" borderId="71" xfId="0" applyFont="1" applyFill="1" applyBorder="1" applyAlignment="1">
      <alignment horizontal="center" vertical="center"/>
    </xf>
    <xf numFmtId="0" fontId="2" fillId="2" borderId="71" xfId="0" applyFont="1" applyFill="1" applyBorder="1" applyAlignment="1">
      <alignment vertical="center" wrapText="1"/>
    </xf>
    <xf numFmtId="164" fontId="5" fillId="19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4" fontId="7" fillId="13" borderId="1" xfId="0" applyNumberFormat="1" applyFont="1" applyFill="1" applyBorder="1" applyAlignment="1">
      <alignment vertical="center"/>
    </xf>
    <xf numFmtId="0" fontId="16" fillId="14" borderId="75" xfId="0" applyFont="1" applyFill="1" applyBorder="1" applyAlignment="1">
      <alignment horizontal="center" vertical="center" wrapText="1"/>
    </xf>
    <xf numFmtId="167" fontId="16" fillId="14" borderId="76" xfId="0" applyNumberFormat="1" applyFont="1" applyFill="1" applyBorder="1" applyAlignment="1">
      <alignment horizontal="center" vertical="center" wrapText="1"/>
    </xf>
    <xf numFmtId="167" fontId="16" fillId="14" borderId="77" xfId="0" applyNumberFormat="1" applyFont="1" applyFill="1" applyBorder="1" applyAlignment="1">
      <alignment horizontal="center" vertical="center" wrapText="1"/>
    </xf>
    <xf numFmtId="167" fontId="16" fillId="14" borderId="78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shrinkToFit="1"/>
    </xf>
    <xf numFmtId="0" fontId="17" fillId="0" borderId="79" xfId="0" applyFont="1" applyBorder="1" applyAlignment="1">
      <alignment horizontal="center" vertical="center"/>
    </xf>
    <xf numFmtId="164" fontId="17" fillId="0" borderId="80" xfId="0" applyNumberFormat="1" applyFont="1" applyBorder="1" applyAlignment="1">
      <alignment horizontal="center" vertical="center"/>
    </xf>
    <xf numFmtId="164" fontId="17" fillId="0" borderId="81" xfId="0" applyNumberFormat="1" applyFont="1" applyBorder="1" applyAlignment="1">
      <alignment horizontal="center" vertical="center"/>
    </xf>
    <xf numFmtId="164" fontId="17" fillId="0" borderId="82" xfId="0" applyNumberFormat="1" applyFont="1" applyBorder="1" applyAlignment="1">
      <alignment horizontal="center" vertical="center"/>
    </xf>
    <xf numFmtId="166" fontId="18" fillId="0" borderId="80" xfId="0" applyNumberFormat="1" applyFont="1" applyBorder="1" applyAlignment="1">
      <alignment horizontal="center" vertical="center"/>
    </xf>
    <xf numFmtId="164" fontId="17" fillId="0" borderId="79" xfId="0" applyNumberFormat="1" applyFont="1" applyBorder="1" applyAlignment="1">
      <alignment horizontal="center" vertical="center"/>
    </xf>
    <xf numFmtId="164" fontId="18" fillId="0" borderId="80" xfId="0" applyNumberFormat="1" applyFont="1" applyBorder="1" applyAlignment="1">
      <alignment horizontal="center" vertical="center"/>
    </xf>
    <xf numFmtId="164" fontId="17" fillId="9" borderId="83" xfId="0" applyNumberFormat="1" applyFont="1" applyFill="1" applyBorder="1" applyAlignment="1">
      <alignment horizontal="center" vertical="center"/>
    </xf>
    <xf numFmtId="164" fontId="17" fillId="9" borderId="81" xfId="0" applyNumberFormat="1" applyFont="1" applyFill="1" applyBorder="1" applyAlignment="1">
      <alignment horizontal="center" vertical="center"/>
    </xf>
    <xf numFmtId="164" fontId="17" fillId="12" borderId="81" xfId="0" applyNumberFormat="1" applyFont="1" applyFill="1" applyBorder="1" applyAlignment="1">
      <alignment horizontal="center" vertical="center"/>
    </xf>
    <xf numFmtId="164" fontId="18" fillId="15" borderId="79" xfId="0" applyNumberFormat="1" applyFont="1" applyFill="1" applyBorder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7" fillId="0" borderId="0" xfId="0" applyFont="1" applyAlignment="1">
      <alignment horizontal="left" vertical="center" shrinkToFit="1"/>
    </xf>
    <xf numFmtId="164" fontId="18" fillId="9" borderId="81" xfId="0" applyNumberFormat="1" applyFont="1" applyFill="1" applyBorder="1" applyAlignment="1">
      <alignment horizontal="center" vertical="center"/>
    </xf>
    <xf numFmtId="164" fontId="17" fillId="9" borderId="82" xfId="0" applyNumberFormat="1" applyFont="1" applyFill="1" applyBorder="1" applyAlignment="1">
      <alignment horizontal="center" vertical="center"/>
    </xf>
    <xf numFmtId="164" fontId="17" fillId="10" borderId="81" xfId="0" applyNumberFormat="1" applyFont="1" applyFill="1" applyBorder="1" applyAlignment="1">
      <alignment horizontal="center" vertical="center"/>
    </xf>
    <xf numFmtId="164" fontId="17" fillId="12" borderId="83" xfId="0" applyNumberFormat="1" applyFont="1" applyFill="1" applyBorder="1" applyAlignment="1">
      <alignment horizontal="center" vertical="center"/>
    </xf>
    <xf numFmtId="164" fontId="17" fillId="16" borderId="83" xfId="0" applyNumberFormat="1" applyFont="1" applyFill="1" applyBorder="1" applyAlignment="1">
      <alignment horizontal="center" vertical="center"/>
    </xf>
    <xf numFmtId="164" fontId="17" fillId="16" borderId="81" xfId="0" applyNumberFormat="1" applyFont="1" applyFill="1" applyBorder="1" applyAlignment="1">
      <alignment horizontal="center" vertical="center"/>
    </xf>
    <xf numFmtId="164" fontId="17" fillId="16" borderId="82" xfId="0" applyNumberFormat="1" applyFont="1" applyFill="1" applyBorder="1" applyAlignment="1">
      <alignment horizontal="center" vertical="center"/>
    </xf>
    <xf numFmtId="164" fontId="5" fillId="9" borderId="81" xfId="0" applyNumberFormat="1" applyFont="1" applyFill="1" applyBorder="1" applyAlignment="1">
      <alignment horizontal="center" vertical="center"/>
    </xf>
    <xf numFmtId="164" fontId="18" fillId="0" borderId="81" xfId="0" applyNumberFormat="1" applyFont="1" applyBorder="1" applyAlignment="1">
      <alignment horizontal="center" vertical="center"/>
    </xf>
    <xf numFmtId="164" fontId="18" fillId="10" borderId="81" xfId="0" applyNumberFormat="1" applyFont="1" applyFill="1" applyBorder="1" applyAlignment="1">
      <alignment horizontal="center" vertical="center"/>
    </xf>
    <xf numFmtId="164" fontId="5" fillId="9" borderId="82" xfId="0" applyNumberFormat="1" applyFont="1" applyFill="1" applyBorder="1" applyAlignment="1">
      <alignment horizontal="center" vertical="center"/>
    </xf>
    <xf numFmtId="164" fontId="17" fillId="12" borderId="82" xfId="0" applyNumberFormat="1" applyFont="1" applyFill="1" applyBorder="1" applyAlignment="1">
      <alignment horizontal="center" vertical="center"/>
    </xf>
    <xf numFmtId="164" fontId="17" fillId="10" borderId="82" xfId="0" applyNumberFormat="1" applyFont="1" applyFill="1" applyBorder="1" applyAlignment="1">
      <alignment horizontal="center" vertical="center"/>
    </xf>
    <xf numFmtId="164" fontId="17" fillId="2" borderId="81" xfId="0" applyNumberFormat="1" applyFont="1" applyFill="1" applyBorder="1" applyAlignment="1">
      <alignment horizontal="center" vertical="center"/>
    </xf>
    <xf numFmtId="164" fontId="18" fillId="12" borderId="81" xfId="0" applyNumberFormat="1" applyFont="1" applyFill="1" applyBorder="1" applyAlignment="1">
      <alignment horizontal="center" vertical="center"/>
    </xf>
    <xf numFmtId="164" fontId="18" fillId="9" borderId="82" xfId="0" applyNumberFormat="1" applyFont="1" applyFill="1" applyBorder="1" applyAlignment="1">
      <alignment horizontal="center" vertical="center"/>
    </xf>
    <xf numFmtId="164" fontId="17" fillId="2" borderId="79" xfId="0" applyNumberFormat="1" applyFont="1" applyFill="1" applyBorder="1" applyAlignment="1">
      <alignment horizontal="center" vertical="center"/>
    </xf>
    <xf numFmtId="164" fontId="18" fillId="2" borderId="83" xfId="0" applyNumberFormat="1" applyFont="1" applyFill="1" applyBorder="1" applyAlignment="1">
      <alignment horizontal="center" vertical="center"/>
    </xf>
    <xf numFmtId="164" fontId="17" fillId="10" borderId="83" xfId="0" applyNumberFormat="1" applyFont="1" applyFill="1" applyBorder="1" applyAlignment="1">
      <alignment horizontal="center" vertical="center"/>
    </xf>
    <xf numFmtId="164" fontId="18" fillId="2" borderId="79" xfId="0" applyNumberFormat="1" applyFont="1" applyFill="1" applyBorder="1" applyAlignment="1">
      <alignment horizontal="center" vertical="center"/>
    </xf>
    <xf numFmtId="0" fontId="17" fillId="2" borderId="64" xfId="0" applyFont="1" applyFill="1" applyBorder="1" applyAlignment="1">
      <alignment horizontal="left" vertical="center" shrinkToFit="1"/>
    </xf>
    <xf numFmtId="164" fontId="18" fillId="0" borderId="79" xfId="0" applyNumberFormat="1" applyFont="1" applyBorder="1" applyAlignment="1">
      <alignment horizontal="center" vertical="center"/>
    </xf>
    <xf numFmtId="164" fontId="22" fillId="0" borderId="79" xfId="0" applyNumberFormat="1" applyFont="1" applyBorder="1" applyAlignment="1">
      <alignment horizontal="center" vertical="center"/>
    </xf>
    <xf numFmtId="164" fontId="18" fillId="15" borderId="84" xfId="0" applyNumberFormat="1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horizontal="center" vertical="center"/>
    </xf>
    <xf numFmtId="1" fontId="18" fillId="10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17" fillId="10" borderId="1" xfId="0" applyFont="1" applyFill="1" applyBorder="1" applyAlignment="1">
      <alignment horizontal="center" vertical="center"/>
    </xf>
    <xf numFmtId="1" fontId="17" fillId="10" borderId="1" xfId="0" applyNumberFormat="1" applyFont="1" applyFill="1" applyBorder="1" applyAlignment="1">
      <alignment horizontal="center" vertical="center"/>
    </xf>
    <xf numFmtId="166" fontId="23" fillId="2" borderId="1" xfId="0" applyNumberFormat="1" applyFont="1" applyFill="1" applyBorder="1" applyAlignment="1">
      <alignment vertical="center"/>
    </xf>
    <xf numFmtId="1" fontId="24" fillId="10" borderId="1" xfId="0" applyNumberFormat="1" applyFont="1" applyFill="1" applyBorder="1" applyAlignment="1">
      <alignment horizontal="center" vertical="center"/>
    </xf>
    <xf numFmtId="1" fontId="25" fillId="13" borderId="1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vertical="center" wrapText="1"/>
    </xf>
    <xf numFmtId="1" fontId="2" fillId="2" borderId="1" xfId="0" applyNumberFormat="1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/>
    </xf>
    <xf numFmtId="0" fontId="6" fillId="0" borderId="12" xfId="0" applyFont="1" applyBorder="1"/>
    <xf numFmtId="0" fontId="7" fillId="3" borderId="6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7" fillId="3" borderId="7" xfId="0" applyFont="1" applyFill="1" applyBorder="1" applyAlignment="1">
      <alignment horizontal="center" vertical="center"/>
    </xf>
    <xf numFmtId="0" fontId="6" fillId="0" borderId="8" xfId="0" applyFont="1" applyBorder="1"/>
    <xf numFmtId="3" fontId="10" fillId="9" borderId="29" xfId="0" applyNumberFormat="1" applyFont="1" applyFill="1" applyBorder="1" applyAlignment="1">
      <alignment horizontal="center" vertical="center"/>
    </xf>
    <xf numFmtId="0" fontId="6" fillId="0" borderId="32" xfId="0" applyFont="1" applyBorder="1"/>
    <xf numFmtId="0" fontId="6" fillId="0" borderId="34" xfId="0" applyFont="1" applyBorder="1"/>
    <xf numFmtId="3" fontId="10" fillId="0" borderId="29" xfId="0" applyNumberFormat="1" applyFont="1" applyBorder="1" applyAlignment="1">
      <alignment horizontal="center" vertical="center"/>
    </xf>
    <xf numFmtId="3" fontId="10" fillId="9" borderId="38" xfId="0" applyNumberFormat="1" applyFont="1" applyFill="1" applyBorder="1" applyAlignment="1">
      <alignment horizontal="center" vertical="center"/>
    </xf>
    <xf numFmtId="0" fontId="6" fillId="0" borderId="39" xfId="0" applyFont="1" applyBorder="1"/>
    <xf numFmtId="0" fontId="6" fillId="0" borderId="40" xfId="0" applyFont="1" applyBorder="1"/>
    <xf numFmtId="3" fontId="10" fillId="2" borderId="29" xfId="0" applyNumberFormat="1" applyFont="1" applyFill="1" applyBorder="1" applyAlignment="1">
      <alignment horizontal="center" vertical="center"/>
    </xf>
    <xf numFmtId="3" fontId="10" fillId="0" borderId="31" xfId="0" applyNumberFormat="1" applyFont="1" applyBorder="1" applyAlignment="1">
      <alignment horizontal="center" vertical="center"/>
    </xf>
    <xf numFmtId="0" fontId="6" fillId="0" borderId="33" xfId="0" applyFont="1" applyBorder="1"/>
    <xf numFmtId="0" fontId="6" fillId="0" borderId="35" xfId="0" applyFont="1" applyBorder="1"/>
    <xf numFmtId="3" fontId="10" fillId="2" borderId="38" xfId="0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/>
    <xf numFmtId="0" fontId="13" fillId="2" borderId="48" xfId="0" applyFont="1" applyFill="1" applyBorder="1" applyAlignment="1">
      <alignment horizontal="center" vertical="center"/>
    </xf>
    <xf numFmtId="0" fontId="6" fillId="0" borderId="49" xfId="0" applyFont="1" applyBorder="1"/>
    <xf numFmtId="0" fontId="6" fillId="0" borderId="50" xfId="0" applyFont="1" applyBorder="1"/>
    <xf numFmtId="0" fontId="6" fillId="0" borderId="51" xfId="0" applyFont="1" applyBorder="1"/>
    <xf numFmtId="0" fontId="5" fillId="0" borderId="70" xfId="0" applyFont="1" applyBorder="1" applyAlignment="1">
      <alignment horizontal="center"/>
    </xf>
    <xf numFmtId="0" fontId="6" fillId="0" borderId="70" xfId="0" applyFont="1" applyBorder="1"/>
  </cellXfs>
  <cellStyles count="1">
    <cellStyle name="Normal" xfId="0" builtinId="0"/>
  </cellStyles>
  <dxfs count="13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eams/3toFly/Shared%20Documents/09.%20G.I%20JOE/PO%20BV1%20Partner/Template%20Weekly%20PO_KPS%2037.xlsx" TargetMode="External"/><Relationship Id="rId1" Type="http://schemas.openxmlformats.org/officeDocument/2006/relationships/externalLinkPath" Target="/teams/3toFly/Shared%20Documents/09.%20G.I%20JOE/PO%20BV1%20Partner/Template%20Weekly%20PO_KPS%20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Historical Qty &amp; Value PO"/>
      <sheetName val="Target DOI"/>
      <sheetName val="SP wk 35-36"/>
      <sheetName val="FCS update kps 36-44"/>
      <sheetName val="price"/>
      <sheetName val="closing Q3"/>
      <sheetName val="SP wk29-30 up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showGridLines="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A4" sqref="A4:A5"/>
    </sheetView>
  </sheetViews>
  <sheetFormatPr defaultColWidth="14.42578125" defaultRowHeight="15" customHeight="1" outlineLevelCol="1"/>
  <cols>
    <col min="1" max="1" width="13.42578125" customWidth="1"/>
    <col min="2" max="2" width="28.28515625" customWidth="1"/>
    <col min="3" max="4" width="14.42578125" customWidth="1"/>
    <col min="5" max="5" width="28.28515625" customWidth="1" outlineLevel="1"/>
    <col min="6" max="6" width="21.5703125" customWidth="1" outlineLevel="1"/>
    <col min="7" max="8" width="16.28515625" customWidth="1" outlineLevel="1"/>
    <col min="9" max="9" width="19.42578125" customWidth="1"/>
    <col min="10" max="23" width="14.7109375" customWidth="1"/>
    <col min="24" max="25" width="10.42578125" customWidth="1"/>
    <col min="26" max="26" width="90.7109375" customWidth="1"/>
    <col min="27" max="29" width="13.42578125" customWidth="1"/>
    <col min="30" max="30" width="8.42578125" customWidth="1"/>
    <col min="31" max="31" width="18.7109375" customWidth="1"/>
  </cols>
  <sheetData>
    <row r="1" spans="1:31" ht="15" hidden="1" customHeight="1">
      <c r="B1" s="1">
        <v>1</v>
      </c>
      <c r="C1" s="1">
        <f t="shared" ref="C1:F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I1" s="1" t="e">
        <f>#REF!+1</f>
        <v>#REF!</v>
      </c>
      <c r="J1" s="1" t="e">
        <f>I1+1</f>
        <v>#REF!</v>
      </c>
      <c r="L1" s="1" t="e">
        <f>J1+1</f>
        <v>#REF!</v>
      </c>
      <c r="N1" s="1" t="e">
        <f>#REF!+1</f>
        <v>#REF!</v>
      </c>
      <c r="P1" s="1" t="e">
        <f>#REF!+1</f>
        <v>#REF!</v>
      </c>
      <c r="R1" s="1" t="e">
        <f>#REF!+1</f>
        <v>#REF!</v>
      </c>
      <c r="T1" s="2"/>
      <c r="U1" s="2"/>
      <c r="V1" s="2"/>
      <c r="W1" s="2"/>
      <c r="X1" s="3"/>
      <c r="Y1" s="3"/>
      <c r="Z1" s="2"/>
      <c r="AA1" s="4"/>
      <c r="AB1" s="4"/>
      <c r="AC1" s="4"/>
      <c r="AD1" s="2"/>
      <c r="AE1" s="5"/>
    </row>
    <row r="2" spans="1:31" ht="14.25" customHeight="1">
      <c r="A2" s="2"/>
      <c r="B2" s="2"/>
      <c r="C2" s="2">
        <f>'KPS #48'!C2</f>
        <v>48</v>
      </c>
      <c r="D2" s="6"/>
      <c r="E2" s="2"/>
      <c r="F2" s="7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4"/>
      <c r="AC2" s="4"/>
      <c r="AD2" s="2"/>
      <c r="AE2" s="5"/>
    </row>
    <row r="3" spans="1:31" ht="14.25" customHeight="1">
      <c r="A3" s="2"/>
      <c r="B3" s="8">
        <v>44753</v>
      </c>
      <c r="C3" s="9">
        <f ca="1">TODAY()</f>
        <v>46168</v>
      </c>
      <c r="D3" s="2"/>
      <c r="E3" s="2"/>
      <c r="F3" s="2"/>
      <c r="G3" s="5" t="e">
        <f t="shared" ref="G3:H3" ca="1" si="1">SUM(G6:G99)</f>
        <v>#NAME?</v>
      </c>
      <c r="H3" s="10" t="e">
        <f t="shared" ca="1" si="1"/>
        <v>#NAME?</v>
      </c>
      <c r="I3" s="2"/>
      <c r="J3" s="295" t="str">
        <f>"Arrival "&amp;C2&amp;" (in Box)"</f>
        <v>Arrival 48 (in Box)</v>
      </c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7"/>
      <c r="W3" s="11"/>
      <c r="X3" s="10"/>
      <c r="Y3" s="10"/>
      <c r="Z3" s="2"/>
      <c r="AA3" s="4"/>
      <c r="AB3" s="4"/>
      <c r="AC3" s="4"/>
      <c r="AD3" s="2"/>
      <c r="AE3" s="5"/>
    </row>
    <row r="4" spans="1:31" ht="14.25" customHeight="1">
      <c r="A4" s="291" t="s">
        <v>0</v>
      </c>
      <c r="B4" s="291" t="s">
        <v>0</v>
      </c>
      <c r="C4" s="291" t="s">
        <v>1</v>
      </c>
      <c r="D4" s="291" t="s">
        <v>2</v>
      </c>
      <c r="E4" s="291" t="s">
        <v>3</v>
      </c>
      <c r="F4" s="291" t="s">
        <v>4</v>
      </c>
      <c r="G4" s="298" t="s">
        <v>5</v>
      </c>
      <c r="H4" s="299"/>
      <c r="I4" s="291" t="s">
        <v>6</v>
      </c>
      <c r="J4" s="12" t="s">
        <v>7</v>
      </c>
      <c r="K4" s="13" t="s">
        <v>8</v>
      </c>
      <c r="L4" s="14" t="s">
        <v>9</v>
      </c>
      <c r="M4" s="13" t="s">
        <v>8</v>
      </c>
      <c r="N4" s="14" t="s">
        <v>10</v>
      </c>
      <c r="O4" s="13" t="s">
        <v>8</v>
      </c>
      <c r="P4" s="12" t="s">
        <v>11</v>
      </c>
      <c r="Q4" s="13" t="s">
        <v>8</v>
      </c>
      <c r="R4" s="12" t="s">
        <v>12</v>
      </c>
      <c r="S4" s="13" t="s">
        <v>8</v>
      </c>
      <c r="T4" s="12" t="s">
        <v>13</v>
      </c>
      <c r="U4" s="13" t="s">
        <v>8</v>
      </c>
      <c r="V4" s="12" t="s">
        <v>14</v>
      </c>
      <c r="W4" s="13" t="s">
        <v>8</v>
      </c>
      <c r="X4" s="293" t="s">
        <v>15</v>
      </c>
      <c r="Y4" s="293" t="s">
        <v>16</v>
      </c>
      <c r="Z4" s="294" t="s">
        <v>17</v>
      </c>
      <c r="AA4" s="4"/>
      <c r="AB4" s="4"/>
      <c r="AC4" s="4"/>
      <c r="AD4" s="2"/>
      <c r="AE4" s="5"/>
    </row>
    <row r="5" spans="1:31" ht="14.25" customHeight="1">
      <c r="A5" s="292"/>
      <c r="B5" s="292"/>
      <c r="C5" s="292"/>
      <c r="D5" s="292"/>
      <c r="E5" s="292"/>
      <c r="F5" s="292"/>
      <c r="G5" s="15" t="s">
        <v>18</v>
      </c>
      <c r="H5" s="15" t="s">
        <v>19</v>
      </c>
      <c r="I5" s="292"/>
      <c r="J5" s="16">
        <f>'KPS #48'!J5</f>
        <v>45985</v>
      </c>
      <c r="K5" s="17"/>
      <c r="L5" s="18">
        <f>J5+1</f>
        <v>45986</v>
      </c>
      <c r="M5" s="17"/>
      <c r="N5" s="18">
        <f>L5+1</f>
        <v>45987</v>
      </c>
      <c r="O5" s="17"/>
      <c r="P5" s="16">
        <f>N5+1</f>
        <v>45988</v>
      </c>
      <c r="Q5" s="17"/>
      <c r="R5" s="16">
        <f>P5+1</f>
        <v>45989</v>
      </c>
      <c r="S5" s="17"/>
      <c r="T5" s="16">
        <f>R5+1</f>
        <v>45990</v>
      </c>
      <c r="U5" s="17"/>
      <c r="V5" s="16">
        <f>T5+1</f>
        <v>45991</v>
      </c>
      <c r="W5" s="17"/>
      <c r="X5" s="292"/>
      <c r="Y5" s="292"/>
      <c r="Z5" s="292"/>
      <c r="AA5" s="19" t="s">
        <v>20</v>
      </c>
      <c r="AB5" s="19" t="s">
        <v>21</v>
      </c>
      <c r="AC5" s="19" t="s">
        <v>22</v>
      </c>
      <c r="AD5" s="2"/>
      <c r="AE5" s="5"/>
    </row>
    <row r="6" spans="1:31" ht="14.25" customHeight="1">
      <c r="A6" s="20" t="str">
        <f t="shared" ref="A6:A18" si="2">D6</f>
        <v>PSP12</v>
      </c>
      <c r="B6" s="21" t="s">
        <v>23</v>
      </c>
      <c r="C6" s="22" t="s">
        <v>24</v>
      </c>
      <c r="D6" s="22" t="s">
        <v>25</v>
      </c>
      <c r="E6" s="21" t="s">
        <v>26</v>
      </c>
      <c r="F6" s="22" t="s">
        <v>27</v>
      </c>
      <c r="G6" s="23" t="e">
        <f t="array" aca="1" ref="G6" ca="1">_xludf.XLOOKUP(D6,'KPS #48'!D:D,'KPS #48'!G:G,0)</f>
        <v>#NAME?</v>
      </c>
      <c r="H6" s="22" t="e">
        <f t="array" aca="1" ref="H6" ca="1">_xludf.XLOOKUP(D6,'KPS #48'!D:D,'KPS #48'!H:H,0)</f>
        <v>#NAME?</v>
      </c>
      <c r="I6" s="22" t="e">
        <f t="shared" ref="I6:I99" ca="1" si="3">IF(AND(H6=0,G6=0),"No Delivery",IF(COUNTA(J6,L6,N6,P6,R6,T6,V6)=1,"Delivery",IF(COUNTA(J6,L6,N6,P6,R6,T6,V6)&gt;1,"Partial Delivery",IF(COUNTA(J6,L6,N6,P6,R6,T6,V6)=0,"Will be Updated"))))</f>
        <v>#NAME?</v>
      </c>
      <c r="J6" s="24" t="e">
        <f t="array" aca="1" ref="J6" ca="1">_xludf.XLOOKUP(D6,'KPS #48'!D:D,'KPS #48'!J:J,0)</f>
        <v>#NAME?</v>
      </c>
      <c r="K6" s="25" t="e">
        <f t="shared" ref="K6:K99" ca="1" si="4">_xludf.XLOOKUP($D6,#REF!,#REF!,0)</f>
        <v>#NAME?</v>
      </c>
      <c r="L6" s="24" t="e">
        <f t="array" aca="1" ref="L6" ca="1">_xludf.XLOOKUP(D6,'KPS #48'!D:D,'KPS #48'!L:L,0)</f>
        <v>#NAME?</v>
      </c>
      <c r="M6" s="25" t="e">
        <f t="shared" ref="M6:M99" ca="1" si="5">_xludf.XLOOKUP($D6,#REF!,#REF!,0)</f>
        <v>#NAME?</v>
      </c>
      <c r="N6" s="24" t="e">
        <f t="array" aca="1" ref="N6" ca="1">_xludf.XLOOKUP(D6,'KPS #48'!D:D,'KPS #48'!N:N,0)</f>
        <v>#NAME?</v>
      </c>
      <c r="O6" s="25" t="e">
        <f t="shared" ref="O6:O99" ca="1" si="6">_xludf.XLOOKUP($D6,#REF!,#REF!,0)</f>
        <v>#NAME?</v>
      </c>
      <c r="P6" s="24" t="e">
        <f t="array" aca="1" ref="P6" ca="1">_xludf.XLOOKUP(D6,'KPS #48'!D:D,'KPS #48'!P:P,0)</f>
        <v>#NAME?</v>
      </c>
      <c r="Q6" s="25" t="e">
        <f t="shared" ref="Q6:Q99" ca="1" si="7">_xludf.XLOOKUP($D6,#REF!,#REF!,0)</f>
        <v>#NAME?</v>
      </c>
      <c r="R6" s="24" t="e">
        <f t="array" aca="1" ref="R6" ca="1">_xludf.XLOOKUP(D6,'KPS #48'!D:D,'KPS #48'!R:R,0)</f>
        <v>#NAME?</v>
      </c>
      <c r="S6" s="25" t="e">
        <f t="shared" ref="S6:S99" ca="1" si="8">_xludf.XLOOKUP($D6,#REF!,#REF!,0)</f>
        <v>#NAME?</v>
      </c>
      <c r="T6" s="26" t="e">
        <f t="array" aca="1" ref="T6" ca="1">_xludf.XLOOKUP(D6,'KPS #48'!D:D,'KPS #48'!T:T,0)</f>
        <v>#NAME?</v>
      </c>
      <c r="U6" s="25" t="e">
        <f t="shared" ref="U6:U99" ca="1" si="9">_xludf.XLOOKUP($D6,#REF!,#REF!,0)</f>
        <v>#NAME?</v>
      </c>
      <c r="V6" s="24" t="e">
        <f t="array" aca="1" ref="V6" ca="1">_xludf.XLOOKUP(D6,'KPS #48'!D:D,'KPS #48'!V:V,0)</f>
        <v>#NAME?</v>
      </c>
      <c r="W6" s="25" t="e">
        <f t="shared" ref="W6:W99" ca="1" si="10">_xludf.XLOOKUP($D6,#REF!,#REF!,0)</f>
        <v>#NAME?</v>
      </c>
      <c r="X6" s="27" t="e">
        <f t="shared" ref="X6:Y6" ca="1" si="11">SUM(V6,T6,R6,P6,N6,L6,J6)</f>
        <v>#NAME?</v>
      </c>
      <c r="Y6" s="28" t="e">
        <f t="shared" ca="1" si="11"/>
        <v>#NAME?</v>
      </c>
      <c r="Z6" s="22"/>
      <c r="AA6" s="29" t="e">
        <f ca="1">X6*IFERROR(VLOOKUP(D6,'Brand List'!$B:$D,3,0),0)</f>
        <v>#NAME?</v>
      </c>
      <c r="AB6" s="29" t="e">
        <f ca="1">H6*IFERROR(VLOOKUP(D6,'Brand List'!$B:$D,3,0),0)</f>
        <v>#NAME?</v>
      </c>
      <c r="AC6" s="29" t="e">
        <f t="shared" ref="AC6:AC99" ca="1" si="12">AA6-AB6</f>
        <v>#NAME?</v>
      </c>
      <c r="AD6" s="2">
        <f>_xlfn.XLOOKUP(D6,[1]Summary!$E:$E,[1]Summary!$L:$L,0)</f>
        <v>0</v>
      </c>
      <c r="AE6" s="5" t="e">
        <f t="shared" ref="AE6:AE99" ca="1" si="13">AD6*X6</f>
        <v>#NAME?</v>
      </c>
    </row>
    <row r="7" spans="1:31" ht="14.25" customHeight="1">
      <c r="A7" s="20" t="str">
        <f t="shared" si="2"/>
        <v>BGS12</v>
      </c>
      <c r="B7" s="30" t="s">
        <v>28</v>
      </c>
      <c r="C7" s="31" t="s">
        <v>24</v>
      </c>
      <c r="D7" s="32" t="s">
        <v>29</v>
      </c>
      <c r="E7" s="33" t="s">
        <v>30</v>
      </c>
      <c r="F7" s="31" t="s">
        <v>31</v>
      </c>
      <c r="G7" s="34" t="e">
        <f t="array" aca="1" ref="G7" ca="1">_xludf.XLOOKUP(D7,'KPS #48'!D:D,'KPS #48'!G:G,0)</f>
        <v>#NAME?</v>
      </c>
      <c r="H7" s="31" t="e">
        <f t="array" aca="1" ref="H7" ca="1">_xludf.XLOOKUP(D7,'KPS #48'!D:D,'KPS #48'!H:H,0)</f>
        <v>#NAME?</v>
      </c>
      <c r="I7" s="31" t="e">
        <f t="shared" ca="1" si="3"/>
        <v>#NAME?</v>
      </c>
      <c r="J7" s="35" t="e">
        <f t="array" aca="1" ref="J7" ca="1">_xludf.XLOOKUP(D7,'KPS #48'!D:D,'KPS #48'!J:J,0)</f>
        <v>#NAME?</v>
      </c>
      <c r="K7" s="36" t="e">
        <f t="shared" ca="1" si="4"/>
        <v>#NAME?</v>
      </c>
      <c r="L7" s="37" t="e">
        <f t="array" aca="1" ref="L7" ca="1">_xludf.XLOOKUP(D7,'KPS #48'!D:D,'KPS #48'!L:L,0)</f>
        <v>#NAME?</v>
      </c>
      <c r="M7" s="38" t="e">
        <f t="shared" ca="1" si="5"/>
        <v>#NAME?</v>
      </c>
      <c r="N7" s="39" t="e">
        <f t="array" aca="1" ref="N7" ca="1">_xludf.XLOOKUP(D7,'KPS #48'!D:D,'KPS #48'!N:N,0)</f>
        <v>#NAME?</v>
      </c>
      <c r="O7" s="36" t="e">
        <f t="shared" ca="1" si="6"/>
        <v>#NAME?</v>
      </c>
      <c r="P7" s="35" t="e">
        <f t="array" aca="1" ref="P7" ca="1">_xludf.XLOOKUP(D7,'KPS #48'!D:D,'KPS #48'!P:P,0)</f>
        <v>#NAME?</v>
      </c>
      <c r="Q7" s="36" t="e">
        <f t="shared" ca="1" si="7"/>
        <v>#NAME?</v>
      </c>
      <c r="R7" s="35" t="e">
        <f t="array" aca="1" ref="R7" ca="1">_xludf.XLOOKUP(D7,'KPS #48'!D:D,'KPS #48'!R:R,0)</f>
        <v>#NAME?</v>
      </c>
      <c r="S7" s="36" t="e">
        <f t="shared" ca="1" si="8"/>
        <v>#NAME?</v>
      </c>
      <c r="T7" s="35" t="e">
        <f t="array" aca="1" ref="T7" ca="1">_xludf.XLOOKUP(D7,'KPS #48'!D:D,'KPS #48'!T:T,0)</f>
        <v>#NAME?</v>
      </c>
      <c r="U7" s="36" t="e">
        <f t="shared" ca="1" si="9"/>
        <v>#NAME?</v>
      </c>
      <c r="V7" s="35" t="e">
        <f t="array" aca="1" ref="V7" ca="1">_xludf.XLOOKUP(D7,'KPS #48'!D:D,'KPS #48'!V:V,0)</f>
        <v>#NAME?</v>
      </c>
      <c r="W7" s="36" t="e">
        <f t="shared" ca="1" si="10"/>
        <v>#NAME?</v>
      </c>
      <c r="X7" s="40" t="e">
        <f t="shared" ref="X7:Y7" ca="1" si="14">SUM(V7,T7,R7,P7,N7,L7,J7)</f>
        <v>#NAME?</v>
      </c>
      <c r="Y7" s="41" t="e">
        <f t="shared" ca="1" si="14"/>
        <v>#NAME?</v>
      </c>
      <c r="Z7" s="32"/>
      <c r="AA7" s="29" t="e">
        <f ca="1">X7*IFERROR(VLOOKUP(D7,'Brand List'!$B:$D,3,0),0)</f>
        <v>#NAME?</v>
      </c>
      <c r="AB7" s="29" t="e">
        <f ca="1">H7*IFERROR(VLOOKUP(D7,'Brand List'!$B:$D,3,0),0)</f>
        <v>#NAME?</v>
      </c>
      <c r="AC7" s="29" t="e">
        <f t="shared" ca="1" si="12"/>
        <v>#NAME?</v>
      </c>
      <c r="AD7" s="2">
        <f>_xlfn.XLOOKUP(D7,[1]Summary!$E:$E,[1]Summary!$L:$L,0)</f>
        <v>0</v>
      </c>
      <c r="AE7" s="5" t="e">
        <f t="shared" ca="1" si="13"/>
        <v>#NAME?</v>
      </c>
    </row>
    <row r="8" spans="1:31" ht="14.25" customHeight="1">
      <c r="A8" s="20" t="str">
        <f t="shared" si="2"/>
        <v>BSH12</v>
      </c>
      <c r="B8" s="30" t="s">
        <v>28</v>
      </c>
      <c r="C8" s="31" t="s">
        <v>24</v>
      </c>
      <c r="D8" s="32" t="s">
        <v>32</v>
      </c>
      <c r="E8" s="33" t="s">
        <v>33</v>
      </c>
      <c r="F8" s="31" t="s">
        <v>31</v>
      </c>
      <c r="G8" s="34" t="e">
        <f t="array" aca="1" ref="G8" ca="1">_xludf.XLOOKUP(D8,'KPS #48'!D:D,'KPS #48'!G:G,0)</f>
        <v>#NAME?</v>
      </c>
      <c r="H8" s="31" t="e">
        <f t="array" aca="1" ref="H8" ca="1">_xludf.XLOOKUP(D8,'KPS #48'!D:D,'KPS #48'!H:H,0)</f>
        <v>#NAME?</v>
      </c>
      <c r="I8" s="31" t="e">
        <f t="shared" ca="1" si="3"/>
        <v>#NAME?</v>
      </c>
      <c r="J8" s="35" t="e">
        <f t="array" aca="1" ref="J8" ca="1">_xludf.XLOOKUP(D8,'KPS #48'!D:D,'KPS #48'!J:J,0)</f>
        <v>#NAME?</v>
      </c>
      <c r="K8" s="36" t="e">
        <f t="shared" ca="1" si="4"/>
        <v>#NAME?</v>
      </c>
      <c r="L8" s="37" t="e">
        <f t="array" aca="1" ref="L8" ca="1">_xludf.XLOOKUP(D8,'KPS #48'!D:D,'KPS #48'!L:L,0)</f>
        <v>#NAME?</v>
      </c>
      <c r="M8" s="38" t="e">
        <f t="shared" ca="1" si="5"/>
        <v>#NAME?</v>
      </c>
      <c r="N8" s="39" t="e">
        <f t="array" aca="1" ref="N8" ca="1">_xludf.XLOOKUP(D8,'KPS #48'!D:D,'KPS #48'!N:N,0)</f>
        <v>#NAME?</v>
      </c>
      <c r="O8" s="36" t="e">
        <f t="shared" ca="1" si="6"/>
        <v>#NAME?</v>
      </c>
      <c r="P8" s="35" t="e">
        <f t="array" aca="1" ref="P8" ca="1">_xludf.XLOOKUP(D8,'KPS #48'!D:D,'KPS #48'!P:P,0)</f>
        <v>#NAME?</v>
      </c>
      <c r="Q8" s="36" t="e">
        <f t="shared" ca="1" si="7"/>
        <v>#NAME?</v>
      </c>
      <c r="R8" s="35" t="e">
        <f t="array" aca="1" ref="R8" ca="1">_xludf.XLOOKUP(D8,'KPS #48'!D:D,'KPS #48'!R:R,0)</f>
        <v>#NAME?</v>
      </c>
      <c r="S8" s="36" t="e">
        <f t="shared" ca="1" si="8"/>
        <v>#NAME?</v>
      </c>
      <c r="T8" s="35" t="e">
        <f t="array" aca="1" ref="T8" ca="1">_xludf.XLOOKUP(D8,'KPS #48'!D:D,'KPS #48'!T:T,0)</f>
        <v>#NAME?</v>
      </c>
      <c r="U8" s="36" t="e">
        <f t="shared" ca="1" si="9"/>
        <v>#NAME?</v>
      </c>
      <c r="V8" s="35" t="e">
        <f t="array" aca="1" ref="V8" ca="1">_xludf.XLOOKUP(D8,'KPS #48'!D:D,'KPS #48'!V:V,0)</f>
        <v>#NAME?</v>
      </c>
      <c r="W8" s="36" t="e">
        <f t="shared" ca="1" si="10"/>
        <v>#NAME?</v>
      </c>
      <c r="X8" s="40" t="e">
        <f t="shared" ref="X8:Y8" ca="1" si="15">SUM(V8,T8,R8,P8,N8,L8,J8)</f>
        <v>#NAME?</v>
      </c>
      <c r="Y8" s="41" t="e">
        <f t="shared" ca="1" si="15"/>
        <v>#NAME?</v>
      </c>
      <c r="Z8" s="32"/>
      <c r="AA8" s="29" t="e">
        <f ca="1">X8*IFERROR(VLOOKUP(D8,'Brand List'!$B:$D,3,0),0)</f>
        <v>#NAME?</v>
      </c>
      <c r="AB8" s="29" t="e">
        <f ca="1">H8*IFERROR(VLOOKUP(D8,'Brand List'!$B:$D,3,0),0)</f>
        <v>#NAME?</v>
      </c>
      <c r="AC8" s="29" t="e">
        <f t="shared" ca="1" si="12"/>
        <v>#NAME?</v>
      </c>
      <c r="AD8" s="2">
        <f>_xlfn.XLOOKUP(D8,[1]Summary!$E:$E,[1]Summary!$L:$L,0)</f>
        <v>0</v>
      </c>
      <c r="AE8" s="5" t="e">
        <f t="shared" ca="1" si="13"/>
        <v>#NAME?</v>
      </c>
    </row>
    <row r="9" spans="1:31" ht="14.25" customHeight="1">
      <c r="A9" s="20" t="str">
        <f t="shared" si="2"/>
        <v>PRU12</v>
      </c>
      <c r="B9" s="30" t="s">
        <v>28</v>
      </c>
      <c r="C9" s="31" t="s">
        <v>24</v>
      </c>
      <c r="D9" s="32" t="s">
        <v>34</v>
      </c>
      <c r="E9" s="33" t="s">
        <v>35</v>
      </c>
      <c r="F9" s="31" t="s">
        <v>31</v>
      </c>
      <c r="G9" s="34" t="e">
        <f t="array" aca="1" ref="G9" ca="1">_xludf.XLOOKUP(D9,'KPS #48'!D:D,'KPS #48'!G:G,0)</f>
        <v>#NAME?</v>
      </c>
      <c r="H9" s="31" t="e">
        <f t="array" aca="1" ref="H9" ca="1">_xludf.XLOOKUP(D9,'KPS #48'!D:D,'KPS #48'!H:H,0)</f>
        <v>#NAME?</v>
      </c>
      <c r="I9" s="31" t="e">
        <f t="shared" ca="1" si="3"/>
        <v>#NAME?</v>
      </c>
      <c r="J9" s="35" t="e">
        <f t="array" aca="1" ref="J9" ca="1">_xludf.XLOOKUP(D9,'KPS #48'!D:D,'KPS #48'!J:J,0)</f>
        <v>#NAME?</v>
      </c>
      <c r="K9" s="36" t="e">
        <f t="shared" ca="1" si="4"/>
        <v>#NAME?</v>
      </c>
      <c r="L9" s="37" t="e">
        <f t="array" aca="1" ref="L9" ca="1">_xludf.XLOOKUP(D9,'KPS #48'!D:D,'KPS #48'!L:L,0)</f>
        <v>#NAME?</v>
      </c>
      <c r="M9" s="38" t="e">
        <f t="shared" ca="1" si="5"/>
        <v>#NAME?</v>
      </c>
      <c r="N9" s="39" t="e">
        <f t="array" aca="1" ref="N9" ca="1">_xludf.XLOOKUP(D9,'KPS #48'!D:D,'KPS #48'!N:N,0)</f>
        <v>#NAME?</v>
      </c>
      <c r="O9" s="36" t="e">
        <f t="shared" ca="1" si="6"/>
        <v>#NAME?</v>
      </c>
      <c r="P9" s="35" t="e">
        <f t="array" aca="1" ref="P9" ca="1">_xludf.XLOOKUP(D9,'KPS #48'!D:D,'KPS #48'!P:P,0)</f>
        <v>#NAME?</v>
      </c>
      <c r="Q9" s="36" t="e">
        <f t="shared" ca="1" si="7"/>
        <v>#NAME?</v>
      </c>
      <c r="R9" s="35" t="e">
        <f t="array" aca="1" ref="R9" ca="1">_xludf.XLOOKUP(D9,'KPS #48'!D:D,'KPS #48'!R:R,0)</f>
        <v>#NAME?</v>
      </c>
      <c r="S9" s="36" t="e">
        <f t="shared" ca="1" si="8"/>
        <v>#NAME?</v>
      </c>
      <c r="T9" s="35" t="e">
        <f t="array" aca="1" ref="T9" ca="1">_xludf.XLOOKUP(D9,'KPS #48'!D:D,'KPS #48'!T:T,0)</f>
        <v>#NAME?</v>
      </c>
      <c r="U9" s="36" t="e">
        <f t="shared" ca="1" si="9"/>
        <v>#NAME?</v>
      </c>
      <c r="V9" s="35" t="e">
        <f t="array" aca="1" ref="V9" ca="1">_xludf.XLOOKUP(D9,'KPS #48'!D:D,'KPS #48'!V:V,0)</f>
        <v>#NAME?</v>
      </c>
      <c r="W9" s="36" t="e">
        <f t="shared" ca="1" si="10"/>
        <v>#NAME?</v>
      </c>
      <c r="X9" s="40" t="e">
        <f t="shared" ref="X9:Y9" ca="1" si="16">SUM(V9,T9,R9,P9,N9,L9,J9)</f>
        <v>#NAME?</v>
      </c>
      <c r="Y9" s="41" t="e">
        <f t="shared" ca="1" si="16"/>
        <v>#NAME?</v>
      </c>
      <c r="Z9" s="32"/>
      <c r="AA9" s="29" t="e">
        <f ca="1">X9*IFERROR(VLOOKUP(D9,'Brand List'!$B:$D,3,0),0)</f>
        <v>#NAME?</v>
      </c>
      <c r="AB9" s="29" t="e">
        <f ca="1">H9*IFERROR(VLOOKUP(D9,'Brand List'!$B:$D,3,0),0)</f>
        <v>#NAME?</v>
      </c>
      <c r="AC9" s="29" t="e">
        <f t="shared" ca="1" si="12"/>
        <v>#NAME?</v>
      </c>
      <c r="AD9" s="2">
        <f>_xlfn.XLOOKUP(D9,[1]Summary!$E:$E,[1]Summary!$L:$L,0)</f>
        <v>0</v>
      </c>
      <c r="AE9" s="5" t="e">
        <f t="shared" ca="1" si="13"/>
        <v>#NAME?</v>
      </c>
    </row>
    <row r="10" spans="1:31" ht="14.25" customHeight="1">
      <c r="A10" s="20" t="str">
        <f t="shared" si="2"/>
        <v>KAM12</v>
      </c>
      <c r="B10" s="21" t="s">
        <v>36</v>
      </c>
      <c r="C10" s="22" t="s">
        <v>24</v>
      </c>
      <c r="D10" s="22" t="s">
        <v>37</v>
      </c>
      <c r="E10" s="21" t="s">
        <v>38</v>
      </c>
      <c r="F10" s="22" t="s">
        <v>39</v>
      </c>
      <c r="G10" s="23" t="e">
        <f t="array" aca="1" ref="G10" ca="1">_xludf.XLOOKUP(D10,'KPS #48'!D:D,'KPS #48'!G:G,0)</f>
        <v>#NAME?</v>
      </c>
      <c r="H10" s="22" t="e">
        <f t="array" aca="1" ref="H10" ca="1">_xludf.XLOOKUP(D10,'KPS #48'!D:D,'KPS #48'!H:H,0)</f>
        <v>#NAME?</v>
      </c>
      <c r="I10" s="22" t="e">
        <f t="shared" ca="1" si="3"/>
        <v>#NAME?</v>
      </c>
      <c r="J10" s="26" t="e">
        <f t="array" aca="1" ref="J10" ca="1">_xludf.XLOOKUP(D10,'KPS #48'!D:D,'KPS #48'!J:J,0)</f>
        <v>#NAME?</v>
      </c>
      <c r="K10" s="25" t="e">
        <f t="shared" ca="1" si="4"/>
        <v>#NAME?</v>
      </c>
      <c r="L10" s="24" t="e">
        <f t="array" aca="1" ref="L10" ca="1">_xludf.XLOOKUP(D10,'KPS #48'!D:D,'KPS #48'!L:L,0)</f>
        <v>#NAME?</v>
      </c>
      <c r="M10" s="25" t="e">
        <f t="shared" ca="1" si="5"/>
        <v>#NAME?</v>
      </c>
      <c r="N10" s="24" t="e">
        <f t="array" aca="1" ref="N10" ca="1">_xludf.XLOOKUP(D10,'KPS #48'!D:D,'KPS #48'!N:N,0)</f>
        <v>#NAME?</v>
      </c>
      <c r="O10" s="25" t="e">
        <f t="shared" ca="1" si="6"/>
        <v>#NAME?</v>
      </c>
      <c r="P10" s="26" t="e">
        <f t="array" aca="1" ref="P10" ca="1">_xludf.XLOOKUP(D10,'KPS #48'!D:D,'KPS #48'!P:P,0)</f>
        <v>#NAME?</v>
      </c>
      <c r="Q10" s="25" t="e">
        <f t="shared" ca="1" si="7"/>
        <v>#NAME?</v>
      </c>
      <c r="R10" s="26" t="e">
        <f t="array" aca="1" ref="R10" ca="1">_xludf.XLOOKUP(D10,'KPS #48'!D:D,'KPS #48'!R:R,0)</f>
        <v>#NAME?</v>
      </c>
      <c r="S10" s="25" t="e">
        <f t="shared" ca="1" si="8"/>
        <v>#NAME?</v>
      </c>
      <c r="T10" s="26" t="e">
        <f t="array" aca="1" ref="T10" ca="1">_xludf.XLOOKUP(D10,'KPS #48'!D:D,'KPS #48'!T:T,0)</f>
        <v>#NAME?</v>
      </c>
      <c r="U10" s="25" t="e">
        <f t="shared" ca="1" si="9"/>
        <v>#NAME?</v>
      </c>
      <c r="V10" s="26" t="e">
        <f t="array" aca="1" ref="V10" ca="1">_xludf.XLOOKUP(D10,'KPS #48'!D:D,'KPS #48'!V:V,0)</f>
        <v>#NAME?</v>
      </c>
      <c r="W10" s="25" t="e">
        <f t="shared" ca="1" si="10"/>
        <v>#NAME?</v>
      </c>
      <c r="X10" s="27" t="e">
        <f t="shared" ref="X10:Y10" ca="1" si="17">SUM(V10,T10,R10,P10,N10,L10,J10)</f>
        <v>#NAME?</v>
      </c>
      <c r="Y10" s="28" t="e">
        <f t="shared" ca="1" si="17"/>
        <v>#NAME?</v>
      </c>
      <c r="Z10" s="22"/>
      <c r="AA10" s="29" t="e">
        <f ca="1">X10*IFERROR(VLOOKUP(D10,'Brand List'!$B:$D,3,0),0)</f>
        <v>#NAME?</v>
      </c>
      <c r="AB10" s="29" t="e">
        <f ca="1">H10*IFERROR(VLOOKUP(D10,'Brand List'!$B:$D,3,0),0)</f>
        <v>#NAME?</v>
      </c>
      <c r="AC10" s="29" t="e">
        <f t="shared" ca="1" si="12"/>
        <v>#NAME?</v>
      </c>
      <c r="AD10" s="2">
        <f>_xlfn.XLOOKUP(D10,[1]Summary!$E:$E,[1]Summary!$L:$L,0)</f>
        <v>0</v>
      </c>
      <c r="AE10" s="5" t="e">
        <f t="shared" ca="1" si="13"/>
        <v>#NAME?</v>
      </c>
    </row>
    <row r="11" spans="1:31" ht="14.25" customHeight="1">
      <c r="A11" s="20" t="str">
        <f t="shared" si="2"/>
        <v>SBH12</v>
      </c>
      <c r="B11" s="30" t="s">
        <v>40</v>
      </c>
      <c r="C11" s="31" t="s">
        <v>24</v>
      </c>
      <c r="D11" s="32" t="s">
        <v>41</v>
      </c>
      <c r="E11" s="33" t="s">
        <v>42</v>
      </c>
      <c r="F11" s="31" t="s">
        <v>43</v>
      </c>
      <c r="G11" s="34" t="e">
        <f t="array" aca="1" ref="G11" ca="1">_xludf.XLOOKUP(D11,'KPS #48'!D:D,'KPS #48'!G:G,0)</f>
        <v>#NAME?</v>
      </c>
      <c r="H11" s="31" t="e">
        <f t="array" aca="1" ref="H11" ca="1">_xludf.XLOOKUP(D11,'KPS #48'!D:D,'KPS #48'!H:H,0)</f>
        <v>#NAME?</v>
      </c>
      <c r="I11" s="31" t="e">
        <f t="shared" ca="1" si="3"/>
        <v>#NAME?</v>
      </c>
      <c r="J11" s="35" t="e">
        <f t="array" aca="1" ref="J11" ca="1">_xludf.XLOOKUP(D11,'KPS #48'!D:D,'KPS #48'!J:J,0)</f>
        <v>#NAME?</v>
      </c>
      <c r="K11" s="36" t="e">
        <f t="shared" ca="1" si="4"/>
        <v>#NAME?</v>
      </c>
      <c r="L11" s="39" t="e">
        <f t="array" aca="1" ref="L11" ca="1">_xludf.XLOOKUP(D11,'KPS #48'!D:D,'KPS #48'!L:L,0)</f>
        <v>#NAME?</v>
      </c>
      <c r="M11" s="36" t="e">
        <f t="shared" ca="1" si="5"/>
        <v>#NAME?</v>
      </c>
      <c r="N11" s="39" t="e">
        <f t="array" aca="1" ref="N11" ca="1">_xludf.XLOOKUP(D11,'KPS #48'!D:D,'KPS #48'!N:N,0)</f>
        <v>#NAME?</v>
      </c>
      <c r="O11" s="36" t="e">
        <f t="shared" ca="1" si="6"/>
        <v>#NAME?</v>
      </c>
      <c r="P11" s="35" t="e">
        <f t="array" aca="1" ref="P11" ca="1">_xludf.XLOOKUP(D11,'KPS #48'!D:D,'KPS #48'!P:P,0)</f>
        <v>#NAME?</v>
      </c>
      <c r="Q11" s="36" t="e">
        <f t="shared" ca="1" si="7"/>
        <v>#NAME?</v>
      </c>
      <c r="R11" s="35" t="e">
        <f t="array" aca="1" ref="R11" ca="1">_xludf.XLOOKUP(D11,'KPS #48'!D:D,'KPS #48'!R:R,0)</f>
        <v>#NAME?</v>
      </c>
      <c r="S11" s="36" t="e">
        <f t="shared" ca="1" si="8"/>
        <v>#NAME?</v>
      </c>
      <c r="T11" s="35" t="e">
        <f t="array" aca="1" ref="T11" ca="1">_xludf.XLOOKUP(D11,'KPS #48'!D:D,'KPS #48'!T:T,0)</f>
        <v>#NAME?</v>
      </c>
      <c r="U11" s="36" t="e">
        <f t="shared" ca="1" si="9"/>
        <v>#NAME?</v>
      </c>
      <c r="V11" s="35" t="e">
        <f t="array" aca="1" ref="V11" ca="1">_xludf.XLOOKUP(D11,'KPS #48'!D:D,'KPS #48'!V:V,0)</f>
        <v>#NAME?</v>
      </c>
      <c r="W11" s="36" t="e">
        <f t="shared" ca="1" si="10"/>
        <v>#NAME?</v>
      </c>
      <c r="X11" s="40" t="e">
        <f t="shared" ref="X11:Y11" ca="1" si="18">SUM(V11,T11,R11,P11,N11,L11,J11)</f>
        <v>#NAME?</v>
      </c>
      <c r="Y11" s="41" t="e">
        <f t="shared" ca="1" si="18"/>
        <v>#NAME?</v>
      </c>
      <c r="Z11" s="32"/>
      <c r="AA11" s="29" t="e">
        <f ca="1">X11*IFERROR(VLOOKUP(D11,'Brand List'!$B:$D,3,0),0)</f>
        <v>#NAME?</v>
      </c>
      <c r="AB11" s="29" t="e">
        <f ca="1">H11*IFERROR(VLOOKUP(D11,'Brand List'!$B:$D,3,0),0)</f>
        <v>#NAME?</v>
      </c>
      <c r="AC11" s="29" t="e">
        <f t="shared" ca="1" si="12"/>
        <v>#NAME?</v>
      </c>
      <c r="AD11" s="2">
        <f>_xlfn.XLOOKUP(D11,[1]Summary!$E:$E,[1]Summary!$L:$L,0)</f>
        <v>0</v>
      </c>
      <c r="AE11" s="5" t="e">
        <f t="shared" ca="1" si="13"/>
        <v>#NAME?</v>
      </c>
    </row>
    <row r="12" spans="1:31" ht="14.25" customHeight="1">
      <c r="A12" s="20" t="str">
        <f t="shared" si="2"/>
        <v>VER20</v>
      </c>
      <c r="B12" s="21" t="s">
        <v>44</v>
      </c>
      <c r="C12" s="22" t="s">
        <v>45</v>
      </c>
      <c r="D12" s="22" t="s">
        <v>46</v>
      </c>
      <c r="E12" s="21" t="s">
        <v>47</v>
      </c>
      <c r="F12" s="22" t="s">
        <v>43</v>
      </c>
      <c r="G12" s="23" t="e">
        <f t="array" aca="1" ref="G12" ca="1">_xludf.XLOOKUP(D12,'KPS #48'!D:D,'KPS #48'!G:G,0)</f>
        <v>#NAME?</v>
      </c>
      <c r="H12" s="22" t="e">
        <f t="array" aca="1" ref="H12" ca="1">_xludf.XLOOKUP(D12,'KPS #48'!D:D,'KPS #48'!H:H,0)</f>
        <v>#NAME?</v>
      </c>
      <c r="I12" s="22" t="e">
        <f t="shared" ca="1" si="3"/>
        <v>#NAME?</v>
      </c>
      <c r="J12" s="26" t="e">
        <f t="array" aca="1" ref="J12" ca="1">_xludf.XLOOKUP(D12,'KPS #48'!D:D,'KPS #48'!J:J,0)</f>
        <v>#NAME?</v>
      </c>
      <c r="K12" s="25" t="e">
        <f t="shared" ca="1" si="4"/>
        <v>#NAME?</v>
      </c>
      <c r="L12" s="24" t="e">
        <f t="array" aca="1" ref="L12" ca="1">_xludf.XLOOKUP(D12,'KPS #48'!D:D,'KPS #48'!L:L,0)</f>
        <v>#NAME?</v>
      </c>
      <c r="M12" s="25" t="e">
        <f t="shared" ca="1" si="5"/>
        <v>#NAME?</v>
      </c>
      <c r="N12" s="24" t="e">
        <f t="array" aca="1" ref="N12" ca="1">_xludf.XLOOKUP(D12,'KPS #48'!D:D,'KPS #48'!N:N,0)</f>
        <v>#NAME?</v>
      </c>
      <c r="O12" s="25" t="e">
        <f t="shared" ca="1" si="6"/>
        <v>#NAME?</v>
      </c>
      <c r="P12" s="26" t="e">
        <f t="array" aca="1" ref="P12" ca="1">_xludf.XLOOKUP(D12,'KPS #48'!D:D,'KPS #48'!P:P,0)</f>
        <v>#NAME?</v>
      </c>
      <c r="Q12" s="25" t="e">
        <f t="shared" ca="1" si="7"/>
        <v>#NAME?</v>
      </c>
      <c r="R12" s="26" t="e">
        <f t="array" aca="1" ref="R12" ca="1">_xludf.XLOOKUP(D12,'KPS #48'!D:D,'KPS #48'!R:R,0)</f>
        <v>#NAME?</v>
      </c>
      <c r="S12" s="25" t="e">
        <f t="shared" ca="1" si="8"/>
        <v>#NAME?</v>
      </c>
      <c r="T12" s="26" t="e">
        <f t="array" aca="1" ref="T12" ca="1">_xludf.XLOOKUP(D12,'KPS #48'!D:D,'KPS #48'!T:T,0)</f>
        <v>#NAME?</v>
      </c>
      <c r="U12" s="25" t="e">
        <f t="shared" ca="1" si="9"/>
        <v>#NAME?</v>
      </c>
      <c r="V12" s="26" t="e">
        <f t="array" aca="1" ref="V12" ca="1">_xludf.XLOOKUP(D12,'KPS #48'!D:D,'KPS #48'!V:V,0)</f>
        <v>#NAME?</v>
      </c>
      <c r="W12" s="25" t="e">
        <f t="shared" ca="1" si="10"/>
        <v>#NAME?</v>
      </c>
      <c r="X12" s="27" t="e">
        <f t="shared" ref="X12:Y12" ca="1" si="19">SUM(V12,T12,R12,P12,N12,L12,J12)</f>
        <v>#NAME?</v>
      </c>
      <c r="Y12" s="28" t="e">
        <f t="shared" ca="1" si="19"/>
        <v>#NAME?</v>
      </c>
      <c r="Z12" s="22"/>
      <c r="AA12" s="29" t="e">
        <f ca="1">X12*IFERROR(VLOOKUP(D12,'Brand List'!$B:$D,3,0),0)</f>
        <v>#NAME?</v>
      </c>
      <c r="AB12" s="29" t="e">
        <f ca="1">H12*IFERROR(VLOOKUP(D12,'Brand List'!$B:$D,3,0),0)</f>
        <v>#NAME?</v>
      </c>
      <c r="AC12" s="29" t="e">
        <f t="shared" ca="1" si="12"/>
        <v>#NAME?</v>
      </c>
      <c r="AD12" s="2">
        <f>_xlfn.XLOOKUP(D12,[1]Summary!$E:$E,[1]Summary!$L:$L,0)</f>
        <v>0</v>
      </c>
      <c r="AE12" s="5" t="e">
        <f t="shared" ca="1" si="13"/>
        <v>#NAME?</v>
      </c>
    </row>
    <row r="13" spans="1:31" ht="14.25" customHeight="1">
      <c r="A13" s="20" t="str">
        <f t="shared" si="2"/>
        <v>PRJ12</v>
      </c>
      <c r="B13" s="30" t="s">
        <v>48</v>
      </c>
      <c r="C13" s="31" t="s">
        <v>24</v>
      </c>
      <c r="D13" s="32" t="s">
        <v>49</v>
      </c>
      <c r="E13" s="33" t="s">
        <v>50</v>
      </c>
      <c r="F13" s="31" t="s">
        <v>51</v>
      </c>
      <c r="G13" s="34" t="e">
        <f t="array" aca="1" ref="G13" ca="1">_xludf.XLOOKUP(D13,'KPS #48'!D:D,'KPS #48'!G:G,0)</f>
        <v>#NAME?</v>
      </c>
      <c r="H13" s="31" t="e">
        <f t="array" aca="1" ref="H13" ca="1">_xludf.XLOOKUP(D13,'KPS #48'!D:D,'KPS #48'!H:H,0)</f>
        <v>#NAME?</v>
      </c>
      <c r="I13" s="31" t="e">
        <f t="shared" ca="1" si="3"/>
        <v>#NAME?</v>
      </c>
      <c r="J13" s="35" t="e">
        <f t="array" aca="1" ref="J13" ca="1">_xludf.XLOOKUP(D13,'KPS #48'!D:D,'KPS #48'!J:J,0)</f>
        <v>#NAME?</v>
      </c>
      <c r="K13" s="36" t="e">
        <f t="shared" ca="1" si="4"/>
        <v>#NAME?</v>
      </c>
      <c r="L13" s="39" t="e">
        <f t="array" aca="1" ref="L13" ca="1">_xludf.XLOOKUP(D13,'KPS #48'!D:D,'KPS #48'!L:L,0)</f>
        <v>#NAME?</v>
      </c>
      <c r="M13" s="36" t="e">
        <f t="shared" ca="1" si="5"/>
        <v>#NAME?</v>
      </c>
      <c r="N13" s="39" t="e">
        <f t="array" aca="1" ref="N13" ca="1">_xludf.XLOOKUP(D13,'KPS #48'!D:D,'KPS #48'!N:N,0)</f>
        <v>#NAME?</v>
      </c>
      <c r="O13" s="36" t="e">
        <f t="shared" ca="1" si="6"/>
        <v>#NAME?</v>
      </c>
      <c r="P13" s="35" t="e">
        <f t="array" aca="1" ref="P13" ca="1">_xludf.XLOOKUP(D13,'KPS #48'!D:D,'KPS #48'!P:P,0)</f>
        <v>#NAME?</v>
      </c>
      <c r="Q13" s="36" t="e">
        <f t="shared" ca="1" si="7"/>
        <v>#NAME?</v>
      </c>
      <c r="R13" s="35" t="e">
        <f t="array" aca="1" ref="R13" ca="1">_xludf.XLOOKUP(D13,'KPS #48'!D:D,'KPS #48'!R:R,0)</f>
        <v>#NAME?</v>
      </c>
      <c r="S13" s="36" t="e">
        <f t="shared" ca="1" si="8"/>
        <v>#NAME?</v>
      </c>
      <c r="T13" s="35" t="e">
        <f t="array" aca="1" ref="T13" ca="1">_xludf.XLOOKUP(D13,'KPS #48'!D:D,'KPS #48'!T:T,0)</f>
        <v>#NAME?</v>
      </c>
      <c r="U13" s="36" t="e">
        <f t="shared" ca="1" si="9"/>
        <v>#NAME?</v>
      </c>
      <c r="V13" s="35" t="e">
        <f t="array" aca="1" ref="V13" ca="1">_xludf.XLOOKUP(D13,'KPS #48'!D:D,'KPS #48'!V:V,0)</f>
        <v>#NAME?</v>
      </c>
      <c r="W13" s="36" t="e">
        <f t="shared" ca="1" si="10"/>
        <v>#NAME?</v>
      </c>
      <c r="X13" s="40" t="e">
        <f t="shared" ref="X13:Y13" ca="1" si="20">SUM(V13,T13,R13,P13,N13,L13,J13)</f>
        <v>#NAME?</v>
      </c>
      <c r="Y13" s="41" t="e">
        <f t="shared" ca="1" si="20"/>
        <v>#NAME?</v>
      </c>
      <c r="Z13" s="32"/>
      <c r="AA13" s="29" t="e">
        <f ca="1">X13*IFERROR(VLOOKUP(D13,'Brand List'!$B:$D,3,0),0)</f>
        <v>#NAME?</v>
      </c>
      <c r="AB13" s="29" t="e">
        <f ca="1">H13*IFERROR(VLOOKUP(D13,'Brand List'!$B:$D,3,0),0)</f>
        <v>#NAME?</v>
      </c>
      <c r="AC13" s="29" t="e">
        <f t="shared" ca="1" si="12"/>
        <v>#NAME?</v>
      </c>
      <c r="AD13" s="2">
        <f>_xlfn.XLOOKUP(D13,[1]Summary!$E:$E,[1]Summary!$L:$L,0)</f>
        <v>0</v>
      </c>
      <c r="AE13" s="5" t="e">
        <f t="shared" ca="1" si="13"/>
        <v>#NAME?</v>
      </c>
    </row>
    <row r="14" spans="1:31" ht="14.25" customHeight="1">
      <c r="A14" s="20" t="str">
        <f t="shared" si="2"/>
        <v>PRL12</v>
      </c>
      <c r="B14" s="30" t="s">
        <v>48</v>
      </c>
      <c r="C14" s="31" t="s">
        <v>24</v>
      </c>
      <c r="D14" s="32" t="s">
        <v>52</v>
      </c>
      <c r="E14" s="33" t="s">
        <v>53</v>
      </c>
      <c r="F14" s="31" t="s">
        <v>51</v>
      </c>
      <c r="G14" s="34" t="e">
        <f t="array" aca="1" ref="G14" ca="1">_xludf.XLOOKUP(D14,'KPS #48'!D:D,'KPS #48'!G:G,0)</f>
        <v>#NAME?</v>
      </c>
      <c r="H14" s="31" t="e">
        <f t="array" aca="1" ref="H14" ca="1">_xludf.XLOOKUP(D14,'KPS #48'!D:D,'KPS #48'!H:H,0)</f>
        <v>#NAME?</v>
      </c>
      <c r="I14" s="31" t="e">
        <f t="shared" ca="1" si="3"/>
        <v>#NAME?</v>
      </c>
      <c r="J14" s="42" t="e">
        <f t="array" aca="1" ref="J14" ca="1">_xludf.XLOOKUP(D14,'KPS #48'!D:D,'KPS #48'!J:J,0)</f>
        <v>#NAME?</v>
      </c>
      <c r="K14" s="38" t="e">
        <f t="shared" ca="1" si="4"/>
        <v>#NAME?</v>
      </c>
      <c r="L14" s="37" t="e">
        <f t="array" aca="1" ref="L14" ca="1">_xludf.XLOOKUP(D14,'KPS #48'!D:D,'KPS #48'!L:L,0)</f>
        <v>#NAME?</v>
      </c>
      <c r="M14" s="38" t="e">
        <f t="shared" ca="1" si="5"/>
        <v>#NAME?</v>
      </c>
      <c r="N14" s="37" t="e">
        <f t="array" aca="1" ref="N14" ca="1">_xludf.XLOOKUP(D14,'KPS #48'!D:D,'KPS #48'!N:N,0)</f>
        <v>#NAME?</v>
      </c>
      <c r="O14" s="38" t="e">
        <f t="shared" ca="1" si="6"/>
        <v>#NAME?</v>
      </c>
      <c r="P14" s="35" t="e">
        <f t="array" aca="1" ref="P14" ca="1">_xludf.XLOOKUP(D14,'KPS #48'!D:D,'KPS #48'!P:P,0)</f>
        <v>#NAME?</v>
      </c>
      <c r="Q14" s="36" t="e">
        <f t="shared" ca="1" si="7"/>
        <v>#NAME?</v>
      </c>
      <c r="R14" s="35" t="e">
        <f t="array" aca="1" ref="R14" ca="1">_xludf.XLOOKUP(D14,'KPS #48'!D:D,'KPS #48'!R:R,0)</f>
        <v>#NAME?</v>
      </c>
      <c r="S14" s="36" t="e">
        <f t="shared" ca="1" si="8"/>
        <v>#NAME?</v>
      </c>
      <c r="T14" s="35" t="e">
        <f t="array" aca="1" ref="T14" ca="1">_xludf.XLOOKUP(D14,'KPS #48'!D:D,'KPS #48'!T:T,0)</f>
        <v>#NAME?</v>
      </c>
      <c r="U14" s="36" t="e">
        <f t="shared" ca="1" si="9"/>
        <v>#NAME?</v>
      </c>
      <c r="V14" s="35" t="e">
        <f t="array" aca="1" ref="V14" ca="1">_xludf.XLOOKUP(D14,'KPS #48'!D:D,'KPS #48'!V:V,0)</f>
        <v>#NAME?</v>
      </c>
      <c r="W14" s="36" t="e">
        <f t="shared" ca="1" si="10"/>
        <v>#NAME?</v>
      </c>
      <c r="X14" s="40" t="e">
        <f t="shared" ref="X14:Y14" ca="1" si="21">SUM(V14,T14,R14,P14,N14,L14,J14)</f>
        <v>#NAME?</v>
      </c>
      <c r="Y14" s="41" t="e">
        <f t="shared" ca="1" si="21"/>
        <v>#NAME?</v>
      </c>
      <c r="Z14" s="32" t="s">
        <v>54</v>
      </c>
      <c r="AA14" s="29" t="e">
        <f ca="1">X14*IFERROR(VLOOKUP(D14,'Brand List'!$B:$D,3,0),0)</f>
        <v>#NAME?</v>
      </c>
      <c r="AB14" s="29" t="e">
        <f ca="1">H14*IFERROR(VLOOKUP(D14,'Brand List'!$B:$D,3,0),0)</f>
        <v>#NAME?</v>
      </c>
      <c r="AC14" s="29" t="e">
        <f t="shared" ca="1" si="12"/>
        <v>#NAME?</v>
      </c>
      <c r="AD14" s="2">
        <f>_xlfn.XLOOKUP(D14,[1]Summary!$E:$E,[1]Summary!$L:$L,0)</f>
        <v>0</v>
      </c>
      <c r="AE14" s="5" t="e">
        <f t="shared" ca="1" si="13"/>
        <v>#NAME?</v>
      </c>
    </row>
    <row r="15" spans="1:31" ht="14.25" customHeight="1">
      <c r="A15" s="20" t="str">
        <f t="shared" si="2"/>
        <v>TRI20</v>
      </c>
      <c r="B15" s="30" t="s">
        <v>55</v>
      </c>
      <c r="C15" s="32" t="s">
        <v>56</v>
      </c>
      <c r="D15" s="32" t="s">
        <v>57</v>
      </c>
      <c r="E15" s="30" t="s">
        <v>58</v>
      </c>
      <c r="F15" s="32" t="s">
        <v>43</v>
      </c>
      <c r="G15" s="43" t="e">
        <f t="array" aca="1" ref="G15" ca="1">_xludf.XLOOKUP(D15,'KPS #48'!D:D,'KPS #48'!G:G,0)</f>
        <v>#NAME?</v>
      </c>
      <c r="H15" s="32" t="e">
        <f t="array" aca="1" ref="H15" ca="1">_xludf.XLOOKUP(D15,'KPS #48'!D:D,'KPS #48'!H:H,0)</f>
        <v>#NAME?</v>
      </c>
      <c r="I15" s="32" t="e">
        <f t="shared" ca="1" si="3"/>
        <v>#NAME?</v>
      </c>
      <c r="J15" s="42" t="e">
        <f t="array" aca="1" ref="J15" ca="1">_xludf.XLOOKUP(D15,'KPS #48'!D:D,'KPS #48'!J:J,0)</f>
        <v>#NAME?</v>
      </c>
      <c r="K15" s="38" t="e">
        <f t="shared" ca="1" si="4"/>
        <v>#NAME?</v>
      </c>
      <c r="L15" s="37" t="e">
        <f t="array" aca="1" ref="L15" ca="1">_xludf.XLOOKUP(D15,'KPS #48'!D:D,'KPS #48'!L:L,0)</f>
        <v>#NAME?</v>
      </c>
      <c r="M15" s="38" t="e">
        <f t="shared" ca="1" si="5"/>
        <v>#NAME?</v>
      </c>
      <c r="N15" s="37" t="e">
        <f t="array" aca="1" ref="N15" ca="1">_xludf.XLOOKUP(D15,'KPS #48'!D:D,'KPS #48'!N:N,0)</f>
        <v>#NAME?</v>
      </c>
      <c r="O15" s="38" t="e">
        <f t="shared" ca="1" si="6"/>
        <v>#NAME?</v>
      </c>
      <c r="P15" s="42" t="e">
        <f t="array" aca="1" ref="P15" ca="1">_xludf.XLOOKUP(D15,'KPS #48'!D:D,'KPS #48'!P:P,0)</f>
        <v>#NAME?</v>
      </c>
      <c r="Q15" s="38" t="e">
        <f t="shared" ca="1" si="7"/>
        <v>#NAME?</v>
      </c>
      <c r="R15" s="42" t="e">
        <f t="array" aca="1" ref="R15" ca="1">_xludf.XLOOKUP(D15,'KPS #48'!D:D,'KPS #48'!R:R,0)</f>
        <v>#NAME?</v>
      </c>
      <c r="S15" s="38" t="e">
        <f t="shared" ca="1" si="8"/>
        <v>#NAME?</v>
      </c>
      <c r="T15" s="42" t="e">
        <f t="array" aca="1" ref="T15" ca="1">_xludf.XLOOKUP(D15,'KPS #48'!D:D,'KPS #48'!T:T,0)</f>
        <v>#NAME?</v>
      </c>
      <c r="U15" s="38" t="e">
        <f t="shared" ca="1" si="9"/>
        <v>#NAME?</v>
      </c>
      <c r="V15" s="42" t="e">
        <f t="array" aca="1" ref="V15" ca="1">_xludf.XLOOKUP(D15,'KPS #48'!D:D,'KPS #48'!V:V,0)</f>
        <v>#NAME?</v>
      </c>
      <c r="W15" s="38" t="e">
        <f t="shared" ca="1" si="10"/>
        <v>#NAME?</v>
      </c>
      <c r="X15" s="44" t="e">
        <f t="shared" ref="X15:Y15" ca="1" si="22">SUM(V15,T15,R15,P15,N15,L15,J15)</f>
        <v>#NAME?</v>
      </c>
      <c r="Y15" s="45" t="e">
        <f t="shared" ca="1" si="22"/>
        <v>#NAME?</v>
      </c>
      <c r="Z15" s="32"/>
      <c r="AA15" s="29" t="e">
        <f ca="1">X15*IFERROR(VLOOKUP(D15,'Brand List'!$B:$D,3,0),0)</f>
        <v>#NAME?</v>
      </c>
      <c r="AB15" s="29" t="e">
        <f ca="1">H15*IFERROR(VLOOKUP(D15,'Brand List'!$B:$D,3,0),0)</f>
        <v>#NAME?</v>
      </c>
      <c r="AC15" s="29" t="e">
        <f t="shared" ca="1" si="12"/>
        <v>#NAME?</v>
      </c>
      <c r="AD15" s="2">
        <f>_xlfn.XLOOKUP(D15,[1]Summary!$E:$E,[1]Summary!$L:$L,0)</f>
        <v>0</v>
      </c>
      <c r="AE15" s="5" t="e">
        <f t="shared" ca="1" si="13"/>
        <v>#NAME?</v>
      </c>
    </row>
    <row r="16" spans="1:31" ht="14.25" customHeight="1">
      <c r="A16" s="20" t="str">
        <f t="shared" si="2"/>
        <v>GSS12</v>
      </c>
      <c r="B16" s="30" t="s">
        <v>59</v>
      </c>
      <c r="C16" s="32" t="s">
        <v>24</v>
      </c>
      <c r="D16" s="32" t="s">
        <v>60</v>
      </c>
      <c r="E16" s="30" t="s">
        <v>61</v>
      </c>
      <c r="F16" s="32" t="s">
        <v>43</v>
      </c>
      <c r="G16" s="43" t="e">
        <f t="array" aca="1" ref="G16" ca="1">_xludf.XLOOKUP(D16,'KPS #48'!D:D,'KPS #48'!G:G,0)</f>
        <v>#NAME?</v>
      </c>
      <c r="H16" s="32" t="e">
        <f t="array" aca="1" ref="H16" ca="1">_xludf.XLOOKUP(D16,'KPS #48'!D:D,'KPS #48'!H:H,0)</f>
        <v>#NAME?</v>
      </c>
      <c r="I16" s="32" t="e">
        <f t="shared" ca="1" si="3"/>
        <v>#NAME?</v>
      </c>
      <c r="J16" s="42" t="e">
        <f t="array" aca="1" ref="J16" ca="1">_xludf.XLOOKUP(D16,'KPS #48'!D:D,'KPS #48'!J:J,0)</f>
        <v>#NAME?</v>
      </c>
      <c r="K16" s="38" t="e">
        <f t="shared" ca="1" si="4"/>
        <v>#NAME?</v>
      </c>
      <c r="L16" s="37" t="e">
        <f t="array" aca="1" ref="L16" ca="1">_xludf.XLOOKUP(D16,'KPS #48'!D:D,'KPS #48'!L:L,0)</f>
        <v>#NAME?</v>
      </c>
      <c r="M16" s="38" t="e">
        <f t="shared" ca="1" si="5"/>
        <v>#NAME?</v>
      </c>
      <c r="N16" s="37" t="e">
        <f t="array" aca="1" ref="N16" ca="1">_xludf.XLOOKUP(D16,'KPS #48'!D:D,'KPS #48'!N:N,0)</f>
        <v>#NAME?</v>
      </c>
      <c r="O16" s="38" t="e">
        <f t="shared" ca="1" si="6"/>
        <v>#NAME?</v>
      </c>
      <c r="P16" s="42" t="e">
        <f t="array" aca="1" ref="P16" ca="1">_xludf.XLOOKUP(D16,'KPS #48'!D:D,'KPS #48'!P:P,0)</f>
        <v>#NAME?</v>
      </c>
      <c r="Q16" s="38" t="e">
        <f t="shared" ca="1" si="7"/>
        <v>#NAME?</v>
      </c>
      <c r="R16" s="42" t="e">
        <f t="array" aca="1" ref="R16" ca="1">_xludf.XLOOKUP(D16,'KPS #48'!D:D,'KPS #48'!R:R,0)</f>
        <v>#NAME?</v>
      </c>
      <c r="S16" s="38" t="e">
        <f t="shared" ca="1" si="8"/>
        <v>#NAME?</v>
      </c>
      <c r="T16" s="42" t="e">
        <f t="array" aca="1" ref="T16" ca="1">_xludf.XLOOKUP(D16,'KPS #48'!D:D,'KPS #48'!T:T,0)</f>
        <v>#NAME?</v>
      </c>
      <c r="U16" s="38" t="e">
        <f t="shared" ca="1" si="9"/>
        <v>#NAME?</v>
      </c>
      <c r="V16" s="42" t="e">
        <f t="array" aca="1" ref="V16" ca="1">_xludf.XLOOKUP(D16,'KPS #48'!D:D,'KPS #48'!V:V,0)</f>
        <v>#NAME?</v>
      </c>
      <c r="W16" s="38" t="e">
        <f t="shared" ca="1" si="10"/>
        <v>#NAME?</v>
      </c>
      <c r="X16" s="44" t="e">
        <f t="shared" ref="X16:Y16" ca="1" si="23">SUM(V16,T16,R16,P16,N16,L16,J16)</f>
        <v>#NAME?</v>
      </c>
      <c r="Y16" s="45" t="e">
        <f t="shared" ca="1" si="23"/>
        <v>#NAME?</v>
      </c>
      <c r="Z16" s="32"/>
      <c r="AA16" s="29" t="e">
        <f ca="1">X16*IFERROR(VLOOKUP(D16,'Brand List'!$B:$D,3,0),0)</f>
        <v>#NAME?</v>
      </c>
      <c r="AB16" s="29" t="e">
        <f ca="1">H16*IFERROR(VLOOKUP(D16,'Brand List'!$B:$D,3,0),0)</f>
        <v>#NAME?</v>
      </c>
      <c r="AC16" s="29" t="e">
        <f t="shared" ca="1" si="12"/>
        <v>#NAME?</v>
      </c>
      <c r="AD16" s="2">
        <f>_xlfn.XLOOKUP(D16,[1]Summary!$E:$E,[1]Summary!$L:$L,0)</f>
        <v>0</v>
      </c>
      <c r="AE16" s="5" t="e">
        <f t="shared" ca="1" si="13"/>
        <v>#NAME?</v>
      </c>
    </row>
    <row r="17" spans="1:31" ht="14.25" customHeight="1">
      <c r="A17" s="20" t="str">
        <f t="shared" si="2"/>
        <v>CTL16</v>
      </c>
      <c r="B17" s="21" t="s">
        <v>62</v>
      </c>
      <c r="C17" s="22" t="s">
        <v>63</v>
      </c>
      <c r="D17" s="22" t="s">
        <v>64</v>
      </c>
      <c r="E17" s="21" t="s">
        <v>65</v>
      </c>
      <c r="F17" s="22" t="s">
        <v>66</v>
      </c>
      <c r="G17" s="23" t="e">
        <f t="array" aca="1" ref="G17" ca="1">_xludf.XLOOKUP(D17,'KPS #48'!D:D,'KPS #48'!G:G,0)</f>
        <v>#NAME?</v>
      </c>
      <c r="H17" s="22" t="e">
        <f t="array" aca="1" ref="H17" ca="1">_xludf.XLOOKUP(D17,'KPS #48'!D:D,'KPS #48'!H:H,0)</f>
        <v>#NAME?</v>
      </c>
      <c r="I17" s="22" t="e">
        <f t="shared" ca="1" si="3"/>
        <v>#NAME?</v>
      </c>
      <c r="J17" s="26" t="e">
        <f t="array" aca="1" ref="J17" ca="1">_xludf.XLOOKUP(D17,'KPS #48'!D:D,'KPS #48'!J:J,0)</f>
        <v>#NAME?</v>
      </c>
      <c r="K17" s="25" t="e">
        <f t="shared" ca="1" si="4"/>
        <v>#NAME?</v>
      </c>
      <c r="L17" s="24" t="e">
        <f t="array" aca="1" ref="L17" ca="1">_xludf.XLOOKUP(D17,'KPS #48'!D:D,'KPS #48'!L:L,0)</f>
        <v>#NAME?</v>
      </c>
      <c r="M17" s="25" t="e">
        <f t="shared" ca="1" si="5"/>
        <v>#NAME?</v>
      </c>
      <c r="N17" s="24" t="e">
        <f t="array" aca="1" ref="N17" ca="1">_xludf.XLOOKUP(D17,'KPS #48'!D:D,'KPS #48'!N:N,0)</f>
        <v>#NAME?</v>
      </c>
      <c r="O17" s="25" t="e">
        <f t="shared" ca="1" si="6"/>
        <v>#NAME?</v>
      </c>
      <c r="P17" s="26" t="e">
        <f t="array" aca="1" ref="P17" ca="1">_xludf.XLOOKUP(D17,'KPS #48'!D:D,'KPS #48'!P:P,0)</f>
        <v>#NAME?</v>
      </c>
      <c r="Q17" s="25" t="e">
        <f t="shared" ca="1" si="7"/>
        <v>#NAME?</v>
      </c>
      <c r="R17" s="26" t="e">
        <f t="array" aca="1" ref="R17" ca="1">_xludf.XLOOKUP(D17,'KPS #48'!D:D,'KPS #48'!R:R,0)</f>
        <v>#NAME?</v>
      </c>
      <c r="S17" s="25" t="e">
        <f t="shared" ca="1" si="8"/>
        <v>#NAME?</v>
      </c>
      <c r="T17" s="26" t="e">
        <f t="array" aca="1" ref="T17" ca="1">_xludf.XLOOKUP(D17,'KPS #48'!D:D,'KPS #48'!T:T,0)</f>
        <v>#NAME?</v>
      </c>
      <c r="U17" s="25" t="e">
        <f t="shared" ca="1" si="9"/>
        <v>#NAME?</v>
      </c>
      <c r="V17" s="26" t="e">
        <f t="array" aca="1" ref="V17" ca="1">_xludf.XLOOKUP(D17,'KPS #48'!D:D,'KPS #48'!V:V,0)</f>
        <v>#NAME?</v>
      </c>
      <c r="W17" s="25" t="e">
        <f t="shared" ca="1" si="10"/>
        <v>#NAME?</v>
      </c>
      <c r="X17" s="27" t="e">
        <f t="shared" ref="X17:Y17" ca="1" si="24">SUM(V17,T17,R17,P17,N17,L17,J17)</f>
        <v>#NAME?</v>
      </c>
      <c r="Y17" s="28" t="e">
        <f t="shared" ca="1" si="24"/>
        <v>#NAME?</v>
      </c>
      <c r="Z17" s="22"/>
      <c r="AA17" s="29" t="e">
        <f ca="1">X17*IFERROR(VLOOKUP(D17,'Brand List'!$B:$D,3,0),0)</f>
        <v>#NAME?</v>
      </c>
      <c r="AB17" s="29" t="e">
        <f ca="1">H17*IFERROR(VLOOKUP(D17,'Brand List'!$B:$D,3,0),0)</f>
        <v>#NAME?</v>
      </c>
      <c r="AC17" s="29" t="e">
        <f t="shared" ca="1" si="12"/>
        <v>#NAME?</v>
      </c>
      <c r="AD17" s="2">
        <f>_xlfn.XLOOKUP(D17,[1]Summary!$E:$E,[1]Summary!$L:$L,0)</f>
        <v>0</v>
      </c>
      <c r="AE17" s="5" t="e">
        <f t="shared" ca="1" si="13"/>
        <v>#NAME?</v>
      </c>
    </row>
    <row r="18" spans="1:31" ht="14.25" customHeight="1">
      <c r="A18" s="20" t="str">
        <f t="shared" si="2"/>
        <v>VGZ16</v>
      </c>
      <c r="B18" s="21" t="s">
        <v>62</v>
      </c>
      <c r="C18" s="22" t="s">
        <v>63</v>
      </c>
      <c r="D18" s="22" t="s">
        <v>67</v>
      </c>
      <c r="E18" s="21" t="s">
        <v>68</v>
      </c>
      <c r="F18" s="22" t="s">
        <v>66</v>
      </c>
      <c r="G18" s="23" t="e">
        <f t="array" aca="1" ref="G18" ca="1">_xludf.XLOOKUP(D18,'KPS #48'!D:D,'KPS #48'!G:G,0)</f>
        <v>#NAME?</v>
      </c>
      <c r="H18" s="22" t="e">
        <f t="array" aca="1" ref="H18" ca="1">_xludf.XLOOKUP(D18,'KPS #48'!D:D,'KPS #48'!H:H,0)</f>
        <v>#NAME?</v>
      </c>
      <c r="I18" s="22" t="e">
        <f t="shared" ca="1" si="3"/>
        <v>#NAME?</v>
      </c>
      <c r="J18" s="46" t="e">
        <f t="array" aca="1" ref="J18" ca="1">_xludf.XLOOKUP(D18,'KPS #48'!D:D,'KPS #48'!J:J,0)</f>
        <v>#NAME?</v>
      </c>
      <c r="K18" s="47" t="e">
        <f t="shared" ca="1" si="4"/>
        <v>#NAME?</v>
      </c>
      <c r="L18" s="48" t="e">
        <f t="array" aca="1" ref="L18" ca="1">_xludf.XLOOKUP(D18,'KPS #48'!D:D,'KPS #48'!L:L,0)</f>
        <v>#NAME?</v>
      </c>
      <c r="M18" s="47" t="e">
        <f t="shared" ca="1" si="5"/>
        <v>#NAME?</v>
      </c>
      <c r="N18" s="24" t="e">
        <f t="array" aca="1" ref="N18" ca="1">_xludf.XLOOKUP(D18,'KPS #48'!D:D,'KPS #48'!N:N,0)</f>
        <v>#NAME?</v>
      </c>
      <c r="O18" s="25" t="e">
        <f t="shared" ca="1" si="6"/>
        <v>#NAME?</v>
      </c>
      <c r="P18" s="26" t="e">
        <f t="array" aca="1" ref="P18" ca="1">_xludf.XLOOKUP(D18,'KPS #48'!D:D,'KPS #48'!P:P,0)</f>
        <v>#NAME?</v>
      </c>
      <c r="Q18" s="25" t="e">
        <f t="shared" ca="1" si="7"/>
        <v>#NAME?</v>
      </c>
      <c r="R18" s="26" t="e">
        <f t="array" aca="1" ref="R18" ca="1">_xludf.XLOOKUP(D18,'KPS #48'!D:D,'KPS #48'!R:R,0)</f>
        <v>#NAME?</v>
      </c>
      <c r="S18" s="25" t="e">
        <f t="shared" ca="1" si="8"/>
        <v>#NAME?</v>
      </c>
      <c r="T18" s="26" t="e">
        <f t="array" aca="1" ref="T18" ca="1">_xludf.XLOOKUP(D18,'KPS #48'!D:D,'KPS #48'!T:T,0)</f>
        <v>#NAME?</v>
      </c>
      <c r="U18" s="25" t="e">
        <f t="shared" ca="1" si="9"/>
        <v>#NAME?</v>
      </c>
      <c r="V18" s="26" t="e">
        <f t="array" aca="1" ref="V18" ca="1">_xludf.XLOOKUP(D18,'KPS #48'!D:D,'KPS #48'!V:V,0)</f>
        <v>#NAME?</v>
      </c>
      <c r="W18" s="25" t="e">
        <f t="shared" ca="1" si="10"/>
        <v>#NAME?</v>
      </c>
      <c r="X18" s="27" t="e">
        <f t="shared" ref="X18:Y18" ca="1" si="25">SUM(V18,T18,R18,P18,N18,L18,J18)</f>
        <v>#NAME?</v>
      </c>
      <c r="Y18" s="28" t="e">
        <f t="shared" ca="1" si="25"/>
        <v>#NAME?</v>
      </c>
      <c r="Z18" s="22" t="s">
        <v>69</v>
      </c>
      <c r="AA18" s="29" t="e">
        <f ca="1">X18*IFERROR(VLOOKUP(D18,'Brand List'!$B:$D,3,0),0)</f>
        <v>#NAME?</v>
      </c>
      <c r="AB18" s="29" t="e">
        <f ca="1">H18*IFERROR(VLOOKUP(D18,'Brand List'!$B:$D,3,0),0)</f>
        <v>#NAME?</v>
      </c>
      <c r="AC18" s="29" t="e">
        <f t="shared" ca="1" si="12"/>
        <v>#NAME?</v>
      </c>
      <c r="AD18" s="2">
        <f>_xlfn.XLOOKUP(D18,[1]Summary!$E:$E,[1]Summary!$L:$L,0)</f>
        <v>0</v>
      </c>
      <c r="AE18" s="5" t="e">
        <f t="shared" ca="1" si="13"/>
        <v>#NAME?</v>
      </c>
    </row>
    <row r="19" spans="1:31" ht="14.25" customHeight="1">
      <c r="A19" s="20"/>
      <c r="B19" s="21" t="s">
        <v>62</v>
      </c>
      <c r="C19" s="22" t="s">
        <v>70</v>
      </c>
      <c r="D19" s="22" t="s">
        <v>71</v>
      </c>
      <c r="E19" s="21" t="s">
        <v>72</v>
      </c>
      <c r="F19" s="22" t="s">
        <v>66</v>
      </c>
      <c r="G19" s="23" t="e">
        <f t="array" aca="1" ref="G19" ca="1">_xludf.XLOOKUP(D19,'KPS #48'!D:D,'KPS #48'!G:G,0)</f>
        <v>#NAME?</v>
      </c>
      <c r="H19" s="22" t="e">
        <f t="array" aca="1" ref="H19" ca="1">_xludf.XLOOKUP(D19,'KPS #48'!D:D,'KPS #48'!H:H,0)</f>
        <v>#NAME?</v>
      </c>
      <c r="I19" s="22" t="e">
        <f t="shared" ca="1" si="3"/>
        <v>#NAME?</v>
      </c>
      <c r="J19" s="26" t="e">
        <f t="array" aca="1" ref="J19" ca="1">_xludf.XLOOKUP(D19,'KPS #48'!D:D,'KPS #48'!J:J,0)</f>
        <v>#NAME?</v>
      </c>
      <c r="K19" s="25" t="e">
        <f t="shared" ca="1" si="4"/>
        <v>#NAME?</v>
      </c>
      <c r="L19" s="24" t="e">
        <f t="array" aca="1" ref="L19" ca="1">_xludf.XLOOKUP(D19,'KPS #48'!D:D,'KPS #48'!L:L,0)</f>
        <v>#NAME?</v>
      </c>
      <c r="M19" s="25" t="e">
        <f t="shared" ca="1" si="5"/>
        <v>#NAME?</v>
      </c>
      <c r="N19" s="24" t="e">
        <f t="array" aca="1" ref="N19" ca="1">_xludf.XLOOKUP(D19,'KPS #48'!D:D,'KPS #48'!N:N,0)</f>
        <v>#NAME?</v>
      </c>
      <c r="O19" s="25" t="e">
        <f t="shared" ca="1" si="6"/>
        <v>#NAME?</v>
      </c>
      <c r="P19" s="26" t="e">
        <f t="array" aca="1" ref="P19" ca="1">_xludf.XLOOKUP(D19,'KPS #48'!D:D,'KPS #48'!P:P,0)</f>
        <v>#NAME?</v>
      </c>
      <c r="Q19" s="25" t="e">
        <f t="shared" ca="1" si="7"/>
        <v>#NAME?</v>
      </c>
      <c r="R19" s="26" t="e">
        <f t="array" aca="1" ref="R19" ca="1">_xludf.XLOOKUP(D19,'KPS #48'!D:D,'KPS #48'!R:R,0)</f>
        <v>#NAME?</v>
      </c>
      <c r="S19" s="25" t="e">
        <f t="shared" ca="1" si="8"/>
        <v>#NAME?</v>
      </c>
      <c r="T19" s="26" t="e">
        <f t="array" aca="1" ref="T19" ca="1">_xludf.XLOOKUP(D19,'KPS #48'!D:D,'KPS #48'!T:T,0)</f>
        <v>#NAME?</v>
      </c>
      <c r="U19" s="25" t="e">
        <f t="shared" ca="1" si="9"/>
        <v>#NAME?</v>
      </c>
      <c r="V19" s="26" t="e">
        <f t="array" aca="1" ref="V19" ca="1">_xludf.XLOOKUP(D19,'KPS #48'!D:D,'KPS #48'!V:V,0)</f>
        <v>#NAME?</v>
      </c>
      <c r="W19" s="25" t="e">
        <f t="shared" ca="1" si="10"/>
        <v>#NAME?</v>
      </c>
      <c r="X19" s="27" t="e">
        <f t="shared" ref="X19:Y19" ca="1" si="26">SUM(V19,T19,R19,P19,N19,L19,J19)</f>
        <v>#NAME?</v>
      </c>
      <c r="Y19" s="28" t="e">
        <f t="shared" ca="1" si="26"/>
        <v>#NAME?</v>
      </c>
      <c r="Z19" s="22"/>
      <c r="AA19" s="29" t="e">
        <f ca="1">X19*IFERROR(VLOOKUP(D19,'Brand List'!$B:$D,3,0),0)</f>
        <v>#NAME?</v>
      </c>
      <c r="AB19" s="29" t="e">
        <f ca="1">H19*IFERROR(VLOOKUP(D19,'Brand List'!$B:$D,3,0),0)</f>
        <v>#NAME?</v>
      </c>
      <c r="AC19" s="29" t="e">
        <f t="shared" ca="1" si="12"/>
        <v>#NAME?</v>
      </c>
      <c r="AD19" s="2">
        <f>_xlfn.XLOOKUP(D19,[1]Summary!$E:$E,[1]Summary!$L:$L,0)</f>
        <v>0</v>
      </c>
      <c r="AE19" s="5" t="e">
        <f t="shared" ca="1" si="13"/>
        <v>#NAME?</v>
      </c>
    </row>
    <row r="20" spans="1:31" ht="14.25" customHeight="1">
      <c r="A20" s="20" t="str">
        <f t="shared" ref="A20:A64" si="27">D20</f>
        <v>ARM12</v>
      </c>
      <c r="B20" s="21" t="s">
        <v>73</v>
      </c>
      <c r="C20" s="22" t="s">
        <v>70</v>
      </c>
      <c r="D20" s="22" t="s">
        <v>74</v>
      </c>
      <c r="E20" s="21" t="s">
        <v>75</v>
      </c>
      <c r="F20" s="22" t="s">
        <v>66</v>
      </c>
      <c r="G20" s="23" t="e">
        <f t="array" aca="1" ref="G20" ca="1">_xludf.XLOOKUP(D20,'KPS #48'!D:D,'KPS #48'!G:G,0)</f>
        <v>#NAME?</v>
      </c>
      <c r="H20" s="22" t="e">
        <f t="array" aca="1" ref="H20" ca="1">_xludf.XLOOKUP(D20,'KPS #48'!D:D,'KPS #48'!H:H,0)</f>
        <v>#NAME?</v>
      </c>
      <c r="I20" s="22" t="e">
        <f t="shared" ca="1" si="3"/>
        <v>#NAME?</v>
      </c>
      <c r="J20" s="26" t="e">
        <f t="array" aca="1" ref="J20" ca="1">_xludf.XLOOKUP(D20,'KPS #48'!D:D,'KPS #48'!J:J,0)</f>
        <v>#NAME?</v>
      </c>
      <c r="K20" s="25" t="e">
        <f t="shared" ca="1" si="4"/>
        <v>#NAME?</v>
      </c>
      <c r="L20" s="24" t="e">
        <f t="array" aca="1" ref="L20" ca="1">_xludf.XLOOKUP(D20,'KPS #48'!D:D,'KPS #48'!L:L,0)</f>
        <v>#NAME?</v>
      </c>
      <c r="M20" s="25" t="e">
        <f t="shared" ca="1" si="5"/>
        <v>#NAME?</v>
      </c>
      <c r="N20" s="24" t="e">
        <f t="array" aca="1" ref="N20" ca="1">_xludf.XLOOKUP(D20,'KPS #48'!D:D,'KPS #48'!N:N,0)</f>
        <v>#NAME?</v>
      </c>
      <c r="O20" s="25" t="e">
        <f t="shared" ca="1" si="6"/>
        <v>#NAME?</v>
      </c>
      <c r="P20" s="26" t="e">
        <f t="array" aca="1" ref="P20" ca="1">_xludf.XLOOKUP(D20,'KPS #48'!D:D,'KPS #48'!P:P,0)</f>
        <v>#NAME?</v>
      </c>
      <c r="Q20" s="25" t="e">
        <f t="shared" ca="1" si="7"/>
        <v>#NAME?</v>
      </c>
      <c r="R20" s="26" t="e">
        <f t="array" aca="1" ref="R20" ca="1">_xludf.XLOOKUP(D20,'KPS #48'!D:D,'KPS #48'!R:R,0)</f>
        <v>#NAME?</v>
      </c>
      <c r="S20" s="25" t="e">
        <f t="shared" ca="1" si="8"/>
        <v>#NAME?</v>
      </c>
      <c r="T20" s="26" t="e">
        <f t="array" aca="1" ref="T20" ca="1">_xludf.XLOOKUP(D20,'KPS #48'!D:D,'KPS #48'!T:T,0)</f>
        <v>#NAME?</v>
      </c>
      <c r="U20" s="25" t="e">
        <f t="shared" ca="1" si="9"/>
        <v>#NAME?</v>
      </c>
      <c r="V20" s="26" t="e">
        <f t="array" aca="1" ref="V20" ca="1">_xludf.XLOOKUP(D20,'KPS #48'!D:D,'KPS #48'!V:V,0)</f>
        <v>#NAME?</v>
      </c>
      <c r="W20" s="25" t="e">
        <f t="shared" ca="1" si="10"/>
        <v>#NAME?</v>
      </c>
      <c r="X20" s="27" t="e">
        <f t="shared" ref="X20:Y20" ca="1" si="28">SUM(V20,T20,R20,P20,N20,L20,J20)</f>
        <v>#NAME?</v>
      </c>
      <c r="Y20" s="28" t="e">
        <f t="shared" ca="1" si="28"/>
        <v>#NAME?</v>
      </c>
      <c r="Z20" s="22"/>
      <c r="AA20" s="29" t="e">
        <f ca="1">X20*IFERROR(VLOOKUP(D20,'Brand List'!$B:$D,3,0),0)</f>
        <v>#NAME?</v>
      </c>
      <c r="AB20" s="29" t="e">
        <f ca="1">H20*IFERROR(VLOOKUP(D20,'Brand List'!$B:$D,3,0),0)</f>
        <v>#NAME?</v>
      </c>
      <c r="AC20" s="29" t="e">
        <f t="shared" ca="1" si="12"/>
        <v>#NAME?</v>
      </c>
      <c r="AD20" s="2">
        <f>_xlfn.XLOOKUP(D20,[1]Summary!$E:$E,[1]Summary!$L:$L,0)</f>
        <v>0</v>
      </c>
      <c r="AE20" s="5" t="e">
        <f t="shared" ca="1" si="13"/>
        <v>#NAME?</v>
      </c>
    </row>
    <row r="21" spans="1:31" ht="14.25" customHeight="1">
      <c r="A21" s="20" t="str">
        <f t="shared" si="27"/>
        <v>ARM16</v>
      </c>
      <c r="B21" s="21" t="s">
        <v>73</v>
      </c>
      <c r="C21" s="22" t="s">
        <v>76</v>
      </c>
      <c r="D21" s="22" t="s">
        <v>77</v>
      </c>
      <c r="E21" s="21" t="s">
        <v>78</v>
      </c>
      <c r="F21" s="22" t="s">
        <v>66</v>
      </c>
      <c r="G21" s="23" t="e">
        <f t="array" aca="1" ref="G21" ca="1">_xludf.XLOOKUP(D21,'KPS #48'!D:D,'KPS #48'!G:G,0)</f>
        <v>#NAME?</v>
      </c>
      <c r="H21" s="22" t="e">
        <f t="array" aca="1" ref="H21" ca="1">_xludf.XLOOKUP(D21,'KPS #48'!D:D,'KPS #48'!H:H,0)</f>
        <v>#NAME?</v>
      </c>
      <c r="I21" s="22" t="e">
        <f t="shared" ca="1" si="3"/>
        <v>#NAME?</v>
      </c>
      <c r="J21" s="26" t="e">
        <f t="array" aca="1" ref="J21" ca="1">_xludf.XLOOKUP(D21,'KPS #48'!D:D,'KPS #48'!J:J,0)</f>
        <v>#NAME?</v>
      </c>
      <c r="K21" s="25" t="e">
        <f t="shared" ca="1" si="4"/>
        <v>#NAME?</v>
      </c>
      <c r="L21" s="24" t="e">
        <f t="array" aca="1" ref="L21" ca="1">_xludf.XLOOKUP(D21,'KPS #48'!D:D,'KPS #48'!L:L,0)</f>
        <v>#NAME?</v>
      </c>
      <c r="M21" s="25" t="e">
        <f t="shared" ca="1" si="5"/>
        <v>#NAME?</v>
      </c>
      <c r="N21" s="24" t="e">
        <f t="array" aca="1" ref="N21" ca="1">_xludf.XLOOKUP(D21,'KPS #48'!D:D,'KPS #48'!N:N,0)</f>
        <v>#NAME?</v>
      </c>
      <c r="O21" s="25" t="e">
        <f t="shared" ca="1" si="6"/>
        <v>#NAME?</v>
      </c>
      <c r="P21" s="26" t="e">
        <f t="array" aca="1" ref="P21" ca="1">_xludf.XLOOKUP(D21,'KPS #48'!D:D,'KPS #48'!P:P,0)</f>
        <v>#NAME?</v>
      </c>
      <c r="Q21" s="25" t="e">
        <f t="shared" ca="1" si="7"/>
        <v>#NAME?</v>
      </c>
      <c r="R21" s="26" t="e">
        <f t="array" aca="1" ref="R21" ca="1">_xludf.XLOOKUP(D21,'KPS #48'!D:D,'KPS #48'!R:R,0)</f>
        <v>#NAME?</v>
      </c>
      <c r="S21" s="25" t="e">
        <f t="shared" ca="1" si="8"/>
        <v>#NAME?</v>
      </c>
      <c r="T21" s="26" t="e">
        <f t="array" aca="1" ref="T21" ca="1">_xludf.XLOOKUP(D21,'KPS #48'!D:D,'KPS #48'!T:T,0)</f>
        <v>#NAME?</v>
      </c>
      <c r="U21" s="25" t="e">
        <f t="shared" ca="1" si="9"/>
        <v>#NAME?</v>
      </c>
      <c r="V21" s="26" t="e">
        <f t="array" aca="1" ref="V21" ca="1">_xludf.XLOOKUP(D21,'KPS #48'!D:D,'KPS #48'!V:V,0)</f>
        <v>#NAME?</v>
      </c>
      <c r="W21" s="25" t="e">
        <f t="shared" ca="1" si="10"/>
        <v>#NAME?</v>
      </c>
      <c r="X21" s="27" t="e">
        <f t="shared" ref="X21:Y21" ca="1" si="29">SUM(V21,T21,R21,P21,N21,L21,J21)</f>
        <v>#NAME?</v>
      </c>
      <c r="Y21" s="28" t="e">
        <f t="shared" ca="1" si="29"/>
        <v>#NAME?</v>
      </c>
      <c r="Z21" s="22"/>
      <c r="AA21" s="29" t="e">
        <f ca="1">X21*IFERROR(VLOOKUP(D21,'Brand List'!$B:$D,3,0),0)</f>
        <v>#NAME?</v>
      </c>
      <c r="AB21" s="29" t="e">
        <f ca="1">H21*IFERROR(VLOOKUP(D21,'Brand List'!$B:$D,3,0),0)</f>
        <v>#NAME?</v>
      </c>
      <c r="AC21" s="29" t="e">
        <f t="shared" ca="1" si="12"/>
        <v>#NAME?</v>
      </c>
      <c r="AD21" s="2">
        <f>_xlfn.XLOOKUP(D21,[1]Summary!$E:$E,[1]Summary!$L:$L,0)</f>
        <v>0</v>
      </c>
      <c r="AE21" s="5" t="e">
        <f t="shared" ca="1" si="13"/>
        <v>#NAME?</v>
      </c>
    </row>
    <row r="22" spans="1:31" ht="14.25" customHeight="1">
      <c r="A22" s="20" t="str">
        <f t="shared" si="27"/>
        <v>ARK12</v>
      </c>
      <c r="B22" s="21" t="s">
        <v>73</v>
      </c>
      <c r="C22" s="22" t="s">
        <v>70</v>
      </c>
      <c r="D22" s="22" t="s">
        <v>79</v>
      </c>
      <c r="E22" s="21" t="s">
        <v>80</v>
      </c>
      <c r="F22" s="22" t="s">
        <v>66</v>
      </c>
      <c r="G22" s="23" t="e">
        <f t="array" aca="1" ref="G22" ca="1">_xludf.XLOOKUP(D22,'KPS #48'!D:D,'KPS #48'!G:G,0)</f>
        <v>#NAME?</v>
      </c>
      <c r="H22" s="22" t="e">
        <f t="array" aca="1" ref="H22" ca="1">_xludf.XLOOKUP(D22,'KPS #48'!D:D,'KPS #48'!H:H,0)</f>
        <v>#NAME?</v>
      </c>
      <c r="I22" s="22" t="e">
        <f t="shared" ca="1" si="3"/>
        <v>#NAME?</v>
      </c>
      <c r="J22" s="26" t="e">
        <f t="array" aca="1" ref="J22" ca="1">_xludf.XLOOKUP(D22,'KPS #48'!D:D,'KPS #48'!J:J,0)</f>
        <v>#NAME?</v>
      </c>
      <c r="K22" s="25" t="e">
        <f t="shared" ca="1" si="4"/>
        <v>#NAME?</v>
      </c>
      <c r="L22" s="24" t="e">
        <f t="array" aca="1" ref="L22" ca="1">_xludf.XLOOKUP(D22,'KPS #48'!D:D,'KPS #48'!L:L,0)</f>
        <v>#NAME?</v>
      </c>
      <c r="M22" s="25" t="e">
        <f t="shared" ca="1" si="5"/>
        <v>#NAME?</v>
      </c>
      <c r="N22" s="24" t="e">
        <f t="array" aca="1" ref="N22" ca="1">_xludf.XLOOKUP(D22,'KPS #48'!D:D,'KPS #48'!N:N,0)</f>
        <v>#NAME?</v>
      </c>
      <c r="O22" s="25" t="e">
        <f t="shared" ca="1" si="6"/>
        <v>#NAME?</v>
      </c>
      <c r="P22" s="26" t="e">
        <f t="array" aca="1" ref="P22" ca="1">_xludf.XLOOKUP(D22,'KPS #48'!D:D,'KPS #48'!P:P,0)</f>
        <v>#NAME?</v>
      </c>
      <c r="Q22" s="25" t="e">
        <f t="shared" ca="1" si="7"/>
        <v>#NAME?</v>
      </c>
      <c r="R22" s="26" t="e">
        <f t="array" aca="1" ref="R22" ca="1">_xludf.XLOOKUP(D22,'KPS #48'!D:D,'KPS #48'!R:R,0)</f>
        <v>#NAME?</v>
      </c>
      <c r="S22" s="25" t="e">
        <f t="shared" ca="1" si="8"/>
        <v>#NAME?</v>
      </c>
      <c r="T22" s="26" t="e">
        <f t="array" aca="1" ref="T22" ca="1">_xludf.XLOOKUP(D22,'KPS #48'!D:D,'KPS #48'!T:T,0)</f>
        <v>#NAME?</v>
      </c>
      <c r="U22" s="25" t="e">
        <f t="shared" ca="1" si="9"/>
        <v>#NAME?</v>
      </c>
      <c r="V22" s="26" t="e">
        <f t="array" aca="1" ref="V22" ca="1">_xludf.XLOOKUP(D22,'KPS #48'!D:D,'KPS #48'!V:V,0)</f>
        <v>#NAME?</v>
      </c>
      <c r="W22" s="25" t="e">
        <f t="shared" ca="1" si="10"/>
        <v>#NAME?</v>
      </c>
      <c r="X22" s="27" t="e">
        <f t="shared" ref="X22:Y22" ca="1" si="30">SUM(V22,T22,R22,P22,N22,L22,J22)</f>
        <v>#NAME?</v>
      </c>
      <c r="Y22" s="28" t="e">
        <f t="shared" ca="1" si="30"/>
        <v>#NAME?</v>
      </c>
      <c r="Z22" s="22"/>
      <c r="AA22" s="29" t="e">
        <f ca="1">X22*IFERROR(VLOOKUP(D22,'Brand List'!$B:$D,3,0),0)</f>
        <v>#NAME?</v>
      </c>
      <c r="AB22" s="29" t="e">
        <f ca="1">H22*IFERROR(VLOOKUP(D22,'Brand List'!$B:$D,3,0),0)</f>
        <v>#NAME?</v>
      </c>
      <c r="AC22" s="29" t="e">
        <f t="shared" ca="1" si="12"/>
        <v>#NAME?</v>
      </c>
      <c r="AD22" s="2">
        <f>_xlfn.XLOOKUP(D22,[1]Summary!$E:$E,[1]Summary!$L:$L,0)</f>
        <v>0</v>
      </c>
      <c r="AE22" s="5" t="e">
        <f t="shared" ca="1" si="13"/>
        <v>#NAME?</v>
      </c>
    </row>
    <row r="23" spans="1:31" ht="14.25" customHeight="1">
      <c r="A23" s="20" t="str">
        <f t="shared" si="27"/>
        <v>ARB12</v>
      </c>
      <c r="B23" s="21" t="s">
        <v>73</v>
      </c>
      <c r="C23" s="22" t="s">
        <v>70</v>
      </c>
      <c r="D23" s="22" t="s">
        <v>81</v>
      </c>
      <c r="E23" s="21" t="s">
        <v>82</v>
      </c>
      <c r="F23" s="22" t="s">
        <v>66</v>
      </c>
      <c r="G23" s="23" t="e">
        <f t="array" aca="1" ref="G23" ca="1">_xludf.XLOOKUP(D23,'KPS #48'!D:D,'KPS #48'!G:G,0)</f>
        <v>#NAME?</v>
      </c>
      <c r="H23" s="22" t="e">
        <f t="array" aca="1" ref="H23" ca="1">_xludf.XLOOKUP(D23,'KPS #48'!D:D,'KPS #48'!H:H,0)</f>
        <v>#NAME?</v>
      </c>
      <c r="I23" s="22" t="e">
        <f t="shared" ca="1" si="3"/>
        <v>#NAME?</v>
      </c>
      <c r="J23" s="46" t="e">
        <f t="array" aca="1" ref="J23" ca="1">_xludf.XLOOKUP(D23,'KPS #48'!D:D,'KPS #48'!J:J,0)</f>
        <v>#NAME?</v>
      </c>
      <c r="K23" s="47" t="e">
        <f t="shared" ca="1" si="4"/>
        <v>#NAME?</v>
      </c>
      <c r="L23" s="48" t="e">
        <f t="array" aca="1" ref="L23" ca="1">_xludf.XLOOKUP(D23,'KPS #48'!D:D,'KPS #48'!L:L,0)</f>
        <v>#NAME?</v>
      </c>
      <c r="M23" s="47" t="e">
        <f t="shared" ca="1" si="5"/>
        <v>#NAME?</v>
      </c>
      <c r="N23" s="24" t="e">
        <f t="array" aca="1" ref="N23" ca="1">_xludf.XLOOKUP(D23,'KPS #48'!D:D,'KPS #48'!N:N,0)</f>
        <v>#NAME?</v>
      </c>
      <c r="O23" s="25" t="e">
        <f t="shared" ca="1" si="6"/>
        <v>#NAME?</v>
      </c>
      <c r="P23" s="26" t="e">
        <f t="array" aca="1" ref="P23" ca="1">_xludf.XLOOKUP(D23,'KPS #48'!D:D,'KPS #48'!P:P,0)</f>
        <v>#NAME?</v>
      </c>
      <c r="Q23" s="25" t="e">
        <f t="shared" ca="1" si="7"/>
        <v>#NAME?</v>
      </c>
      <c r="R23" s="26" t="e">
        <f t="array" aca="1" ref="R23" ca="1">_xludf.XLOOKUP(D23,'KPS #48'!D:D,'KPS #48'!R:R,0)</f>
        <v>#NAME?</v>
      </c>
      <c r="S23" s="25" t="e">
        <f t="shared" ca="1" si="8"/>
        <v>#NAME?</v>
      </c>
      <c r="T23" s="26" t="e">
        <f t="array" aca="1" ref="T23" ca="1">_xludf.XLOOKUP(D23,'KPS #48'!D:D,'KPS #48'!T:T,0)</f>
        <v>#NAME?</v>
      </c>
      <c r="U23" s="25" t="e">
        <f t="shared" ca="1" si="9"/>
        <v>#NAME?</v>
      </c>
      <c r="V23" s="26" t="e">
        <f t="array" aca="1" ref="V23" ca="1">_xludf.XLOOKUP(D23,'KPS #48'!D:D,'KPS #48'!V:V,0)</f>
        <v>#NAME?</v>
      </c>
      <c r="W23" s="25" t="e">
        <f t="shared" ca="1" si="10"/>
        <v>#NAME?</v>
      </c>
      <c r="X23" s="27" t="e">
        <f t="shared" ref="X23:Y23" ca="1" si="31">SUM(V23,T23,R23,P23,N23,L23,J23)</f>
        <v>#NAME?</v>
      </c>
      <c r="Y23" s="28" t="e">
        <f t="shared" ca="1" si="31"/>
        <v>#NAME?</v>
      </c>
      <c r="Z23" s="22" t="s">
        <v>69</v>
      </c>
      <c r="AA23" s="29" t="e">
        <f ca="1">X23*IFERROR(VLOOKUP(D23,'Brand List'!$B:$D,3,0),0)</f>
        <v>#NAME?</v>
      </c>
      <c r="AB23" s="29" t="e">
        <f ca="1">H23*IFERROR(VLOOKUP(D23,'Brand List'!$B:$D,3,0),0)</f>
        <v>#NAME?</v>
      </c>
      <c r="AC23" s="29" t="e">
        <f t="shared" ca="1" si="12"/>
        <v>#NAME?</v>
      </c>
      <c r="AD23" s="2">
        <f>_xlfn.XLOOKUP(D23,[1]Summary!$E:$E,[1]Summary!$L:$L,0)</f>
        <v>0</v>
      </c>
      <c r="AE23" s="5" t="e">
        <f t="shared" ca="1" si="13"/>
        <v>#NAME?</v>
      </c>
    </row>
    <row r="24" spans="1:31" ht="14.25" customHeight="1">
      <c r="A24" s="20" t="str">
        <f t="shared" si="27"/>
        <v>ARB20</v>
      </c>
      <c r="B24" s="21" t="s">
        <v>73</v>
      </c>
      <c r="C24" s="22" t="s">
        <v>56</v>
      </c>
      <c r="D24" s="22" t="s">
        <v>83</v>
      </c>
      <c r="E24" s="21" t="s">
        <v>84</v>
      </c>
      <c r="F24" s="22" t="s">
        <v>66</v>
      </c>
      <c r="G24" s="23" t="e">
        <f t="array" aca="1" ref="G24" ca="1">_xludf.XLOOKUP(D24,'KPS #48'!D:D,'KPS #48'!G:G,0)</f>
        <v>#NAME?</v>
      </c>
      <c r="H24" s="22" t="e">
        <f t="array" aca="1" ref="H24" ca="1">_xludf.XLOOKUP(D24,'KPS #48'!D:D,'KPS #48'!H:H,0)</f>
        <v>#NAME?</v>
      </c>
      <c r="I24" s="22" t="e">
        <f t="shared" ca="1" si="3"/>
        <v>#NAME?</v>
      </c>
      <c r="J24" s="46" t="e">
        <f t="array" aca="1" ref="J24" ca="1">_xludf.XLOOKUP(D24,'KPS #48'!D:D,'KPS #48'!J:J,0)</f>
        <v>#NAME?</v>
      </c>
      <c r="K24" s="47" t="e">
        <f t="shared" ca="1" si="4"/>
        <v>#NAME?</v>
      </c>
      <c r="L24" s="48" t="e">
        <f t="array" aca="1" ref="L24" ca="1">_xludf.XLOOKUP(D24,'KPS #48'!D:D,'KPS #48'!L:L,0)</f>
        <v>#NAME?</v>
      </c>
      <c r="M24" s="47" t="e">
        <f t="shared" ca="1" si="5"/>
        <v>#NAME?</v>
      </c>
      <c r="N24" s="24" t="e">
        <f t="array" aca="1" ref="N24" ca="1">_xludf.XLOOKUP(D24,'KPS #48'!D:D,'KPS #48'!N:N,0)</f>
        <v>#NAME?</v>
      </c>
      <c r="O24" s="25" t="e">
        <f t="shared" ca="1" si="6"/>
        <v>#NAME?</v>
      </c>
      <c r="P24" s="26" t="e">
        <f t="array" aca="1" ref="P24" ca="1">_xludf.XLOOKUP(D24,'KPS #48'!D:D,'KPS #48'!P:P,0)</f>
        <v>#NAME?</v>
      </c>
      <c r="Q24" s="25" t="e">
        <f t="shared" ca="1" si="7"/>
        <v>#NAME?</v>
      </c>
      <c r="R24" s="26" t="e">
        <f t="array" aca="1" ref="R24" ca="1">_xludf.XLOOKUP(D24,'KPS #48'!D:D,'KPS #48'!R:R,0)</f>
        <v>#NAME?</v>
      </c>
      <c r="S24" s="25" t="e">
        <f t="shared" ca="1" si="8"/>
        <v>#NAME?</v>
      </c>
      <c r="T24" s="26" t="e">
        <f t="array" aca="1" ref="T24" ca="1">_xludf.XLOOKUP(D24,'KPS #48'!D:D,'KPS #48'!T:T,0)</f>
        <v>#NAME?</v>
      </c>
      <c r="U24" s="25" t="e">
        <f t="shared" ca="1" si="9"/>
        <v>#NAME?</v>
      </c>
      <c r="V24" s="26" t="e">
        <f t="array" aca="1" ref="V24" ca="1">_xludf.XLOOKUP(D24,'KPS #48'!D:D,'KPS #48'!V:V,0)</f>
        <v>#NAME?</v>
      </c>
      <c r="W24" s="25" t="e">
        <f t="shared" ca="1" si="10"/>
        <v>#NAME?</v>
      </c>
      <c r="X24" s="27" t="e">
        <f t="shared" ref="X24:Y24" ca="1" si="32">SUM(V24,T24,R24,P24,N24,L24,J24)</f>
        <v>#NAME?</v>
      </c>
      <c r="Y24" s="28" t="e">
        <f t="shared" ca="1" si="32"/>
        <v>#NAME?</v>
      </c>
      <c r="Z24" s="22" t="s">
        <v>69</v>
      </c>
      <c r="AA24" s="29" t="e">
        <f ca="1">X24*IFERROR(VLOOKUP(D24,'Brand List'!$B:$D,3,0),0)</f>
        <v>#NAME?</v>
      </c>
      <c r="AB24" s="29" t="e">
        <f ca="1">H24*IFERROR(VLOOKUP(D24,'Brand List'!$B:$D,3,0),0)</f>
        <v>#NAME?</v>
      </c>
      <c r="AC24" s="29" t="e">
        <f t="shared" ca="1" si="12"/>
        <v>#NAME?</v>
      </c>
      <c r="AD24" s="2">
        <f>_xlfn.XLOOKUP(D24,[1]Summary!$E:$E,[1]Summary!$L:$L,0)</f>
        <v>0</v>
      </c>
      <c r="AE24" s="5" t="e">
        <f t="shared" ca="1" si="13"/>
        <v>#NAME?</v>
      </c>
    </row>
    <row r="25" spans="1:31" ht="14.25" customHeight="1">
      <c r="A25" s="20" t="str">
        <f t="shared" si="27"/>
        <v>ARL16</v>
      </c>
      <c r="B25" s="21" t="s">
        <v>73</v>
      </c>
      <c r="C25" s="22" t="s">
        <v>63</v>
      </c>
      <c r="D25" s="22" t="s">
        <v>85</v>
      </c>
      <c r="E25" s="21" t="s">
        <v>86</v>
      </c>
      <c r="F25" s="22" t="s">
        <v>66</v>
      </c>
      <c r="G25" s="23" t="e">
        <f t="array" aca="1" ref="G25" ca="1">_xludf.XLOOKUP(D25,'KPS #48'!D:D,'KPS #48'!G:G,0)</f>
        <v>#NAME?</v>
      </c>
      <c r="H25" s="22" t="e">
        <f t="array" aca="1" ref="H25" ca="1">_xludf.XLOOKUP(D25,'KPS #48'!D:D,'KPS #48'!H:H,0)</f>
        <v>#NAME?</v>
      </c>
      <c r="I25" s="22" t="e">
        <f t="shared" ca="1" si="3"/>
        <v>#NAME?</v>
      </c>
      <c r="J25" s="26" t="e">
        <f t="array" aca="1" ref="J25" ca="1">_xludf.XLOOKUP(D25,'KPS #48'!D:D,'KPS #48'!J:J,0)</f>
        <v>#NAME?</v>
      </c>
      <c r="K25" s="25" t="e">
        <f t="shared" ca="1" si="4"/>
        <v>#NAME?</v>
      </c>
      <c r="L25" s="24" t="e">
        <f t="array" aca="1" ref="L25" ca="1">_xludf.XLOOKUP(D25,'KPS #48'!D:D,'KPS #48'!L:L,0)</f>
        <v>#NAME?</v>
      </c>
      <c r="M25" s="25" t="e">
        <f t="shared" ca="1" si="5"/>
        <v>#NAME?</v>
      </c>
      <c r="N25" s="24" t="e">
        <f t="array" aca="1" ref="N25" ca="1">_xludf.XLOOKUP(D25,'KPS #48'!D:D,'KPS #48'!N:N,0)</f>
        <v>#NAME?</v>
      </c>
      <c r="O25" s="25" t="e">
        <f t="shared" ca="1" si="6"/>
        <v>#NAME?</v>
      </c>
      <c r="P25" s="26" t="e">
        <f t="array" aca="1" ref="P25" ca="1">_xludf.XLOOKUP(D25,'KPS #48'!D:D,'KPS #48'!P:P,0)</f>
        <v>#NAME?</v>
      </c>
      <c r="Q25" s="25" t="e">
        <f t="shared" ca="1" si="7"/>
        <v>#NAME?</v>
      </c>
      <c r="R25" s="26" t="e">
        <f t="array" aca="1" ref="R25" ca="1">_xludf.XLOOKUP(D25,'KPS #48'!D:D,'KPS #48'!R:R,0)</f>
        <v>#NAME?</v>
      </c>
      <c r="S25" s="25" t="e">
        <f t="shared" ca="1" si="8"/>
        <v>#NAME?</v>
      </c>
      <c r="T25" s="26" t="e">
        <f t="array" aca="1" ref="T25" ca="1">_xludf.XLOOKUP(D25,'KPS #48'!D:D,'KPS #48'!T:T,0)</f>
        <v>#NAME?</v>
      </c>
      <c r="U25" s="25" t="e">
        <f t="shared" ca="1" si="9"/>
        <v>#NAME?</v>
      </c>
      <c r="V25" s="26" t="e">
        <f t="array" aca="1" ref="V25" ca="1">_xludf.XLOOKUP(D25,'KPS #48'!D:D,'KPS #48'!V:V,0)</f>
        <v>#NAME?</v>
      </c>
      <c r="W25" s="25" t="e">
        <f t="shared" ca="1" si="10"/>
        <v>#NAME?</v>
      </c>
      <c r="X25" s="27" t="e">
        <f t="shared" ref="X25:Y25" ca="1" si="33">SUM(V25,T25,R25,P25,N25,L25,J25)</f>
        <v>#NAME?</v>
      </c>
      <c r="Y25" s="28" t="e">
        <f t="shared" ca="1" si="33"/>
        <v>#NAME?</v>
      </c>
      <c r="Z25" s="22"/>
      <c r="AA25" s="29" t="e">
        <f ca="1">X25*IFERROR(VLOOKUP(D25,'Brand List'!$B:$D,3,0),0)</f>
        <v>#NAME?</v>
      </c>
      <c r="AB25" s="29" t="e">
        <f ca="1">H25*IFERROR(VLOOKUP(D25,'Brand List'!$B:$D,3,0),0)</f>
        <v>#NAME?</v>
      </c>
      <c r="AC25" s="29" t="e">
        <f t="shared" ca="1" si="12"/>
        <v>#NAME?</v>
      </c>
      <c r="AD25" s="2">
        <f>_xlfn.XLOOKUP(D25,[1]Summary!$E:$E,[1]Summary!$L:$L,0)</f>
        <v>0</v>
      </c>
      <c r="AE25" s="5" t="e">
        <f t="shared" ca="1" si="13"/>
        <v>#NAME?</v>
      </c>
    </row>
    <row r="26" spans="1:31" ht="14.25" customHeight="1">
      <c r="A26" s="20" t="str">
        <f t="shared" si="27"/>
        <v>BRW12</v>
      </c>
      <c r="B26" s="30" t="s">
        <v>87</v>
      </c>
      <c r="C26" s="31" t="s">
        <v>24</v>
      </c>
      <c r="D26" s="32" t="s">
        <v>88</v>
      </c>
      <c r="E26" s="33" t="s">
        <v>89</v>
      </c>
      <c r="F26" s="31" t="s">
        <v>90</v>
      </c>
      <c r="G26" s="34" t="e">
        <f t="array" aca="1" ref="G26" ca="1">_xludf.XLOOKUP(D26,'KPS #48'!D:D,'KPS #48'!G:G,0)</f>
        <v>#NAME?</v>
      </c>
      <c r="H26" s="31" t="e">
        <f t="array" aca="1" ref="H26" ca="1">_xludf.XLOOKUP(D26,'KPS #48'!D:D,'KPS #48'!H:H,0)</f>
        <v>#NAME?</v>
      </c>
      <c r="I26" s="31" t="e">
        <f t="shared" ca="1" si="3"/>
        <v>#NAME?</v>
      </c>
      <c r="J26" s="35" t="e">
        <f t="array" aca="1" ref="J26" ca="1">_xludf.XLOOKUP(D26,'KPS #48'!D:D,'KPS #48'!J:J,0)</f>
        <v>#NAME?</v>
      </c>
      <c r="K26" s="36" t="e">
        <f t="shared" ca="1" si="4"/>
        <v>#NAME?</v>
      </c>
      <c r="L26" s="37" t="e">
        <f t="array" aca="1" ref="L26" ca="1">_xludf.XLOOKUP(D26,'KPS #48'!D:D,'KPS #48'!L:L,0)</f>
        <v>#NAME?</v>
      </c>
      <c r="M26" s="38" t="e">
        <f t="shared" ca="1" si="5"/>
        <v>#NAME?</v>
      </c>
      <c r="N26" s="37" t="e">
        <f t="array" aca="1" ref="N26" ca="1">_xludf.XLOOKUP(D26,'KPS #48'!D:D,'KPS #48'!N:N,0)</f>
        <v>#NAME?</v>
      </c>
      <c r="O26" s="38" t="e">
        <f t="shared" ca="1" si="6"/>
        <v>#NAME?</v>
      </c>
      <c r="P26" s="42" t="e">
        <f t="array" aca="1" ref="P26" ca="1">_xludf.XLOOKUP(D26,'KPS #48'!D:D,'KPS #48'!P:P,0)</f>
        <v>#NAME?</v>
      </c>
      <c r="Q26" s="38" t="e">
        <f t="shared" ca="1" si="7"/>
        <v>#NAME?</v>
      </c>
      <c r="R26" s="35" t="e">
        <f t="array" aca="1" ref="R26" ca="1">_xludf.XLOOKUP(D26,'KPS #48'!D:D,'KPS #48'!R:R,0)</f>
        <v>#NAME?</v>
      </c>
      <c r="S26" s="36" t="e">
        <f t="shared" ca="1" si="8"/>
        <v>#NAME?</v>
      </c>
      <c r="T26" s="35" t="e">
        <f t="array" aca="1" ref="T26" ca="1">_xludf.XLOOKUP(D26,'KPS #48'!D:D,'KPS #48'!T:T,0)</f>
        <v>#NAME?</v>
      </c>
      <c r="U26" s="36" t="e">
        <f t="shared" ca="1" si="9"/>
        <v>#NAME?</v>
      </c>
      <c r="V26" s="35" t="e">
        <f t="array" aca="1" ref="V26" ca="1">_xludf.XLOOKUP(D26,'KPS #48'!D:D,'KPS #48'!V:V,0)</f>
        <v>#NAME?</v>
      </c>
      <c r="W26" s="36" t="e">
        <f t="shared" ca="1" si="10"/>
        <v>#NAME?</v>
      </c>
      <c r="X26" s="40" t="e">
        <f t="shared" ref="X26:Y26" ca="1" si="34">SUM(V26,T26,R26,P26,N26,L26,J26)</f>
        <v>#NAME?</v>
      </c>
      <c r="Y26" s="41" t="e">
        <f t="shared" ca="1" si="34"/>
        <v>#NAME?</v>
      </c>
      <c r="Z26" s="32"/>
      <c r="AA26" s="29" t="e">
        <f ca="1">X26*IFERROR(VLOOKUP(D26,'Brand List'!$B:$D,3,0),0)</f>
        <v>#NAME?</v>
      </c>
      <c r="AB26" s="29" t="e">
        <f ca="1">H26*IFERROR(VLOOKUP(D26,'Brand List'!$B:$D,3,0),0)</f>
        <v>#NAME?</v>
      </c>
      <c r="AC26" s="29" t="e">
        <f t="shared" ca="1" si="12"/>
        <v>#NAME?</v>
      </c>
      <c r="AD26" s="2">
        <f>_xlfn.XLOOKUP(D26,[1]Summary!$E:$E,[1]Summary!$L:$L,0)</f>
        <v>0</v>
      </c>
      <c r="AE26" s="5" t="e">
        <f t="shared" ca="1" si="13"/>
        <v>#NAME?</v>
      </c>
    </row>
    <row r="27" spans="1:31" ht="14.25" customHeight="1">
      <c r="A27" s="20" t="str">
        <f t="shared" si="27"/>
        <v>SRS12</v>
      </c>
      <c r="B27" s="30" t="s">
        <v>91</v>
      </c>
      <c r="C27" s="31" t="s">
        <v>24</v>
      </c>
      <c r="D27" s="32" t="s">
        <v>92</v>
      </c>
      <c r="E27" s="33" t="s">
        <v>93</v>
      </c>
      <c r="F27" s="31" t="s">
        <v>90</v>
      </c>
      <c r="G27" s="34" t="e">
        <f t="array" aca="1" ref="G27" ca="1">_xludf.XLOOKUP(D27,'KPS #48'!D:D,'KPS #48'!G:G,0)</f>
        <v>#NAME?</v>
      </c>
      <c r="H27" s="31" t="e">
        <f t="array" aca="1" ref="H27" ca="1">_xludf.XLOOKUP(D27,'KPS #48'!D:D,'KPS #48'!H:H,0)</f>
        <v>#NAME?</v>
      </c>
      <c r="I27" s="31" t="e">
        <f t="shared" ca="1" si="3"/>
        <v>#NAME?</v>
      </c>
      <c r="J27" s="35" t="e">
        <f t="array" aca="1" ref="J27" ca="1">_xludf.XLOOKUP(D27,'KPS #48'!D:D,'KPS #48'!J:J,0)</f>
        <v>#NAME?</v>
      </c>
      <c r="K27" s="36" t="e">
        <f t="shared" ca="1" si="4"/>
        <v>#NAME?</v>
      </c>
      <c r="L27" s="37" t="e">
        <f t="array" aca="1" ref="L27" ca="1">_xludf.XLOOKUP(D27,'KPS #48'!D:D,'KPS #48'!L:L,0)</f>
        <v>#NAME?</v>
      </c>
      <c r="M27" s="38" t="e">
        <f t="shared" ca="1" si="5"/>
        <v>#NAME?</v>
      </c>
      <c r="N27" s="37" t="e">
        <f t="array" aca="1" ref="N27" ca="1">_xludf.XLOOKUP(D27,'KPS #48'!D:D,'KPS #48'!N:N,0)</f>
        <v>#NAME?</v>
      </c>
      <c r="O27" s="38" t="e">
        <f t="shared" ca="1" si="6"/>
        <v>#NAME?</v>
      </c>
      <c r="P27" s="42" t="e">
        <f t="array" aca="1" ref="P27" ca="1">_xludf.XLOOKUP(D27,'KPS #48'!D:D,'KPS #48'!P:P,0)</f>
        <v>#NAME?</v>
      </c>
      <c r="Q27" s="38" t="e">
        <f t="shared" ca="1" si="7"/>
        <v>#NAME?</v>
      </c>
      <c r="R27" s="42" t="e">
        <f t="array" aca="1" ref="R27" ca="1">_xludf.XLOOKUP(D27,'KPS #48'!D:D,'KPS #48'!R:R,0)</f>
        <v>#NAME?</v>
      </c>
      <c r="S27" s="36" t="e">
        <f t="shared" ca="1" si="8"/>
        <v>#NAME?</v>
      </c>
      <c r="T27" s="35" t="e">
        <f t="array" aca="1" ref="T27" ca="1">_xludf.XLOOKUP(D27,'KPS #48'!D:D,'KPS #48'!T:T,0)</f>
        <v>#NAME?</v>
      </c>
      <c r="U27" s="36" t="e">
        <f t="shared" ca="1" si="9"/>
        <v>#NAME?</v>
      </c>
      <c r="V27" s="35" t="e">
        <f t="array" aca="1" ref="V27" ca="1">_xludf.XLOOKUP(D27,'KPS #48'!D:D,'KPS #48'!V:V,0)</f>
        <v>#NAME?</v>
      </c>
      <c r="W27" s="36" t="e">
        <f t="shared" ca="1" si="10"/>
        <v>#NAME?</v>
      </c>
      <c r="X27" s="40" t="e">
        <f t="shared" ref="X27:Y27" ca="1" si="35">SUM(V27,T27,R27,P27,N27,L27,J27)</f>
        <v>#NAME?</v>
      </c>
      <c r="Y27" s="41" t="e">
        <f t="shared" ca="1" si="35"/>
        <v>#NAME?</v>
      </c>
      <c r="Z27" s="32" t="s">
        <v>94</v>
      </c>
      <c r="AA27" s="29" t="e">
        <f ca="1">X27*IFERROR(VLOOKUP(D27,'Brand List'!$B:$D,3,0),0)</f>
        <v>#NAME?</v>
      </c>
      <c r="AB27" s="29" t="e">
        <f ca="1">H27*IFERROR(VLOOKUP(D27,'Brand List'!$B:$D,3,0),0)</f>
        <v>#NAME?</v>
      </c>
      <c r="AC27" s="29" t="e">
        <f t="shared" ca="1" si="12"/>
        <v>#NAME?</v>
      </c>
      <c r="AD27" s="2">
        <f>_xlfn.XLOOKUP(D27,[1]Summary!$E:$E,[1]Summary!$L:$L,0)</f>
        <v>0</v>
      </c>
      <c r="AE27" s="5" t="e">
        <f t="shared" ca="1" si="13"/>
        <v>#NAME?</v>
      </c>
    </row>
    <row r="28" spans="1:31" ht="14.25" customHeight="1">
      <c r="A28" s="20" t="str">
        <f t="shared" si="27"/>
        <v>SRS16</v>
      </c>
      <c r="B28" s="30" t="s">
        <v>91</v>
      </c>
      <c r="C28" s="31" t="s">
        <v>95</v>
      </c>
      <c r="D28" s="32" t="s">
        <v>96</v>
      </c>
      <c r="E28" s="33" t="s">
        <v>97</v>
      </c>
      <c r="F28" s="31" t="s">
        <v>90</v>
      </c>
      <c r="G28" s="34" t="e">
        <f t="array" aca="1" ref="G28" ca="1">_xludf.XLOOKUP(D28,'KPS #48'!D:D,'KPS #48'!G:G,0)</f>
        <v>#NAME?</v>
      </c>
      <c r="H28" s="31" t="e">
        <f t="array" aca="1" ref="H28" ca="1">_xludf.XLOOKUP(D28,'KPS #48'!D:D,'KPS #48'!H:H,0)</f>
        <v>#NAME?</v>
      </c>
      <c r="I28" s="31" t="e">
        <f t="shared" ca="1" si="3"/>
        <v>#NAME?</v>
      </c>
      <c r="J28" s="35" t="e">
        <f t="array" aca="1" ref="J28" ca="1">_xludf.XLOOKUP(D28,'KPS #48'!D:D,'KPS #48'!J:J,0)</f>
        <v>#NAME?</v>
      </c>
      <c r="K28" s="36" t="e">
        <f t="shared" ca="1" si="4"/>
        <v>#NAME?</v>
      </c>
      <c r="L28" s="37" t="e">
        <f t="array" aca="1" ref="L28" ca="1">_xludf.XLOOKUP(D28,'KPS #48'!D:D,'KPS #48'!L:L,0)</f>
        <v>#NAME?</v>
      </c>
      <c r="M28" s="38" t="e">
        <f t="shared" ca="1" si="5"/>
        <v>#NAME?</v>
      </c>
      <c r="N28" s="37" t="e">
        <f t="array" aca="1" ref="N28" ca="1">_xludf.XLOOKUP(D28,'KPS #48'!D:D,'KPS #48'!N:N,0)</f>
        <v>#NAME?</v>
      </c>
      <c r="O28" s="38" t="e">
        <f t="shared" ca="1" si="6"/>
        <v>#NAME?</v>
      </c>
      <c r="P28" s="42" t="e">
        <f t="array" aca="1" ref="P28" ca="1">_xludf.XLOOKUP(D28,'KPS #48'!D:D,'KPS #48'!P:P,0)</f>
        <v>#NAME?</v>
      </c>
      <c r="Q28" s="38" t="e">
        <f t="shared" ca="1" si="7"/>
        <v>#NAME?</v>
      </c>
      <c r="R28" s="42" t="e">
        <f t="array" aca="1" ref="R28" ca="1">_xludf.XLOOKUP(D28,'KPS #48'!D:D,'KPS #48'!R:R,0)</f>
        <v>#NAME?</v>
      </c>
      <c r="S28" s="38" t="e">
        <f t="shared" ca="1" si="8"/>
        <v>#NAME?</v>
      </c>
      <c r="T28" s="42" t="e">
        <f t="array" aca="1" ref="T28" ca="1">_xludf.XLOOKUP(D28,'KPS #48'!D:D,'KPS #48'!T:T,0)</f>
        <v>#NAME?</v>
      </c>
      <c r="U28" s="36" t="e">
        <f t="shared" ca="1" si="9"/>
        <v>#NAME?</v>
      </c>
      <c r="V28" s="35" t="e">
        <f t="array" aca="1" ref="V28" ca="1">_xludf.XLOOKUP(D28,'KPS #48'!D:D,'KPS #48'!V:V,0)</f>
        <v>#NAME?</v>
      </c>
      <c r="W28" s="36" t="e">
        <f t="shared" ca="1" si="10"/>
        <v>#NAME?</v>
      </c>
      <c r="X28" s="40" t="e">
        <f t="shared" ref="X28:Y28" ca="1" si="36">SUM(V28,T28,R28,P28,N28,L28,J28)</f>
        <v>#NAME?</v>
      </c>
      <c r="Y28" s="41" t="e">
        <f t="shared" ca="1" si="36"/>
        <v>#NAME?</v>
      </c>
      <c r="Z28" s="32" t="s">
        <v>98</v>
      </c>
      <c r="AA28" s="29" t="e">
        <f ca="1">X28*IFERROR(VLOOKUP(D28,'Brand List'!$B:$D,3,0),0)</f>
        <v>#NAME?</v>
      </c>
      <c r="AB28" s="29" t="e">
        <f ca="1">H28*IFERROR(VLOOKUP(D28,'Brand List'!$B:$D,3,0),0)</f>
        <v>#NAME?</v>
      </c>
      <c r="AC28" s="29" t="e">
        <f t="shared" ca="1" si="12"/>
        <v>#NAME?</v>
      </c>
      <c r="AD28" s="2">
        <f>_xlfn.XLOOKUP(D28,[1]Summary!$E:$E,[1]Summary!$L:$L,0)</f>
        <v>0</v>
      </c>
      <c r="AE28" s="5" t="e">
        <f t="shared" ca="1" si="13"/>
        <v>#NAME?</v>
      </c>
    </row>
    <row r="29" spans="1:31" ht="14.25" customHeight="1">
      <c r="A29" s="20" t="str">
        <f t="shared" si="27"/>
        <v>POS16</v>
      </c>
      <c r="B29" s="30" t="s">
        <v>91</v>
      </c>
      <c r="C29" s="32" t="s">
        <v>63</v>
      </c>
      <c r="D29" s="32" t="s">
        <v>99</v>
      </c>
      <c r="E29" s="33" t="s">
        <v>100</v>
      </c>
      <c r="F29" s="31" t="s">
        <v>90</v>
      </c>
      <c r="G29" s="34" t="e">
        <f t="array" aca="1" ref="G29" ca="1">_xludf.XLOOKUP(D29,'KPS #48'!D:D,'KPS #48'!G:G,0)</f>
        <v>#NAME?</v>
      </c>
      <c r="H29" s="31" t="e">
        <f t="array" aca="1" ref="H29" ca="1">_xludf.XLOOKUP(D29,'KPS #48'!D:D,'KPS #48'!H:H,0)</f>
        <v>#NAME?</v>
      </c>
      <c r="I29" s="31" t="e">
        <f t="shared" ca="1" si="3"/>
        <v>#NAME?</v>
      </c>
      <c r="J29" s="35" t="e">
        <f t="array" aca="1" ref="J29" ca="1">_xludf.XLOOKUP(D29,'KPS #48'!D:D,'KPS #48'!J:J,0)</f>
        <v>#NAME?</v>
      </c>
      <c r="K29" s="36" t="e">
        <f t="shared" ca="1" si="4"/>
        <v>#NAME?</v>
      </c>
      <c r="L29" s="37" t="e">
        <f t="array" aca="1" ref="L29" ca="1">_xludf.XLOOKUP(D29,'KPS #48'!D:D,'KPS #48'!L:L,0)</f>
        <v>#NAME?</v>
      </c>
      <c r="M29" s="38" t="e">
        <f t="shared" ca="1" si="5"/>
        <v>#NAME?</v>
      </c>
      <c r="N29" s="37" t="e">
        <f t="array" aca="1" ref="N29" ca="1">_xludf.XLOOKUP(D29,'KPS #48'!D:D,'KPS #48'!N:N,0)</f>
        <v>#NAME?</v>
      </c>
      <c r="O29" s="38" t="e">
        <f t="shared" ca="1" si="6"/>
        <v>#NAME?</v>
      </c>
      <c r="P29" s="42" t="e">
        <f t="array" aca="1" ref="P29" ca="1">_xludf.XLOOKUP(D29,'KPS #48'!D:D,'KPS #48'!P:P,0)</f>
        <v>#NAME?</v>
      </c>
      <c r="Q29" s="38" t="e">
        <f t="shared" ca="1" si="7"/>
        <v>#NAME?</v>
      </c>
      <c r="R29" s="42" t="e">
        <f t="array" aca="1" ref="R29" ca="1">_xludf.XLOOKUP(D29,'KPS #48'!D:D,'KPS #48'!R:R,0)</f>
        <v>#NAME?</v>
      </c>
      <c r="S29" s="38" t="e">
        <f t="shared" ca="1" si="8"/>
        <v>#NAME?</v>
      </c>
      <c r="T29" s="42" t="e">
        <f t="array" aca="1" ref="T29" ca="1">_xludf.XLOOKUP(D29,'KPS #48'!D:D,'KPS #48'!T:T,0)</f>
        <v>#NAME?</v>
      </c>
      <c r="U29" s="36" t="e">
        <f t="shared" ca="1" si="9"/>
        <v>#NAME?</v>
      </c>
      <c r="V29" s="35" t="e">
        <f t="array" aca="1" ref="V29" ca="1">_xludf.XLOOKUP(D29,'KPS #48'!D:D,'KPS #48'!V:V,0)</f>
        <v>#NAME?</v>
      </c>
      <c r="W29" s="36" t="e">
        <f t="shared" ca="1" si="10"/>
        <v>#NAME?</v>
      </c>
      <c r="X29" s="40" t="e">
        <f t="shared" ref="X29:Y29" ca="1" si="37">SUM(V29,T29,R29,P29,N29,L29,J29)</f>
        <v>#NAME?</v>
      </c>
      <c r="Y29" s="41" t="e">
        <f t="shared" ca="1" si="37"/>
        <v>#NAME?</v>
      </c>
      <c r="Z29" s="32"/>
      <c r="AA29" s="29" t="e">
        <f ca="1">X29*IFERROR(VLOOKUP(D29,'Brand List'!$B:$D,3,0),0)</f>
        <v>#NAME?</v>
      </c>
      <c r="AB29" s="29" t="e">
        <f ca="1">H29*IFERROR(VLOOKUP(D29,'Brand List'!$B:$D,3,0),0)</f>
        <v>#NAME?</v>
      </c>
      <c r="AC29" s="29" t="e">
        <f t="shared" ca="1" si="12"/>
        <v>#NAME?</v>
      </c>
      <c r="AD29" s="2">
        <f>_xlfn.XLOOKUP(D29,[1]Summary!$E:$E,[1]Summary!$L:$L,0)</f>
        <v>0</v>
      </c>
      <c r="AE29" s="5" t="e">
        <f t="shared" ca="1" si="13"/>
        <v>#NAME?</v>
      </c>
    </row>
    <row r="30" spans="1:31" ht="14.25" customHeight="1">
      <c r="A30" s="20" t="str">
        <f t="shared" si="27"/>
        <v>TTL16</v>
      </c>
      <c r="B30" s="30" t="s">
        <v>91</v>
      </c>
      <c r="C30" s="32" t="s">
        <v>63</v>
      </c>
      <c r="D30" s="32" t="s">
        <v>101</v>
      </c>
      <c r="E30" s="33" t="s">
        <v>102</v>
      </c>
      <c r="F30" s="31" t="s">
        <v>90</v>
      </c>
      <c r="G30" s="34" t="e">
        <f t="array" aca="1" ref="G30" ca="1">_xludf.XLOOKUP(D30,'KPS #48'!D:D,'KPS #48'!G:G,0)</f>
        <v>#NAME?</v>
      </c>
      <c r="H30" s="31" t="e">
        <f t="array" aca="1" ref="H30" ca="1">_xludf.XLOOKUP(D30,'KPS #48'!D:D,'KPS #48'!H:H,0)</f>
        <v>#NAME?</v>
      </c>
      <c r="I30" s="31" t="e">
        <f t="shared" ca="1" si="3"/>
        <v>#NAME?</v>
      </c>
      <c r="J30" s="35" t="e">
        <f t="array" aca="1" ref="J30" ca="1">_xludf.XLOOKUP(D30,'KPS #48'!D:D,'KPS #48'!J:J,0)</f>
        <v>#NAME?</v>
      </c>
      <c r="K30" s="36" t="e">
        <f t="shared" ca="1" si="4"/>
        <v>#NAME?</v>
      </c>
      <c r="L30" s="37" t="e">
        <f t="array" aca="1" ref="L30" ca="1">_xludf.XLOOKUP(D30,'KPS #48'!D:D,'KPS #48'!L:L,0)</f>
        <v>#NAME?</v>
      </c>
      <c r="M30" s="38" t="e">
        <f t="shared" ca="1" si="5"/>
        <v>#NAME?</v>
      </c>
      <c r="N30" s="37" t="e">
        <f t="array" aca="1" ref="N30" ca="1">_xludf.XLOOKUP(D30,'KPS #48'!D:D,'KPS #48'!N:N,0)</f>
        <v>#NAME?</v>
      </c>
      <c r="O30" s="38" t="e">
        <f t="shared" ca="1" si="6"/>
        <v>#NAME?</v>
      </c>
      <c r="P30" s="42" t="e">
        <f t="array" aca="1" ref="P30" ca="1">_xludf.XLOOKUP(D30,'KPS #48'!D:D,'KPS #48'!P:P,0)</f>
        <v>#NAME?</v>
      </c>
      <c r="Q30" s="38" t="e">
        <f t="shared" ca="1" si="7"/>
        <v>#NAME?</v>
      </c>
      <c r="R30" s="42" t="e">
        <f t="array" aca="1" ref="R30" ca="1">_xludf.XLOOKUP(D30,'KPS #48'!D:D,'KPS #48'!R:R,0)</f>
        <v>#NAME?</v>
      </c>
      <c r="S30" s="38" t="e">
        <f t="shared" ca="1" si="8"/>
        <v>#NAME?</v>
      </c>
      <c r="T30" s="42" t="e">
        <f t="array" aca="1" ref="T30" ca="1">_xludf.XLOOKUP(D30,'KPS #48'!D:D,'KPS #48'!T:T,0)</f>
        <v>#NAME?</v>
      </c>
      <c r="U30" s="36" t="e">
        <f t="shared" ca="1" si="9"/>
        <v>#NAME?</v>
      </c>
      <c r="V30" s="35" t="e">
        <f t="array" aca="1" ref="V30" ca="1">_xludf.XLOOKUP(D30,'KPS #48'!D:D,'KPS #48'!V:V,0)</f>
        <v>#NAME?</v>
      </c>
      <c r="W30" s="36" t="e">
        <f t="shared" ca="1" si="10"/>
        <v>#NAME?</v>
      </c>
      <c r="X30" s="40" t="e">
        <f t="shared" ref="X30:Y30" ca="1" si="38">SUM(V30,T30,R30,P30,N30,L30,J30)</f>
        <v>#NAME?</v>
      </c>
      <c r="Y30" s="41" t="e">
        <f t="shared" ca="1" si="38"/>
        <v>#NAME?</v>
      </c>
      <c r="Z30" s="32"/>
      <c r="AA30" s="29" t="e">
        <f ca="1">X30*IFERROR(VLOOKUP(D30,'Brand List'!$B:$D,3,0),0)</f>
        <v>#NAME?</v>
      </c>
      <c r="AB30" s="29" t="e">
        <f ca="1">H30*IFERROR(VLOOKUP(D30,'Brand List'!$B:$D,3,0),0)</f>
        <v>#NAME?</v>
      </c>
      <c r="AC30" s="29" t="e">
        <f t="shared" ca="1" si="12"/>
        <v>#NAME?</v>
      </c>
      <c r="AD30" s="2">
        <f>_xlfn.XLOOKUP(D30,[1]Summary!$E:$E,[1]Summary!$L:$L,0)</f>
        <v>0</v>
      </c>
      <c r="AE30" s="5" t="e">
        <f t="shared" ca="1" si="13"/>
        <v>#NAME?</v>
      </c>
    </row>
    <row r="31" spans="1:31" ht="14.25" customHeight="1">
      <c r="A31" s="20" t="str">
        <f t="shared" si="27"/>
        <v>VKT16</v>
      </c>
      <c r="B31" s="30" t="s">
        <v>103</v>
      </c>
      <c r="C31" s="32" t="s">
        <v>95</v>
      </c>
      <c r="D31" s="32" t="s">
        <v>104</v>
      </c>
      <c r="E31" s="33" t="s">
        <v>105</v>
      </c>
      <c r="F31" s="31" t="s">
        <v>90</v>
      </c>
      <c r="G31" s="34" t="e">
        <f t="array" aca="1" ref="G31" ca="1">_xludf.XLOOKUP(D31,'KPS #48'!D:D,'KPS #48'!G:G,0)</f>
        <v>#NAME?</v>
      </c>
      <c r="H31" s="31" t="e">
        <f t="array" aca="1" ref="H31" ca="1">_xludf.XLOOKUP(D31,'KPS #48'!D:D,'KPS #48'!H:H,0)</f>
        <v>#NAME?</v>
      </c>
      <c r="I31" s="31" t="e">
        <f t="shared" ca="1" si="3"/>
        <v>#NAME?</v>
      </c>
      <c r="J31" s="35" t="e">
        <f t="array" aca="1" ref="J31" ca="1">_xludf.XLOOKUP(D31,'KPS #48'!D:D,'KPS #48'!J:J,0)</f>
        <v>#NAME?</v>
      </c>
      <c r="K31" s="36" t="e">
        <f t="shared" ca="1" si="4"/>
        <v>#NAME?</v>
      </c>
      <c r="L31" s="37" t="e">
        <f t="array" aca="1" ref="L31" ca="1">_xludf.XLOOKUP(D31,'KPS #48'!D:D,'KPS #48'!L:L,0)</f>
        <v>#NAME?</v>
      </c>
      <c r="M31" s="38" t="e">
        <f t="shared" ca="1" si="5"/>
        <v>#NAME?</v>
      </c>
      <c r="N31" s="37" t="e">
        <f t="array" aca="1" ref="N31" ca="1">_xludf.XLOOKUP(D31,'KPS #48'!D:D,'KPS #48'!N:N,0)</f>
        <v>#NAME?</v>
      </c>
      <c r="O31" s="38" t="e">
        <f t="shared" ca="1" si="6"/>
        <v>#NAME?</v>
      </c>
      <c r="P31" s="42" t="e">
        <f t="array" aca="1" ref="P31" ca="1">_xludf.XLOOKUP(D31,'KPS #48'!D:D,'KPS #48'!P:P,0)</f>
        <v>#NAME?</v>
      </c>
      <c r="Q31" s="38" t="e">
        <f t="shared" ca="1" si="7"/>
        <v>#NAME?</v>
      </c>
      <c r="R31" s="42" t="e">
        <f t="array" aca="1" ref="R31" ca="1">_xludf.XLOOKUP(D31,'KPS #48'!D:D,'KPS #48'!R:R,0)</f>
        <v>#NAME?</v>
      </c>
      <c r="S31" s="38" t="e">
        <f t="shared" ca="1" si="8"/>
        <v>#NAME?</v>
      </c>
      <c r="T31" s="42" t="e">
        <f t="array" aca="1" ref="T31" ca="1">_xludf.XLOOKUP(D31,'KPS #48'!D:D,'KPS #48'!T:T,0)</f>
        <v>#NAME?</v>
      </c>
      <c r="U31" s="36" t="e">
        <f t="shared" ca="1" si="9"/>
        <v>#NAME?</v>
      </c>
      <c r="V31" s="35" t="e">
        <f t="array" aca="1" ref="V31" ca="1">_xludf.XLOOKUP(D31,'KPS #48'!D:D,'KPS #48'!V:V,0)</f>
        <v>#NAME?</v>
      </c>
      <c r="W31" s="36" t="e">
        <f t="shared" ca="1" si="10"/>
        <v>#NAME?</v>
      </c>
      <c r="X31" s="40" t="e">
        <f t="shared" ref="X31:Y31" ca="1" si="39">SUM(V31,T31,R31,P31,N31,L31,J31)</f>
        <v>#NAME?</v>
      </c>
      <c r="Y31" s="41" t="e">
        <f t="shared" ca="1" si="39"/>
        <v>#NAME?</v>
      </c>
      <c r="Z31" s="32"/>
      <c r="AA31" s="29" t="e">
        <f ca="1">X31*IFERROR(VLOOKUP(D31,'Brand List'!$B:$D,3,0),0)</f>
        <v>#NAME?</v>
      </c>
      <c r="AB31" s="29" t="e">
        <f ca="1">H31*IFERROR(VLOOKUP(D31,'Brand List'!$B:$D,3,0),0)</f>
        <v>#NAME?</v>
      </c>
      <c r="AC31" s="29" t="e">
        <f t="shared" ca="1" si="12"/>
        <v>#NAME?</v>
      </c>
      <c r="AD31" s="2">
        <f>_xlfn.XLOOKUP(D31,[1]Summary!$E:$E,[1]Summary!$L:$L,0)</f>
        <v>0</v>
      </c>
      <c r="AE31" s="5" t="e">
        <f t="shared" ca="1" si="13"/>
        <v>#NAME?</v>
      </c>
    </row>
    <row r="32" spans="1:31" ht="14.25" customHeight="1">
      <c r="A32" s="20" t="str">
        <f t="shared" si="27"/>
        <v>SLT12</v>
      </c>
      <c r="B32" s="21" t="s">
        <v>106</v>
      </c>
      <c r="C32" s="22" t="s">
        <v>24</v>
      </c>
      <c r="D32" s="22" t="s">
        <v>107</v>
      </c>
      <c r="E32" s="21" t="s">
        <v>108</v>
      </c>
      <c r="F32" s="22" t="s">
        <v>90</v>
      </c>
      <c r="G32" s="23" t="e">
        <f t="array" aca="1" ref="G32" ca="1">_xludf.XLOOKUP(D32,'KPS #48'!D:D,'KPS #48'!G:G,0)</f>
        <v>#NAME?</v>
      </c>
      <c r="H32" s="22" t="e">
        <f t="array" aca="1" ref="H32" ca="1">_xludf.XLOOKUP(D32,'KPS #48'!D:D,'KPS #48'!H:H,0)</f>
        <v>#NAME?</v>
      </c>
      <c r="I32" s="22" t="e">
        <f t="shared" ca="1" si="3"/>
        <v>#NAME?</v>
      </c>
      <c r="J32" s="26" t="e">
        <f t="array" aca="1" ref="J32" ca="1">_xludf.XLOOKUP(D32,'KPS #48'!D:D,'KPS #48'!J:J,0)</f>
        <v>#NAME?</v>
      </c>
      <c r="K32" s="25" t="e">
        <f t="shared" ca="1" si="4"/>
        <v>#NAME?</v>
      </c>
      <c r="L32" s="26" t="e">
        <f t="array" aca="1" ref="L32" ca="1">_xludf.XLOOKUP(D32,'KPS #48'!D:D,'KPS #48'!L:L,0)</f>
        <v>#NAME?</v>
      </c>
      <c r="M32" s="25" t="e">
        <f t="shared" ca="1" si="5"/>
        <v>#NAME?</v>
      </c>
      <c r="N32" s="24" t="e">
        <f t="array" aca="1" ref="N32" ca="1">_xludf.XLOOKUP(D32,'KPS #48'!D:D,'KPS #48'!N:N,0)</f>
        <v>#NAME?</v>
      </c>
      <c r="O32" s="25" t="e">
        <f t="shared" ca="1" si="6"/>
        <v>#NAME?</v>
      </c>
      <c r="P32" s="26" t="e">
        <f t="array" aca="1" ref="P32" ca="1">_xludf.XLOOKUP(D32,'KPS #48'!D:D,'KPS #48'!P:P,0)</f>
        <v>#NAME?</v>
      </c>
      <c r="Q32" s="25" t="e">
        <f t="shared" ca="1" si="7"/>
        <v>#NAME?</v>
      </c>
      <c r="R32" s="26" t="e">
        <f t="array" aca="1" ref="R32" ca="1">_xludf.XLOOKUP(D32,'KPS #48'!D:D,'KPS #48'!R:R,0)</f>
        <v>#NAME?</v>
      </c>
      <c r="S32" s="25" t="e">
        <f t="shared" ca="1" si="8"/>
        <v>#NAME?</v>
      </c>
      <c r="T32" s="26" t="e">
        <f t="array" aca="1" ref="T32" ca="1">_xludf.XLOOKUP(D32,'KPS #48'!D:D,'KPS #48'!T:T,0)</f>
        <v>#NAME?</v>
      </c>
      <c r="U32" s="25" t="e">
        <f t="shared" ca="1" si="9"/>
        <v>#NAME?</v>
      </c>
      <c r="V32" s="26" t="e">
        <f t="array" aca="1" ref="V32" ca="1">_xludf.XLOOKUP(D32,'KPS #48'!D:D,'KPS #48'!V:V,0)</f>
        <v>#NAME?</v>
      </c>
      <c r="W32" s="25" t="e">
        <f t="shared" ca="1" si="10"/>
        <v>#NAME?</v>
      </c>
      <c r="X32" s="27" t="e">
        <f t="shared" ref="X32:Y32" ca="1" si="40">SUM(V32,T32,R32,P32,N32,L32,J32)</f>
        <v>#NAME?</v>
      </c>
      <c r="Y32" s="28" t="e">
        <f t="shared" ca="1" si="40"/>
        <v>#NAME?</v>
      </c>
      <c r="Z32" s="22"/>
      <c r="AA32" s="29" t="e">
        <f ca="1">X32*IFERROR(VLOOKUP(D32,'Brand List'!$B:$D,3,0),0)</f>
        <v>#NAME?</v>
      </c>
      <c r="AB32" s="29" t="e">
        <f ca="1">H32*IFERROR(VLOOKUP(D32,'Brand List'!$B:$D,3,0),0)</f>
        <v>#NAME?</v>
      </c>
      <c r="AC32" s="29" t="e">
        <f t="shared" ca="1" si="12"/>
        <v>#NAME?</v>
      </c>
      <c r="AD32" s="2">
        <f>_xlfn.XLOOKUP(D32,[1]Summary!$E:$E,[1]Summary!$L:$L,0)</f>
        <v>0</v>
      </c>
      <c r="AE32" s="5" t="e">
        <f t="shared" ca="1" si="13"/>
        <v>#NAME?</v>
      </c>
    </row>
    <row r="33" spans="1:31" ht="14.25" customHeight="1">
      <c r="A33" s="20" t="str">
        <f t="shared" si="27"/>
        <v>SLT16</v>
      </c>
      <c r="B33" s="21" t="s">
        <v>106</v>
      </c>
      <c r="C33" s="22" t="s">
        <v>95</v>
      </c>
      <c r="D33" s="22" t="s">
        <v>109</v>
      </c>
      <c r="E33" s="21" t="s">
        <v>110</v>
      </c>
      <c r="F33" s="22" t="s">
        <v>90</v>
      </c>
      <c r="G33" s="23" t="e">
        <f t="array" aca="1" ref="G33" ca="1">_xludf.XLOOKUP(D33,'KPS #48'!D:D,'KPS #48'!G:G,0)</f>
        <v>#NAME?</v>
      </c>
      <c r="H33" s="22" t="e">
        <f t="array" aca="1" ref="H33" ca="1">_xludf.XLOOKUP(D33,'KPS #48'!D:D,'KPS #48'!H:H,0)</f>
        <v>#NAME?</v>
      </c>
      <c r="I33" s="22" t="e">
        <f t="shared" ca="1" si="3"/>
        <v>#NAME?</v>
      </c>
      <c r="J33" s="26" t="e">
        <f t="array" aca="1" ref="J33" ca="1">_xludf.XLOOKUP(D33,'KPS #48'!D:D,'KPS #48'!J:J,0)</f>
        <v>#NAME?</v>
      </c>
      <c r="K33" s="25" t="e">
        <f t="shared" ca="1" si="4"/>
        <v>#NAME?</v>
      </c>
      <c r="L33" s="26" t="e">
        <f t="array" aca="1" ref="L33" ca="1">_xludf.XLOOKUP(D33,'KPS #48'!D:D,'KPS #48'!L:L,0)</f>
        <v>#NAME?</v>
      </c>
      <c r="M33" s="25" t="e">
        <f t="shared" ca="1" si="5"/>
        <v>#NAME?</v>
      </c>
      <c r="N33" s="24" t="e">
        <f t="array" aca="1" ref="N33" ca="1">_xludf.XLOOKUP(D33,'KPS #48'!D:D,'KPS #48'!N:N,0)</f>
        <v>#NAME?</v>
      </c>
      <c r="O33" s="25" t="e">
        <f t="shared" ca="1" si="6"/>
        <v>#NAME?</v>
      </c>
      <c r="P33" s="26" t="e">
        <f t="array" aca="1" ref="P33" ca="1">_xludf.XLOOKUP(D33,'KPS #48'!D:D,'KPS #48'!P:P,0)</f>
        <v>#NAME?</v>
      </c>
      <c r="Q33" s="25" t="e">
        <f t="shared" ca="1" si="7"/>
        <v>#NAME?</v>
      </c>
      <c r="R33" s="26" t="e">
        <f t="array" aca="1" ref="R33" ca="1">_xludf.XLOOKUP(D33,'KPS #48'!D:D,'KPS #48'!R:R,0)</f>
        <v>#NAME?</v>
      </c>
      <c r="S33" s="25" t="e">
        <f t="shared" ca="1" si="8"/>
        <v>#NAME?</v>
      </c>
      <c r="T33" s="26" t="e">
        <f t="array" aca="1" ref="T33" ca="1">_xludf.XLOOKUP(D33,'KPS #48'!D:D,'KPS #48'!T:T,0)</f>
        <v>#NAME?</v>
      </c>
      <c r="U33" s="25" t="e">
        <f t="shared" ca="1" si="9"/>
        <v>#NAME?</v>
      </c>
      <c r="V33" s="26" t="e">
        <f t="array" aca="1" ref="V33" ca="1">_xludf.XLOOKUP(D33,'KPS #48'!D:D,'KPS #48'!V:V,0)</f>
        <v>#NAME?</v>
      </c>
      <c r="W33" s="25" t="e">
        <f t="shared" ca="1" si="10"/>
        <v>#NAME?</v>
      </c>
      <c r="X33" s="27" t="e">
        <f t="shared" ref="X33:Y33" ca="1" si="41">SUM(V33,T33,R33,P33,N33,L33,J33)</f>
        <v>#NAME?</v>
      </c>
      <c r="Y33" s="28" t="e">
        <f t="shared" ca="1" si="41"/>
        <v>#NAME?</v>
      </c>
      <c r="Z33" s="22"/>
      <c r="AA33" s="29" t="e">
        <f ca="1">X33*IFERROR(VLOOKUP(D33,'Brand List'!$B:$D,3,0),0)</f>
        <v>#NAME?</v>
      </c>
      <c r="AB33" s="29" t="e">
        <f ca="1">H33*IFERROR(VLOOKUP(D33,'Brand List'!$B:$D,3,0),0)</f>
        <v>#NAME?</v>
      </c>
      <c r="AC33" s="29" t="e">
        <f t="shared" ca="1" si="12"/>
        <v>#NAME?</v>
      </c>
      <c r="AD33" s="2">
        <f>_xlfn.XLOOKUP(D33,[1]Summary!$E:$E,[1]Summary!$L:$L,0)</f>
        <v>0</v>
      </c>
      <c r="AE33" s="5" t="e">
        <f t="shared" ca="1" si="13"/>
        <v>#NAME?</v>
      </c>
    </row>
    <row r="34" spans="1:31" ht="14.25" customHeight="1">
      <c r="A34" s="20" t="str">
        <f t="shared" si="27"/>
        <v>SLT20</v>
      </c>
      <c r="B34" s="21" t="s">
        <v>106</v>
      </c>
      <c r="C34" s="22" t="s">
        <v>111</v>
      </c>
      <c r="D34" s="22" t="s">
        <v>112</v>
      </c>
      <c r="E34" s="21" t="s">
        <v>110</v>
      </c>
      <c r="F34" s="22" t="s">
        <v>90</v>
      </c>
      <c r="G34" s="23" t="e">
        <f t="array" aca="1" ref="G34" ca="1">_xludf.XLOOKUP(D34,'KPS #48'!D:D,'KPS #48'!G:G,0)</f>
        <v>#NAME?</v>
      </c>
      <c r="H34" s="22" t="e">
        <f t="array" aca="1" ref="H34" ca="1">_xludf.XLOOKUP(D34,'KPS #48'!D:D,'KPS #48'!H:H,0)</f>
        <v>#NAME?</v>
      </c>
      <c r="I34" s="22" t="e">
        <f t="shared" ca="1" si="3"/>
        <v>#NAME?</v>
      </c>
      <c r="J34" s="26" t="e">
        <f t="array" aca="1" ref="J34" ca="1">_xludf.XLOOKUP(D34,'KPS #48'!D:D,'KPS #48'!J:J,0)</f>
        <v>#NAME?</v>
      </c>
      <c r="K34" s="25" t="e">
        <f t="shared" ca="1" si="4"/>
        <v>#NAME?</v>
      </c>
      <c r="L34" s="26" t="e">
        <f t="array" aca="1" ref="L34" ca="1">_xludf.XLOOKUP(D34,'KPS #48'!D:D,'KPS #48'!L:L,0)</f>
        <v>#NAME?</v>
      </c>
      <c r="M34" s="25" t="e">
        <f t="shared" ca="1" si="5"/>
        <v>#NAME?</v>
      </c>
      <c r="N34" s="24" t="e">
        <f t="array" aca="1" ref="N34" ca="1">_xludf.XLOOKUP(D34,'KPS #48'!D:D,'KPS #48'!N:N,0)</f>
        <v>#NAME?</v>
      </c>
      <c r="O34" s="25" t="e">
        <f t="shared" ca="1" si="6"/>
        <v>#NAME?</v>
      </c>
      <c r="P34" s="26" t="e">
        <f t="array" aca="1" ref="P34" ca="1">_xludf.XLOOKUP(D34,'KPS #48'!D:D,'KPS #48'!P:P,0)</f>
        <v>#NAME?</v>
      </c>
      <c r="Q34" s="25" t="e">
        <f t="shared" ca="1" si="7"/>
        <v>#NAME?</v>
      </c>
      <c r="R34" s="26" t="e">
        <f t="array" aca="1" ref="R34" ca="1">_xludf.XLOOKUP(D34,'KPS #48'!D:D,'KPS #48'!R:R,0)</f>
        <v>#NAME?</v>
      </c>
      <c r="S34" s="25" t="e">
        <f t="shared" ca="1" si="8"/>
        <v>#NAME?</v>
      </c>
      <c r="T34" s="26" t="e">
        <f t="array" aca="1" ref="T34" ca="1">_xludf.XLOOKUP(D34,'KPS #48'!D:D,'KPS #48'!T:T,0)</f>
        <v>#NAME?</v>
      </c>
      <c r="U34" s="25" t="e">
        <f t="shared" ca="1" si="9"/>
        <v>#NAME?</v>
      </c>
      <c r="V34" s="26" t="e">
        <f t="array" aca="1" ref="V34" ca="1">_xludf.XLOOKUP(D34,'KPS #48'!D:D,'KPS #48'!V:V,0)</f>
        <v>#NAME?</v>
      </c>
      <c r="W34" s="25" t="e">
        <f t="shared" ca="1" si="10"/>
        <v>#NAME?</v>
      </c>
      <c r="X34" s="27" t="e">
        <f t="shared" ref="X34:Y34" ca="1" si="42">SUM(V34,T34,R34,P34,N34,L34,J34)</f>
        <v>#NAME?</v>
      </c>
      <c r="Y34" s="28" t="e">
        <f t="shared" ca="1" si="42"/>
        <v>#NAME?</v>
      </c>
      <c r="Z34" s="22"/>
      <c r="AA34" s="29" t="e">
        <f ca="1">X34*IFERROR(VLOOKUP(D34,'Brand List'!$B:$D,3,0),0)</f>
        <v>#NAME?</v>
      </c>
      <c r="AB34" s="29" t="e">
        <f ca="1">H34*IFERROR(VLOOKUP(D34,'Brand List'!$B:$D,3,0),0)</f>
        <v>#NAME?</v>
      </c>
      <c r="AC34" s="29" t="e">
        <f t="shared" ca="1" si="12"/>
        <v>#NAME?</v>
      </c>
      <c r="AD34" s="2">
        <f>_xlfn.XLOOKUP(D34,[1]Summary!$E:$E,[1]Summary!$L:$L,0)</f>
        <v>0</v>
      </c>
      <c r="AE34" s="5" t="e">
        <f t="shared" ca="1" si="13"/>
        <v>#NAME?</v>
      </c>
    </row>
    <row r="35" spans="1:31" ht="14.25" customHeight="1">
      <c r="A35" s="20" t="str">
        <f t="shared" si="27"/>
        <v>KBL12</v>
      </c>
      <c r="B35" s="30" t="s">
        <v>113</v>
      </c>
      <c r="C35" s="31" t="s">
        <v>24</v>
      </c>
      <c r="D35" s="32" t="s">
        <v>114</v>
      </c>
      <c r="E35" s="33" t="s">
        <v>115</v>
      </c>
      <c r="F35" s="31" t="s">
        <v>90</v>
      </c>
      <c r="G35" s="34" t="e">
        <f t="array" aca="1" ref="G35" ca="1">_xludf.XLOOKUP(D35,'KPS #48'!D:D,'KPS #48'!G:G,0)</f>
        <v>#NAME?</v>
      </c>
      <c r="H35" s="31" t="e">
        <f t="array" aca="1" ref="H35" ca="1">_xludf.XLOOKUP(D35,'KPS #48'!D:D,'KPS #48'!H:H,0)</f>
        <v>#NAME?</v>
      </c>
      <c r="I35" s="31" t="e">
        <f t="shared" ca="1" si="3"/>
        <v>#NAME?</v>
      </c>
      <c r="J35" s="35" t="e">
        <f t="array" aca="1" ref="J35" ca="1">_xludf.XLOOKUP(D35,'KPS #48'!D:D,'KPS #48'!J:J,0)</f>
        <v>#NAME?</v>
      </c>
      <c r="K35" s="36" t="e">
        <f t="shared" ca="1" si="4"/>
        <v>#NAME?</v>
      </c>
      <c r="L35" s="39" t="e">
        <f t="array" aca="1" ref="L35" ca="1">_xludf.XLOOKUP(D35,'KPS #48'!D:D,'KPS #48'!L:L,0)</f>
        <v>#NAME?</v>
      </c>
      <c r="M35" s="36" t="e">
        <f t="shared" ca="1" si="5"/>
        <v>#NAME?</v>
      </c>
      <c r="N35" s="37" t="e">
        <f t="array" aca="1" ref="N35" ca="1">_xludf.XLOOKUP(D35,'KPS #48'!D:D,'KPS #48'!N:N,0)</f>
        <v>#NAME?</v>
      </c>
      <c r="O35" s="38" t="e">
        <f t="shared" ca="1" si="6"/>
        <v>#NAME?</v>
      </c>
      <c r="P35" s="42" t="e">
        <f t="array" aca="1" ref="P35" ca="1">_xludf.XLOOKUP(D35,'KPS #48'!D:D,'KPS #48'!P:P,0)</f>
        <v>#NAME?</v>
      </c>
      <c r="Q35" s="38" t="e">
        <f t="shared" ca="1" si="7"/>
        <v>#NAME?</v>
      </c>
      <c r="R35" s="35" t="e">
        <f t="array" aca="1" ref="R35" ca="1">_xludf.XLOOKUP(D35,'KPS #48'!D:D,'KPS #48'!R:R,0)</f>
        <v>#NAME?</v>
      </c>
      <c r="S35" s="36" t="e">
        <f t="shared" ca="1" si="8"/>
        <v>#NAME?</v>
      </c>
      <c r="T35" s="35" t="e">
        <f t="array" aca="1" ref="T35" ca="1">_xludf.XLOOKUP(D35,'KPS #48'!D:D,'KPS #48'!T:T,0)</f>
        <v>#NAME?</v>
      </c>
      <c r="U35" s="36" t="e">
        <f t="shared" ca="1" si="9"/>
        <v>#NAME?</v>
      </c>
      <c r="V35" s="35" t="e">
        <f t="array" aca="1" ref="V35" ca="1">_xludf.XLOOKUP(D35,'KPS #48'!D:D,'KPS #48'!V:V,0)</f>
        <v>#NAME?</v>
      </c>
      <c r="W35" s="36" t="e">
        <f t="shared" ca="1" si="10"/>
        <v>#NAME?</v>
      </c>
      <c r="X35" s="40" t="e">
        <f t="shared" ref="X35:Y35" ca="1" si="43">SUM(V35,T35,R35,P35,N35,L35,J35)</f>
        <v>#NAME?</v>
      </c>
      <c r="Y35" s="41" t="e">
        <f t="shared" ca="1" si="43"/>
        <v>#NAME?</v>
      </c>
      <c r="Z35" s="32" t="s">
        <v>116</v>
      </c>
      <c r="AA35" s="29" t="e">
        <f ca="1">X35*IFERROR(VLOOKUP(D35,'Brand List'!$B:$D,3,0),0)</f>
        <v>#NAME?</v>
      </c>
      <c r="AB35" s="29" t="e">
        <f ca="1">H35*IFERROR(VLOOKUP(D35,'Brand List'!$B:$D,3,0),0)</f>
        <v>#NAME?</v>
      </c>
      <c r="AC35" s="29" t="e">
        <f t="shared" ca="1" si="12"/>
        <v>#NAME?</v>
      </c>
      <c r="AD35" s="2">
        <f>_xlfn.XLOOKUP(D35,[1]Summary!$E:$E,[1]Summary!$L:$L,0)</f>
        <v>0</v>
      </c>
      <c r="AE35" s="5" t="e">
        <f t="shared" ca="1" si="13"/>
        <v>#NAME?</v>
      </c>
    </row>
    <row r="36" spans="1:31" ht="14.25" customHeight="1">
      <c r="A36" s="20" t="str">
        <f t="shared" si="27"/>
        <v>LND20</v>
      </c>
      <c r="B36" s="30" t="s">
        <v>113</v>
      </c>
      <c r="C36" s="32" t="s">
        <v>111</v>
      </c>
      <c r="D36" s="32" t="s">
        <v>117</v>
      </c>
      <c r="E36" s="33" t="s">
        <v>118</v>
      </c>
      <c r="F36" s="31" t="s">
        <v>90</v>
      </c>
      <c r="G36" s="34" t="e">
        <f t="array" aca="1" ref="G36" ca="1">_xludf.XLOOKUP(D36,'KPS #48'!D:D,'KPS #48'!G:G,0)</f>
        <v>#NAME?</v>
      </c>
      <c r="H36" s="31" t="e">
        <f t="array" aca="1" ref="H36" ca="1">_xludf.XLOOKUP(D36,'KPS #48'!D:D,'KPS #48'!H:H,0)</f>
        <v>#NAME?</v>
      </c>
      <c r="I36" s="31" t="e">
        <f t="shared" ca="1" si="3"/>
        <v>#NAME?</v>
      </c>
      <c r="J36" s="35" t="e">
        <f t="array" aca="1" ref="J36" ca="1">_xludf.XLOOKUP(D36,'KPS #48'!D:D,'KPS #48'!J:J,0)</f>
        <v>#NAME?</v>
      </c>
      <c r="K36" s="36" t="e">
        <f t="shared" ca="1" si="4"/>
        <v>#NAME?</v>
      </c>
      <c r="L36" s="39" t="e">
        <f t="array" aca="1" ref="L36" ca="1">_xludf.XLOOKUP(D36,'KPS #48'!D:D,'KPS #48'!L:L,0)</f>
        <v>#NAME?</v>
      </c>
      <c r="M36" s="36" t="e">
        <f t="shared" ca="1" si="5"/>
        <v>#NAME?</v>
      </c>
      <c r="N36" s="37" t="e">
        <f t="array" aca="1" ref="N36" ca="1">_xludf.XLOOKUP(D36,'KPS #48'!D:D,'KPS #48'!N:N,0)</f>
        <v>#NAME?</v>
      </c>
      <c r="O36" s="38" t="e">
        <f t="shared" ca="1" si="6"/>
        <v>#NAME?</v>
      </c>
      <c r="P36" s="42" t="e">
        <f t="array" aca="1" ref="P36" ca="1">_xludf.XLOOKUP(D36,'KPS #48'!D:D,'KPS #48'!P:P,0)</f>
        <v>#NAME?</v>
      </c>
      <c r="Q36" s="38" t="e">
        <f t="shared" ca="1" si="7"/>
        <v>#NAME?</v>
      </c>
      <c r="R36" s="35" t="e">
        <f t="array" aca="1" ref="R36" ca="1">_xludf.XLOOKUP(D36,'KPS #48'!D:D,'KPS #48'!R:R,0)</f>
        <v>#NAME?</v>
      </c>
      <c r="S36" s="36" t="e">
        <f t="shared" ca="1" si="8"/>
        <v>#NAME?</v>
      </c>
      <c r="T36" s="35" t="e">
        <f t="array" aca="1" ref="T36" ca="1">_xludf.XLOOKUP(D36,'KPS #48'!D:D,'KPS #48'!T:T,0)</f>
        <v>#NAME?</v>
      </c>
      <c r="U36" s="36" t="e">
        <f t="shared" ca="1" si="9"/>
        <v>#NAME?</v>
      </c>
      <c r="V36" s="35" t="e">
        <f t="array" aca="1" ref="V36" ca="1">_xludf.XLOOKUP(D36,'KPS #48'!D:D,'KPS #48'!V:V,0)</f>
        <v>#NAME?</v>
      </c>
      <c r="W36" s="36" t="e">
        <f t="shared" ca="1" si="10"/>
        <v>#NAME?</v>
      </c>
      <c r="X36" s="40" t="e">
        <f t="shared" ref="X36:Y36" ca="1" si="44">SUM(V36,T36,R36,P36,N36,L36,J36)</f>
        <v>#NAME?</v>
      </c>
      <c r="Y36" s="41" t="e">
        <f t="shared" ca="1" si="44"/>
        <v>#NAME?</v>
      </c>
      <c r="Z36" s="32"/>
      <c r="AA36" s="29" t="e">
        <f ca="1">X36*IFERROR(VLOOKUP(D36,'Brand List'!$B:$D,3,0),0)</f>
        <v>#NAME?</v>
      </c>
      <c r="AB36" s="29" t="e">
        <f ca="1">H36*IFERROR(VLOOKUP(D36,'Brand List'!$B:$D,3,0),0)</f>
        <v>#NAME?</v>
      </c>
      <c r="AC36" s="29" t="e">
        <f t="shared" ca="1" si="12"/>
        <v>#NAME?</v>
      </c>
      <c r="AD36" s="2">
        <f>_xlfn.XLOOKUP(D36,[1]Summary!$E:$E,[1]Summary!$L:$L,0)</f>
        <v>0</v>
      </c>
      <c r="AE36" s="5" t="e">
        <f t="shared" ca="1" si="13"/>
        <v>#NAME?</v>
      </c>
    </row>
    <row r="37" spans="1:31" ht="14.25" customHeight="1">
      <c r="A37" s="20" t="str">
        <f t="shared" si="27"/>
        <v>BAJ12</v>
      </c>
      <c r="B37" s="21" t="s">
        <v>119</v>
      </c>
      <c r="C37" s="22" t="s">
        <v>24</v>
      </c>
      <c r="D37" s="22" t="s">
        <v>120</v>
      </c>
      <c r="E37" s="21" t="s">
        <v>121</v>
      </c>
      <c r="F37" s="22" t="s">
        <v>122</v>
      </c>
      <c r="G37" s="23" t="e">
        <f t="array" aca="1" ref="G37" ca="1">_xludf.XLOOKUP(D37,'KPS #48'!D:D,'KPS #48'!G:G,0)</f>
        <v>#NAME?</v>
      </c>
      <c r="H37" s="22" t="e">
        <f t="array" aca="1" ref="H37" ca="1">_xludf.XLOOKUP(D37,'KPS #48'!D:D,'KPS #48'!H:H,0)</f>
        <v>#NAME?</v>
      </c>
      <c r="I37" s="22" t="e">
        <f t="shared" ca="1" si="3"/>
        <v>#NAME?</v>
      </c>
      <c r="J37" s="26" t="e">
        <f t="array" aca="1" ref="J37" ca="1">_xludf.XLOOKUP(D37,'KPS #48'!D:D,'KPS #48'!J:J,0)</f>
        <v>#NAME?</v>
      </c>
      <c r="K37" s="25" t="e">
        <f t="shared" ca="1" si="4"/>
        <v>#NAME?</v>
      </c>
      <c r="L37" s="24" t="e">
        <f t="array" aca="1" ref="L37" ca="1">_xludf.XLOOKUP(D37,'KPS #48'!D:D,'KPS #48'!L:L,0)</f>
        <v>#NAME?</v>
      </c>
      <c r="M37" s="25" t="e">
        <f t="shared" ca="1" si="5"/>
        <v>#NAME?</v>
      </c>
      <c r="N37" s="24" t="e">
        <f t="array" aca="1" ref="N37" ca="1">_xludf.XLOOKUP(D37,'KPS #48'!D:D,'KPS #48'!N:N,0)</f>
        <v>#NAME?</v>
      </c>
      <c r="O37" s="25" t="e">
        <f t="shared" ca="1" si="6"/>
        <v>#NAME?</v>
      </c>
      <c r="P37" s="26" t="e">
        <f t="array" aca="1" ref="P37" ca="1">_xludf.XLOOKUP(D37,'KPS #48'!D:D,'KPS #48'!P:P,0)</f>
        <v>#NAME?</v>
      </c>
      <c r="Q37" s="25" t="e">
        <f t="shared" ca="1" si="7"/>
        <v>#NAME?</v>
      </c>
      <c r="R37" s="26" t="e">
        <f t="array" aca="1" ref="R37" ca="1">_xludf.XLOOKUP(D37,'KPS #48'!D:D,'KPS #48'!R:R,0)</f>
        <v>#NAME?</v>
      </c>
      <c r="S37" s="25" t="e">
        <f t="shared" ca="1" si="8"/>
        <v>#NAME?</v>
      </c>
      <c r="T37" s="26" t="e">
        <f t="array" aca="1" ref="T37" ca="1">_xludf.XLOOKUP(D37,'KPS #48'!D:D,'KPS #48'!T:T,0)</f>
        <v>#NAME?</v>
      </c>
      <c r="U37" s="25" t="e">
        <f t="shared" ca="1" si="9"/>
        <v>#NAME?</v>
      </c>
      <c r="V37" s="26" t="e">
        <f t="array" aca="1" ref="V37" ca="1">_xludf.XLOOKUP(D37,'KPS #48'!D:D,'KPS #48'!V:V,0)</f>
        <v>#NAME?</v>
      </c>
      <c r="W37" s="25" t="e">
        <f t="shared" ca="1" si="10"/>
        <v>#NAME?</v>
      </c>
      <c r="X37" s="27" t="e">
        <f t="shared" ref="X37:Y37" ca="1" si="45">SUM(V37,T37,R37,P37,N37,L37,J37)</f>
        <v>#NAME?</v>
      </c>
      <c r="Y37" s="28" t="e">
        <f t="shared" ca="1" si="45"/>
        <v>#NAME?</v>
      </c>
      <c r="Z37" s="22"/>
      <c r="AA37" s="29" t="e">
        <f ca="1">X37*IFERROR(VLOOKUP(D37,'Brand List'!$B:$D,3,0),0)</f>
        <v>#NAME?</v>
      </c>
      <c r="AB37" s="29" t="e">
        <f ca="1">H37*IFERROR(VLOOKUP(D37,'Brand List'!$B:$D,3,0),0)</f>
        <v>#NAME?</v>
      </c>
      <c r="AC37" s="29" t="e">
        <f t="shared" ca="1" si="12"/>
        <v>#NAME?</v>
      </c>
      <c r="AD37" s="2">
        <f>_xlfn.XLOOKUP(D37,[1]Summary!$E:$E,[1]Summary!$L:$L,0)</f>
        <v>0</v>
      </c>
      <c r="AE37" s="5" t="e">
        <f t="shared" ca="1" si="13"/>
        <v>#NAME?</v>
      </c>
    </row>
    <row r="38" spans="1:31" ht="14.25" customHeight="1">
      <c r="A38" s="20" t="str">
        <f t="shared" si="27"/>
        <v>NIA16</v>
      </c>
      <c r="B38" s="21" t="s">
        <v>119</v>
      </c>
      <c r="C38" s="22" t="s">
        <v>24</v>
      </c>
      <c r="D38" s="22" t="s">
        <v>123</v>
      </c>
      <c r="E38" s="21" t="s">
        <v>124</v>
      </c>
      <c r="F38" s="22" t="s">
        <v>122</v>
      </c>
      <c r="G38" s="23" t="e">
        <f t="array" aca="1" ref="G38" ca="1">_xludf.XLOOKUP(D38,'KPS #48'!D:D,'KPS #48'!G:G,0)</f>
        <v>#NAME?</v>
      </c>
      <c r="H38" s="22" t="e">
        <f t="array" aca="1" ref="H38" ca="1">_xludf.XLOOKUP(D38,'KPS #48'!D:D,'KPS #48'!H:H,0)</f>
        <v>#NAME?</v>
      </c>
      <c r="I38" s="22" t="e">
        <f t="shared" ca="1" si="3"/>
        <v>#NAME?</v>
      </c>
      <c r="J38" s="26" t="e">
        <f t="array" aca="1" ref="J38" ca="1">_xludf.XLOOKUP(D38,'KPS #48'!D:D,'KPS #48'!J:J,0)</f>
        <v>#NAME?</v>
      </c>
      <c r="K38" s="25" t="e">
        <f t="shared" ca="1" si="4"/>
        <v>#NAME?</v>
      </c>
      <c r="L38" s="48" t="e">
        <f t="array" aca="1" ref="L38" ca="1">_xludf.XLOOKUP(D38,'KPS #48'!D:D,'KPS #48'!L:L,0)</f>
        <v>#NAME?</v>
      </c>
      <c r="M38" s="47" t="e">
        <f t="shared" ca="1" si="5"/>
        <v>#NAME?</v>
      </c>
      <c r="N38" s="48" t="e">
        <f t="array" aca="1" ref="N38" ca="1">_xludf.XLOOKUP(D38,'KPS #48'!D:D,'KPS #48'!N:N,0)</f>
        <v>#NAME?</v>
      </c>
      <c r="O38" s="47" t="e">
        <f t="shared" ca="1" si="6"/>
        <v>#NAME?</v>
      </c>
      <c r="P38" s="26" t="e">
        <f t="array" aca="1" ref="P38" ca="1">_xludf.XLOOKUP(D38,'KPS #48'!D:D,'KPS #48'!P:P,0)</f>
        <v>#NAME?</v>
      </c>
      <c r="Q38" s="25" t="e">
        <f t="shared" ca="1" si="7"/>
        <v>#NAME?</v>
      </c>
      <c r="R38" s="26" t="e">
        <f t="array" aca="1" ref="R38" ca="1">_xludf.XLOOKUP(D38,'KPS #48'!D:D,'KPS #48'!R:R,0)</f>
        <v>#NAME?</v>
      </c>
      <c r="S38" s="25" t="e">
        <f t="shared" ca="1" si="8"/>
        <v>#NAME?</v>
      </c>
      <c r="T38" s="26" t="e">
        <f t="array" aca="1" ref="T38" ca="1">_xludf.XLOOKUP(D38,'KPS #48'!D:D,'KPS #48'!T:T,0)</f>
        <v>#NAME?</v>
      </c>
      <c r="U38" s="25" t="e">
        <f t="shared" ca="1" si="9"/>
        <v>#NAME?</v>
      </c>
      <c r="V38" s="26" t="e">
        <f t="array" aca="1" ref="V38" ca="1">_xludf.XLOOKUP(D38,'KPS #48'!D:D,'KPS #48'!V:V,0)</f>
        <v>#NAME?</v>
      </c>
      <c r="W38" s="25" t="e">
        <f t="shared" ca="1" si="10"/>
        <v>#NAME?</v>
      </c>
      <c r="X38" s="27" t="e">
        <f t="shared" ref="X38:Y38" ca="1" si="46">SUM(V38,T38,R38,P38,N38,L38,J38)</f>
        <v>#NAME?</v>
      </c>
      <c r="Y38" s="28" t="e">
        <f t="shared" ca="1" si="46"/>
        <v>#NAME?</v>
      </c>
      <c r="Z38" s="22" t="s">
        <v>69</v>
      </c>
      <c r="AA38" s="29" t="e">
        <f ca="1">X38*IFERROR(VLOOKUP(D38,'Brand List'!$B:$D,3,0),0)</f>
        <v>#NAME?</v>
      </c>
      <c r="AB38" s="29" t="e">
        <f ca="1">H38*IFERROR(VLOOKUP(D38,'Brand List'!$B:$D,3,0),0)</f>
        <v>#NAME?</v>
      </c>
      <c r="AC38" s="29" t="e">
        <f t="shared" ca="1" si="12"/>
        <v>#NAME?</v>
      </c>
      <c r="AD38" s="2">
        <f>_xlfn.XLOOKUP(D38,[1]Summary!$E:$E,[1]Summary!$L:$L,0)</f>
        <v>0</v>
      </c>
      <c r="AE38" s="5" t="e">
        <f t="shared" ca="1" si="13"/>
        <v>#NAME?</v>
      </c>
    </row>
    <row r="39" spans="1:31" ht="14.25" customHeight="1">
      <c r="A39" s="20" t="str">
        <f t="shared" si="27"/>
        <v>SLR12</v>
      </c>
      <c r="B39" s="30" t="s">
        <v>125</v>
      </c>
      <c r="C39" s="31" t="s">
        <v>24</v>
      </c>
      <c r="D39" s="32" t="s">
        <v>126</v>
      </c>
      <c r="E39" s="33" t="s">
        <v>127</v>
      </c>
      <c r="F39" s="31" t="s">
        <v>128</v>
      </c>
      <c r="G39" s="34" t="e">
        <f t="array" aca="1" ref="G39" ca="1">_xludf.XLOOKUP(D39,'KPS #48'!D:D,'KPS #48'!G:G,0)</f>
        <v>#NAME?</v>
      </c>
      <c r="H39" s="31" t="e">
        <f t="array" aca="1" ref="H39" ca="1">_xludf.XLOOKUP(D39,'KPS #48'!D:D,'KPS #48'!H:H,0)</f>
        <v>#NAME?</v>
      </c>
      <c r="I39" s="31" t="e">
        <f t="shared" ca="1" si="3"/>
        <v>#NAME?</v>
      </c>
      <c r="J39" s="35" t="e">
        <f t="array" aca="1" ref="J39" ca="1">_xludf.XLOOKUP(D39,'KPS #48'!D:D,'KPS #48'!J:J,0)</f>
        <v>#NAME?</v>
      </c>
      <c r="K39" s="36" t="e">
        <f t="shared" ca="1" si="4"/>
        <v>#NAME?</v>
      </c>
      <c r="L39" s="39" t="e">
        <f t="array" aca="1" ref="L39" ca="1">_xludf.XLOOKUP(D39,'KPS #48'!D:D,'KPS #48'!L:L,0)</f>
        <v>#NAME?</v>
      </c>
      <c r="M39" s="36" t="e">
        <f t="shared" ca="1" si="5"/>
        <v>#NAME?</v>
      </c>
      <c r="N39" s="39" t="e">
        <f t="array" aca="1" ref="N39" ca="1">_xludf.XLOOKUP(D39,'KPS #48'!D:D,'KPS #48'!N:N,0)</f>
        <v>#NAME?</v>
      </c>
      <c r="O39" s="36" t="e">
        <f t="shared" ca="1" si="6"/>
        <v>#NAME?</v>
      </c>
      <c r="P39" s="35" t="e">
        <f t="array" aca="1" ref="P39" ca="1">_xludf.XLOOKUP(D39,'KPS #48'!D:D,'KPS #48'!P:P,0)</f>
        <v>#NAME?</v>
      </c>
      <c r="Q39" s="36" t="e">
        <f t="shared" ca="1" si="7"/>
        <v>#NAME?</v>
      </c>
      <c r="R39" s="35" t="e">
        <f t="array" aca="1" ref="R39" ca="1">_xludf.XLOOKUP(D39,'KPS #48'!D:D,'KPS #48'!R:R,0)</f>
        <v>#NAME?</v>
      </c>
      <c r="S39" s="36" t="e">
        <f t="shared" ca="1" si="8"/>
        <v>#NAME?</v>
      </c>
      <c r="T39" s="35" t="e">
        <f t="array" aca="1" ref="T39" ca="1">_xludf.XLOOKUP(D39,'KPS #48'!D:D,'KPS #48'!T:T,0)</f>
        <v>#NAME?</v>
      </c>
      <c r="U39" s="36" t="e">
        <f t="shared" ca="1" si="9"/>
        <v>#NAME?</v>
      </c>
      <c r="V39" s="35" t="e">
        <f t="array" aca="1" ref="V39" ca="1">_xludf.XLOOKUP(D39,'KPS #48'!D:D,'KPS #48'!V:V,0)</f>
        <v>#NAME?</v>
      </c>
      <c r="W39" s="36" t="e">
        <f t="shared" ca="1" si="10"/>
        <v>#NAME?</v>
      </c>
      <c r="X39" s="40" t="e">
        <f t="shared" ref="X39:Y39" ca="1" si="47">SUM(V39,T39,R39,P39,N39,L39,J39)</f>
        <v>#NAME?</v>
      </c>
      <c r="Y39" s="41" t="e">
        <f t="shared" ca="1" si="47"/>
        <v>#NAME?</v>
      </c>
      <c r="Z39" s="32"/>
      <c r="AA39" s="29" t="e">
        <f ca="1">X39*IFERROR(VLOOKUP(D39,'Brand List'!$B:$D,3,0),0)</f>
        <v>#NAME?</v>
      </c>
      <c r="AB39" s="29" t="e">
        <f ca="1">H39*IFERROR(VLOOKUP(D39,'Brand List'!$B:$D,3,0),0)</f>
        <v>#NAME?</v>
      </c>
      <c r="AC39" s="29" t="e">
        <f t="shared" ca="1" si="12"/>
        <v>#NAME?</v>
      </c>
      <c r="AD39" s="2">
        <f>_xlfn.XLOOKUP(D39,[1]Summary!$E:$E,[1]Summary!$L:$L,0)</f>
        <v>0</v>
      </c>
      <c r="AE39" s="5" t="e">
        <f t="shared" ca="1" si="13"/>
        <v>#NAME?</v>
      </c>
    </row>
    <row r="40" spans="1:31" ht="14.25" customHeight="1">
      <c r="A40" s="20" t="str">
        <f t="shared" si="27"/>
        <v>SLP12</v>
      </c>
      <c r="B40" s="30" t="s">
        <v>125</v>
      </c>
      <c r="C40" s="31" t="s">
        <v>24</v>
      </c>
      <c r="D40" s="32" t="s">
        <v>129</v>
      </c>
      <c r="E40" s="33" t="s">
        <v>130</v>
      </c>
      <c r="F40" s="31" t="s">
        <v>128</v>
      </c>
      <c r="G40" s="34" t="e">
        <f t="array" aca="1" ref="G40" ca="1">_xludf.XLOOKUP(D40,'KPS #48'!D:D,'KPS #48'!G:G,0)</f>
        <v>#NAME?</v>
      </c>
      <c r="H40" s="31" t="e">
        <f t="array" aca="1" ref="H40" ca="1">_xludf.XLOOKUP(D40,'KPS #48'!D:D,'KPS #48'!H:H,0)</f>
        <v>#NAME?</v>
      </c>
      <c r="I40" s="31" t="e">
        <f t="shared" ca="1" si="3"/>
        <v>#NAME?</v>
      </c>
      <c r="J40" s="42" t="e">
        <f t="array" aca="1" ref="J40" ca="1">_xludf.XLOOKUP(D40,'KPS #48'!D:D,'KPS #48'!J:J,0)</f>
        <v>#NAME?</v>
      </c>
      <c r="K40" s="38" t="e">
        <f t="shared" ca="1" si="4"/>
        <v>#NAME?</v>
      </c>
      <c r="L40" s="37" t="e">
        <f t="array" aca="1" ref="L40" ca="1">_xludf.XLOOKUP(D40,'KPS #48'!D:D,'KPS #48'!L:L,0)</f>
        <v>#NAME?</v>
      </c>
      <c r="M40" s="38" t="e">
        <f t="shared" ca="1" si="5"/>
        <v>#NAME?</v>
      </c>
      <c r="N40" s="37" t="e">
        <f t="array" aca="1" ref="N40" ca="1">_xludf.XLOOKUP(D40,'KPS #48'!D:D,'KPS #48'!N:N,0)</f>
        <v>#NAME?</v>
      </c>
      <c r="O40" s="38" t="e">
        <f t="shared" ca="1" si="6"/>
        <v>#NAME?</v>
      </c>
      <c r="P40" s="42" t="e">
        <f t="array" aca="1" ref="P40" ca="1">_xludf.XLOOKUP(D40,'KPS #48'!D:D,'KPS #48'!P:P,0)</f>
        <v>#NAME?</v>
      </c>
      <c r="Q40" s="38" t="e">
        <f t="shared" ca="1" si="7"/>
        <v>#NAME?</v>
      </c>
      <c r="R40" s="42" t="e">
        <f t="array" aca="1" ref="R40" ca="1">_xludf.XLOOKUP(D40,'KPS #48'!D:D,'KPS #48'!R:R,0)</f>
        <v>#NAME?</v>
      </c>
      <c r="S40" s="38" t="e">
        <f t="shared" ca="1" si="8"/>
        <v>#NAME?</v>
      </c>
      <c r="T40" s="35" t="e">
        <f t="array" aca="1" ref="T40" ca="1">_xludf.XLOOKUP(D40,'KPS #48'!D:D,'KPS #48'!T:T,0)</f>
        <v>#NAME?</v>
      </c>
      <c r="U40" s="36" t="e">
        <f t="shared" ca="1" si="9"/>
        <v>#NAME?</v>
      </c>
      <c r="V40" s="35" t="e">
        <f t="array" aca="1" ref="V40" ca="1">_xludf.XLOOKUP(D40,'KPS #48'!D:D,'KPS #48'!V:V,0)</f>
        <v>#NAME?</v>
      </c>
      <c r="W40" s="36" t="e">
        <f t="shared" ca="1" si="10"/>
        <v>#NAME?</v>
      </c>
      <c r="X40" s="40" t="e">
        <f t="shared" ref="X40:Y40" ca="1" si="48">SUM(V40,T40,R40,P40,N40,L40,J40)</f>
        <v>#NAME?</v>
      </c>
      <c r="Y40" s="41" t="e">
        <f t="shared" ca="1" si="48"/>
        <v>#NAME?</v>
      </c>
      <c r="Z40" s="32" t="s">
        <v>131</v>
      </c>
      <c r="AA40" s="29" t="e">
        <f ca="1">X40*IFERROR(VLOOKUP(D40,'Brand List'!$B:$D,3,0),0)</f>
        <v>#NAME?</v>
      </c>
      <c r="AB40" s="29" t="e">
        <f ca="1">H40*IFERROR(VLOOKUP(D40,'Brand List'!$B:$D,3,0),0)</f>
        <v>#NAME?</v>
      </c>
      <c r="AC40" s="29" t="e">
        <f t="shared" ca="1" si="12"/>
        <v>#NAME?</v>
      </c>
      <c r="AD40" s="2">
        <f>_xlfn.XLOOKUP(D40,[1]Summary!$E:$E,[1]Summary!$L:$L,0)</f>
        <v>0</v>
      </c>
      <c r="AE40" s="5" t="e">
        <f t="shared" ca="1" si="13"/>
        <v>#NAME?</v>
      </c>
    </row>
    <row r="41" spans="1:31" ht="14.25" customHeight="1">
      <c r="A41" s="20" t="str">
        <f t="shared" si="27"/>
        <v>SLO12</v>
      </c>
      <c r="B41" s="30" t="s">
        <v>125</v>
      </c>
      <c r="C41" s="31" t="s">
        <v>24</v>
      </c>
      <c r="D41" s="32" t="s">
        <v>132</v>
      </c>
      <c r="E41" s="33" t="s">
        <v>133</v>
      </c>
      <c r="F41" s="31" t="s">
        <v>128</v>
      </c>
      <c r="G41" s="34" t="e">
        <f t="array" aca="1" ref="G41" ca="1">_xludf.XLOOKUP(D41,'KPS #48'!D:D,'KPS #48'!G:G,0)</f>
        <v>#NAME?</v>
      </c>
      <c r="H41" s="31" t="e">
        <f t="array" aca="1" ref="H41" ca="1">_xludf.XLOOKUP(D41,'KPS #48'!D:D,'KPS #48'!H:H,0)</f>
        <v>#NAME?</v>
      </c>
      <c r="I41" s="31" t="e">
        <f t="shared" ca="1" si="3"/>
        <v>#NAME?</v>
      </c>
      <c r="J41" s="46" t="e">
        <f t="array" aca="1" ref="J41" ca="1">_xludf.XLOOKUP(D41,'KPS #48'!D:D,'KPS #48'!J:J,0)</f>
        <v>#NAME?</v>
      </c>
      <c r="K41" s="47" t="e">
        <f t="shared" ca="1" si="4"/>
        <v>#NAME?</v>
      </c>
      <c r="L41" s="48" t="e">
        <f t="array" aca="1" ref="L41" ca="1">_xludf.XLOOKUP(D41,'KPS #48'!D:D,'KPS #48'!L:L,0)</f>
        <v>#NAME?</v>
      </c>
      <c r="M41" s="47" t="e">
        <f t="shared" ca="1" si="5"/>
        <v>#NAME?</v>
      </c>
      <c r="N41" s="37" t="e">
        <f t="array" aca="1" ref="N41" ca="1">_xludf.XLOOKUP(D41,'KPS #48'!D:D,'KPS #48'!N:N,0)</f>
        <v>#NAME?</v>
      </c>
      <c r="O41" s="38" t="e">
        <f t="shared" ca="1" si="6"/>
        <v>#NAME?</v>
      </c>
      <c r="P41" s="42" t="e">
        <f t="array" aca="1" ref="P41" ca="1">_xludf.XLOOKUP(D41,'KPS #48'!D:D,'KPS #48'!P:P,0)</f>
        <v>#NAME?</v>
      </c>
      <c r="Q41" s="38" t="e">
        <f t="shared" ca="1" si="7"/>
        <v>#NAME?</v>
      </c>
      <c r="R41" s="42" t="e">
        <f t="array" aca="1" ref="R41" ca="1">_xludf.XLOOKUP(D41,'KPS #48'!D:D,'KPS #48'!R:R,0)</f>
        <v>#NAME?</v>
      </c>
      <c r="S41" s="38" t="e">
        <f t="shared" ca="1" si="8"/>
        <v>#NAME?</v>
      </c>
      <c r="T41" s="35" t="e">
        <f t="array" aca="1" ref="T41" ca="1">_xludf.XLOOKUP(D41,'KPS #48'!D:D,'KPS #48'!T:T,0)</f>
        <v>#NAME?</v>
      </c>
      <c r="U41" s="36" t="e">
        <f t="shared" ca="1" si="9"/>
        <v>#NAME?</v>
      </c>
      <c r="V41" s="35" t="e">
        <f t="array" aca="1" ref="V41" ca="1">_xludf.XLOOKUP(D41,'KPS #48'!D:D,'KPS #48'!V:V,0)</f>
        <v>#NAME?</v>
      </c>
      <c r="W41" s="36" t="e">
        <f t="shared" ca="1" si="10"/>
        <v>#NAME?</v>
      </c>
      <c r="X41" s="40" t="e">
        <f t="shared" ref="X41:Y41" ca="1" si="49">SUM(V41,T41,R41,P41,N41,L41,J41)</f>
        <v>#NAME?</v>
      </c>
      <c r="Y41" s="41" t="e">
        <f t="shared" ca="1" si="49"/>
        <v>#NAME?</v>
      </c>
      <c r="Z41" s="32" t="s">
        <v>69</v>
      </c>
      <c r="AA41" s="29" t="e">
        <f ca="1">X41*IFERROR(VLOOKUP(D41,'Brand List'!$B:$D,3,0),0)</f>
        <v>#NAME?</v>
      </c>
      <c r="AB41" s="29" t="e">
        <f ca="1">H41*IFERROR(VLOOKUP(D41,'Brand List'!$B:$D,3,0),0)</f>
        <v>#NAME?</v>
      </c>
      <c r="AC41" s="29" t="e">
        <f t="shared" ca="1" si="12"/>
        <v>#NAME?</v>
      </c>
      <c r="AD41" s="2">
        <f>_xlfn.XLOOKUP(D41,[1]Summary!$E:$E,[1]Summary!$L:$L,0)</f>
        <v>0</v>
      </c>
      <c r="AE41" s="5" t="e">
        <f t="shared" ca="1" si="13"/>
        <v>#NAME?</v>
      </c>
    </row>
    <row r="42" spans="1:31" ht="14.25" customHeight="1">
      <c r="A42" s="20" t="str">
        <f t="shared" si="27"/>
        <v>KPT12</v>
      </c>
      <c r="B42" s="30" t="s">
        <v>125</v>
      </c>
      <c r="C42" s="31" t="s">
        <v>24</v>
      </c>
      <c r="D42" s="32" t="s">
        <v>134</v>
      </c>
      <c r="E42" s="33" t="s">
        <v>135</v>
      </c>
      <c r="F42" s="31" t="s">
        <v>128</v>
      </c>
      <c r="G42" s="34" t="e">
        <f t="array" aca="1" ref="G42" ca="1">_xludf.XLOOKUP(D42,'KPS #48'!D:D,'KPS #48'!G:G,0)</f>
        <v>#NAME?</v>
      </c>
      <c r="H42" s="31" t="e">
        <f t="array" aca="1" ref="H42" ca="1">_xludf.XLOOKUP(D42,'KPS #48'!D:D,'KPS #48'!H:H,0)</f>
        <v>#NAME?</v>
      </c>
      <c r="I42" s="31" t="e">
        <f t="shared" ca="1" si="3"/>
        <v>#NAME?</v>
      </c>
      <c r="J42" s="42" t="e">
        <f t="array" aca="1" ref="J42" ca="1">_xludf.XLOOKUP(D42,'KPS #48'!D:D,'KPS #48'!J:J,0)</f>
        <v>#NAME?</v>
      </c>
      <c r="K42" s="38" t="e">
        <f t="shared" ca="1" si="4"/>
        <v>#NAME?</v>
      </c>
      <c r="L42" s="37" t="e">
        <f t="array" aca="1" ref="L42" ca="1">_xludf.XLOOKUP(D42,'KPS #48'!D:D,'KPS #48'!L:L,0)</f>
        <v>#NAME?</v>
      </c>
      <c r="M42" s="38" t="e">
        <f t="shared" ca="1" si="5"/>
        <v>#NAME?</v>
      </c>
      <c r="N42" s="37" t="e">
        <f t="array" aca="1" ref="N42" ca="1">_xludf.XLOOKUP(D42,'KPS #48'!D:D,'KPS #48'!N:N,0)</f>
        <v>#NAME?</v>
      </c>
      <c r="O42" s="38" t="e">
        <f t="shared" ca="1" si="6"/>
        <v>#NAME?</v>
      </c>
      <c r="P42" s="42" t="e">
        <f t="array" aca="1" ref="P42" ca="1">_xludf.XLOOKUP(D42,'KPS #48'!D:D,'KPS #48'!P:P,0)</f>
        <v>#NAME?</v>
      </c>
      <c r="Q42" s="38" t="e">
        <f t="shared" ca="1" si="7"/>
        <v>#NAME?</v>
      </c>
      <c r="R42" s="42" t="e">
        <f t="array" aca="1" ref="R42" ca="1">_xludf.XLOOKUP(D42,'KPS #48'!D:D,'KPS #48'!R:R,0)</f>
        <v>#NAME?</v>
      </c>
      <c r="S42" s="38" t="e">
        <f t="shared" ca="1" si="8"/>
        <v>#NAME?</v>
      </c>
      <c r="T42" s="35" t="e">
        <f t="array" aca="1" ref="T42" ca="1">_xludf.XLOOKUP(D42,'KPS #48'!D:D,'KPS #48'!T:T,0)</f>
        <v>#NAME?</v>
      </c>
      <c r="U42" s="36" t="e">
        <f t="shared" ca="1" si="9"/>
        <v>#NAME?</v>
      </c>
      <c r="V42" s="35" t="e">
        <f t="array" aca="1" ref="V42" ca="1">_xludf.XLOOKUP(D42,'KPS #48'!D:D,'KPS #48'!V:V,0)</f>
        <v>#NAME?</v>
      </c>
      <c r="W42" s="36" t="e">
        <f t="shared" ca="1" si="10"/>
        <v>#NAME?</v>
      </c>
      <c r="X42" s="40" t="e">
        <f t="shared" ref="X42:Y42" ca="1" si="50">SUM(V42,T42,R42,P42,N42,L42,J42)</f>
        <v>#NAME?</v>
      </c>
      <c r="Y42" s="41" t="e">
        <f t="shared" ca="1" si="50"/>
        <v>#NAME?</v>
      </c>
      <c r="Z42" s="32"/>
      <c r="AA42" s="29" t="e">
        <f ca="1">X42*IFERROR(VLOOKUP(D42,'Brand List'!$B:$D,3,0),0)</f>
        <v>#NAME?</v>
      </c>
      <c r="AB42" s="29" t="e">
        <f ca="1">H42*IFERROR(VLOOKUP(D42,'Brand List'!$B:$D,3,0),0)</f>
        <v>#NAME?</v>
      </c>
      <c r="AC42" s="29" t="e">
        <f t="shared" ca="1" si="12"/>
        <v>#NAME?</v>
      </c>
      <c r="AD42" s="2">
        <f>_xlfn.XLOOKUP(D42,[1]Summary!$E:$E,[1]Summary!$L:$L,0)</f>
        <v>0</v>
      </c>
      <c r="AE42" s="5" t="e">
        <f t="shared" ca="1" si="13"/>
        <v>#NAME?</v>
      </c>
    </row>
    <row r="43" spans="1:31" ht="14.25" customHeight="1">
      <c r="A43" s="20" t="str">
        <f t="shared" si="27"/>
        <v>RKT16</v>
      </c>
      <c r="B43" s="30" t="s">
        <v>136</v>
      </c>
      <c r="C43" s="32" t="s">
        <v>95</v>
      </c>
      <c r="D43" s="32" t="s">
        <v>137</v>
      </c>
      <c r="E43" s="33" t="s">
        <v>138</v>
      </c>
      <c r="F43" s="31" t="s">
        <v>139</v>
      </c>
      <c r="G43" s="34" t="e">
        <f t="array" aca="1" ref="G43" ca="1">_xludf.XLOOKUP(D43,'KPS #48'!D:D,'KPS #48'!G:G,0)</f>
        <v>#NAME?</v>
      </c>
      <c r="H43" s="31" t="e">
        <f t="array" aca="1" ref="H43" ca="1">_xludf.XLOOKUP(D43,'KPS #48'!D:D,'KPS #48'!H:H,0)</f>
        <v>#NAME?</v>
      </c>
      <c r="I43" s="31" t="e">
        <f t="shared" ca="1" si="3"/>
        <v>#NAME?</v>
      </c>
      <c r="J43" s="42" t="e">
        <f t="array" aca="1" ref="J43" ca="1">_xludf.XLOOKUP(D43,'KPS #48'!D:D,'KPS #48'!J:J,0)</f>
        <v>#NAME?</v>
      </c>
      <c r="K43" s="38" t="e">
        <f t="shared" ca="1" si="4"/>
        <v>#NAME?</v>
      </c>
      <c r="L43" s="48" t="e">
        <f t="array" aca="1" ref="L43" ca="1">_xludf.XLOOKUP(D43,'KPS #48'!D:D,'KPS #48'!L:L,0)</f>
        <v>#NAME?</v>
      </c>
      <c r="M43" s="47" t="e">
        <f t="shared" ca="1" si="5"/>
        <v>#NAME?</v>
      </c>
      <c r="N43" s="37" t="e">
        <f t="array" aca="1" ref="N43" ca="1">_xludf.XLOOKUP(D43,'KPS #48'!D:D,'KPS #48'!N:N,0)</f>
        <v>#NAME?</v>
      </c>
      <c r="O43" s="47" t="e">
        <f t="shared" ca="1" si="6"/>
        <v>#NAME?</v>
      </c>
      <c r="P43" s="42" t="e">
        <f t="array" aca="1" ref="P43" ca="1">_xludf.XLOOKUP(D43,'KPS #48'!D:D,'KPS #48'!P:P,0)</f>
        <v>#NAME?</v>
      </c>
      <c r="Q43" s="38" t="e">
        <f t="shared" ca="1" si="7"/>
        <v>#NAME?</v>
      </c>
      <c r="R43" s="42" t="e">
        <f t="array" aca="1" ref="R43" ca="1">_xludf.XLOOKUP(D43,'KPS #48'!D:D,'KPS #48'!R:R,0)</f>
        <v>#NAME?</v>
      </c>
      <c r="S43" s="38" t="e">
        <f t="shared" ca="1" si="8"/>
        <v>#NAME?</v>
      </c>
      <c r="T43" s="35" t="e">
        <f t="array" aca="1" ref="T43" ca="1">_xludf.XLOOKUP(D43,'KPS #48'!D:D,'KPS #48'!T:T,0)</f>
        <v>#NAME?</v>
      </c>
      <c r="U43" s="36" t="e">
        <f t="shared" ca="1" si="9"/>
        <v>#NAME?</v>
      </c>
      <c r="V43" s="35" t="e">
        <f t="array" aca="1" ref="V43" ca="1">_xludf.XLOOKUP(D43,'KPS #48'!D:D,'KPS #48'!V:V,0)</f>
        <v>#NAME?</v>
      </c>
      <c r="W43" s="36" t="e">
        <f t="shared" ca="1" si="10"/>
        <v>#NAME?</v>
      </c>
      <c r="X43" s="40" t="e">
        <f t="shared" ref="X43:Y43" ca="1" si="51">SUM(V43,T43,R43,P43,N43,L43,J43)</f>
        <v>#NAME?</v>
      </c>
      <c r="Y43" s="41" t="e">
        <f t="shared" ca="1" si="51"/>
        <v>#NAME?</v>
      </c>
      <c r="Z43" s="32" t="s">
        <v>140</v>
      </c>
      <c r="AA43" s="29" t="e">
        <f ca="1">X43*IFERROR(VLOOKUP(D43,'Brand List'!$B:$D,3,0),0)</f>
        <v>#NAME?</v>
      </c>
      <c r="AB43" s="29" t="e">
        <f ca="1">H43*IFERROR(VLOOKUP(D43,'Brand List'!$B:$D,3,0),0)</f>
        <v>#NAME?</v>
      </c>
      <c r="AC43" s="29" t="e">
        <f t="shared" ca="1" si="12"/>
        <v>#NAME?</v>
      </c>
      <c r="AD43" s="2">
        <f>_xlfn.XLOOKUP(D43,[1]Summary!$E:$E,[1]Summary!$L:$L,0)</f>
        <v>0</v>
      </c>
      <c r="AE43" s="5" t="e">
        <f t="shared" ca="1" si="13"/>
        <v>#NAME?</v>
      </c>
    </row>
    <row r="44" spans="1:31" ht="14.25" customHeight="1">
      <c r="A44" s="20" t="str">
        <f t="shared" si="27"/>
        <v>VOK12</v>
      </c>
      <c r="B44" s="30" t="s">
        <v>141</v>
      </c>
      <c r="C44" s="31" t="s">
        <v>24</v>
      </c>
      <c r="D44" s="32" t="s">
        <v>142</v>
      </c>
      <c r="E44" s="33" t="s">
        <v>143</v>
      </c>
      <c r="F44" s="31" t="s">
        <v>139</v>
      </c>
      <c r="G44" s="34" t="e">
        <f t="array" aca="1" ref="G44" ca="1">_xludf.XLOOKUP(D44,'KPS #48'!D:D,'KPS #48'!G:G,0)</f>
        <v>#NAME?</v>
      </c>
      <c r="H44" s="31" t="e">
        <f t="array" aca="1" ref="H44" ca="1">_xludf.XLOOKUP(D44,'KPS #48'!D:D,'KPS #48'!H:H,0)</f>
        <v>#NAME?</v>
      </c>
      <c r="I44" s="31" t="e">
        <f t="shared" ca="1" si="3"/>
        <v>#NAME?</v>
      </c>
      <c r="J44" s="42" t="e">
        <f t="array" aca="1" ref="J44" ca="1">_xludf.XLOOKUP(D44,'KPS #48'!D:D,'KPS #48'!J:J,0)</f>
        <v>#NAME?</v>
      </c>
      <c r="K44" s="38" t="e">
        <f t="shared" ca="1" si="4"/>
        <v>#NAME?</v>
      </c>
      <c r="L44" s="37" t="e">
        <f t="array" aca="1" ref="L44" ca="1">_xludf.XLOOKUP(D44,'KPS #48'!D:D,'KPS #48'!L:L,0)</f>
        <v>#NAME?</v>
      </c>
      <c r="M44" s="38" t="e">
        <f t="shared" ca="1" si="5"/>
        <v>#NAME?</v>
      </c>
      <c r="N44" s="37" t="e">
        <f t="array" aca="1" ref="N44" ca="1">_xludf.XLOOKUP(D44,'KPS #48'!D:D,'KPS #48'!N:N,0)</f>
        <v>#NAME?</v>
      </c>
      <c r="O44" s="38" t="e">
        <f t="shared" ca="1" si="6"/>
        <v>#NAME?</v>
      </c>
      <c r="P44" s="42" t="e">
        <f t="array" aca="1" ref="P44" ca="1">_xludf.XLOOKUP(D44,'KPS #48'!D:D,'KPS #48'!P:P,0)</f>
        <v>#NAME?</v>
      </c>
      <c r="Q44" s="38" t="e">
        <f t="shared" ca="1" si="7"/>
        <v>#NAME?</v>
      </c>
      <c r="R44" s="42" t="e">
        <f t="array" aca="1" ref="R44" ca="1">_xludf.XLOOKUP(D44,'KPS #48'!D:D,'KPS #48'!R:R,0)</f>
        <v>#NAME?</v>
      </c>
      <c r="S44" s="38" t="e">
        <f t="shared" ca="1" si="8"/>
        <v>#NAME?</v>
      </c>
      <c r="T44" s="35" t="e">
        <f t="array" aca="1" ref="T44" ca="1">_xludf.XLOOKUP(D44,'KPS #48'!D:D,'KPS #48'!T:T,0)</f>
        <v>#NAME?</v>
      </c>
      <c r="U44" s="36" t="e">
        <f t="shared" ca="1" si="9"/>
        <v>#NAME?</v>
      </c>
      <c r="V44" s="35" t="e">
        <f t="array" aca="1" ref="V44" ca="1">_xludf.XLOOKUP(D44,'KPS #48'!D:D,'KPS #48'!V:V,0)</f>
        <v>#NAME?</v>
      </c>
      <c r="W44" s="36" t="e">
        <f t="shared" ca="1" si="10"/>
        <v>#NAME?</v>
      </c>
      <c r="X44" s="40" t="e">
        <f t="shared" ref="X44:Y44" ca="1" si="52">SUM(V44,T44,R44,P44,N44,L44,J44)</f>
        <v>#NAME?</v>
      </c>
      <c r="Y44" s="41" t="e">
        <f t="shared" ca="1" si="52"/>
        <v>#NAME?</v>
      </c>
      <c r="Z44" s="32"/>
      <c r="AA44" s="29" t="e">
        <f ca="1">X44*IFERROR(VLOOKUP(D44,'Brand List'!$B:$D,3,0),0)</f>
        <v>#NAME?</v>
      </c>
      <c r="AB44" s="29" t="e">
        <f ca="1">H44*IFERROR(VLOOKUP(D44,'Brand List'!$B:$D,3,0),0)</f>
        <v>#NAME?</v>
      </c>
      <c r="AC44" s="29" t="e">
        <f t="shared" ca="1" si="12"/>
        <v>#NAME?</v>
      </c>
      <c r="AD44" s="2">
        <f>_xlfn.XLOOKUP(D44,[1]Summary!$E:$E,[1]Summary!$L:$L,0)</f>
        <v>0</v>
      </c>
      <c r="AE44" s="5" t="e">
        <f t="shared" ca="1" si="13"/>
        <v>#NAME?</v>
      </c>
    </row>
    <row r="45" spans="1:31" ht="14.25" customHeight="1">
      <c r="A45" s="20" t="str">
        <f t="shared" si="27"/>
        <v>NAT20</v>
      </c>
      <c r="B45" s="30" t="s">
        <v>144</v>
      </c>
      <c r="C45" s="32" t="s">
        <v>56</v>
      </c>
      <c r="D45" s="32" t="s">
        <v>145</v>
      </c>
      <c r="E45" s="33" t="s">
        <v>146</v>
      </c>
      <c r="F45" s="31" t="s">
        <v>139</v>
      </c>
      <c r="G45" s="34" t="e">
        <f t="array" aca="1" ref="G45" ca="1">_xludf.XLOOKUP(D45,'KPS #48'!D:D,'KPS #48'!G:G,0)</f>
        <v>#NAME?</v>
      </c>
      <c r="H45" s="31" t="e">
        <f t="array" aca="1" ref="H45" ca="1">_xludf.XLOOKUP(D45,'KPS #48'!D:D,'KPS #48'!H:H,0)</f>
        <v>#NAME?</v>
      </c>
      <c r="I45" s="31" t="e">
        <f t="shared" ca="1" si="3"/>
        <v>#NAME?</v>
      </c>
      <c r="J45" s="46" t="e">
        <f t="array" aca="1" ref="J45" ca="1">_xludf.XLOOKUP(D45,'KPS #48'!D:D,'KPS #48'!J:J,0)</f>
        <v>#NAME?</v>
      </c>
      <c r="K45" s="47" t="e">
        <f t="shared" ca="1" si="4"/>
        <v>#NAME?</v>
      </c>
      <c r="L45" s="48" t="e">
        <f t="array" aca="1" ref="L45" ca="1">_xludf.XLOOKUP(D45,'KPS #48'!D:D,'KPS #48'!L:L,0)</f>
        <v>#NAME?</v>
      </c>
      <c r="M45" s="47" t="e">
        <f t="shared" ca="1" si="5"/>
        <v>#NAME?</v>
      </c>
      <c r="N45" s="37" t="e">
        <f t="array" aca="1" ref="N45" ca="1">_xludf.XLOOKUP(D45,'KPS #48'!D:D,'KPS #48'!N:N,0)</f>
        <v>#NAME?</v>
      </c>
      <c r="O45" s="38" t="e">
        <f t="shared" ca="1" si="6"/>
        <v>#NAME?</v>
      </c>
      <c r="P45" s="42" t="e">
        <f t="array" aca="1" ref="P45" ca="1">_xludf.XLOOKUP(D45,'KPS #48'!D:D,'KPS #48'!P:P,0)</f>
        <v>#NAME?</v>
      </c>
      <c r="Q45" s="38" t="e">
        <f t="shared" ca="1" si="7"/>
        <v>#NAME?</v>
      </c>
      <c r="R45" s="42" t="e">
        <f t="array" aca="1" ref="R45" ca="1">_xludf.XLOOKUP(D45,'KPS #48'!D:D,'KPS #48'!R:R,0)</f>
        <v>#NAME?</v>
      </c>
      <c r="S45" s="38" t="e">
        <f t="shared" ca="1" si="8"/>
        <v>#NAME?</v>
      </c>
      <c r="T45" s="35" t="e">
        <f t="array" aca="1" ref="T45" ca="1">_xludf.XLOOKUP(D45,'KPS #48'!D:D,'KPS #48'!T:T,0)</f>
        <v>#NAME?</v>
      </c>
      <c r="U45" s="36" t="e">
        <f t="shared" ca="1" si="9"/>
        <v>#NAME?</v>
      </c>
      <c r="V45" s="35" t="e">
        <f t="array" aca="1" ref="V45" ca="1">_xludf.XLOOKUP(D45,'KPS #48'!D:D,'KPS #48'!V:V,0)</f>
        <v>#NAME?</v>
      </c>
      <c r="W45" s="36" t="e">
        <f t="shared" ca="1" si="10"/>
        <v>#NAME?</v>
      </c>
      <c r="X45" s="40" t="e">
        <f t="shared" ref="X45:Y45" ca="1" si="53">SUM(V45,T45,R45,P45,N45,L45,J45)</f>
        <v>#NAME?</v>
      </c>
      <c r="Y45" s="41" t="e">
        <f t="shared" ca="1" si="53"/>
        <v>#NAME?</v>
      </c>
      <c r="Z45" s="32" t="s">
        <v>147</v>
      </c>
      <c r="AA45" s="29" t="e">
        <f ca="1">X45*IFERROR(VLOOKUP(D45,'Brand List'!$B:$D,3,0),0)</f>
        <v>#NAME?</v>
      </c>
      <c r="AB45" s="29" t="e">
        <f ca="1">H45*IFERROR(VLOOKUP(D45,'Brand List'!$B:$D,3,0),0)</f>
        <v>#NAME?</v>
      </c>
      <c r="AC45" s="29" t="e">
        <f t="shared" ca="1" si="12"/>
        <v>#NAME?</v>
      </c>
      <c r="AD45" s="2">
        <f>_xlfn.XLOOKUP(D45,[1]Summary!$E:$E,[1]Summary!$L:$L,0)</f>
        <v>0</v>
      </c>
      <c r="AE45" s="5" t="e">
        <f t="shared" ca="1" si="13"/>
        <v>#NAME?</v>
      </c>
    </row>
    <row r="46" spans="1:31" ht="14.25" customHeight="1">
      <c r="A46" s="20" t="str">
        <f t="shared" si="27"/>
        <v>NAT16</v>
      </c>
      <c r="B46" s="30" t="s">
        <v>144</v>
      </c>
      <c r="C46" s="32" t="s">
        <v>76</v>
      </c>
      <c r="D46" s="32" t="s">
        <v>148</v>
      </c>
      <c r="E46" s="33" t="s">
        <v>149</v>
      </c>
      <c r="F46" s="31" t="s">
        <v>139</v>
      </c>
      <c r="G46" s="34" t="e">
        <f t="array" aca="1" ref="G46" ca="1">_xludf.XLOOKUP(D46,'KPS #48'!D:D,'KPS #48'!G:G,0)</f>
        <v>#NAME?</v>
      </c>
      <c r="H46" s="31" t="e">
        <f t="array" aca="1" ref="H46" ca="1">_xludf.XLOOKUP(D46,'KPS #48'!D:D,'KPS #48'!H:H,0)</f>
        <v>#NAME?</v>
      </c>
      <c r="I46" s="31" t="e">
        <f t="shared" ca="1" si="3"/>
        <v>#NAME?</v>
      </c>
      <c r="J46" s="42" t="e">
        <f t="array" aca="1" ref="J46" ca="1">_xludf.XLOOKUP(D46,'KPS #48'!D:D,'KPS #48'!J:J,0)</f>
        <v>#NAME?</v>
      </c>
      <c r="K46" s="38" t="e">
        <f t="shared" ca="1" si="4"/>
        <v>#NAME?</v>
      </c>
      <c r="L46" s="37" t="e">
        <f t="array" aca="1" ref="L46" ca="1">_xludf.XLOOKUP(D46,'KPS #48'!D:D,'KPS #48'!L:L,0)</f>
        <v>#NAME?</v>
      </c>
      <c r="M46" s="38" t="e">
        <f t="shared" ca="1" si="5"/>
        <v>#NAME?</v>
      </c>
      <c r="N46" s="37" t="e">
        <f t="array" aca="1" ref="N46" ca="1">_xludf.XLOOKUP(D46,'KPS #48'!D:D,'KPS #48'!N:N,0)</f>
        <v>#NAME?</v>
      </c>
      <c r="O46" s="38" t="e">
        <f t="shared" ca="1" si="6"/>
        <v>#NAME?</v>
      </c>
      <c r="P46" s="42" t="e">
        <f t="array" aca="1" ref="P46" ca="1">_xludf.XLOOKUP(D46,'KPS #48'!D:D,'KPS #48'!P:P,0)</f>
        <v>#NAME?</v>
      </c>
      <c r="Q46" s="38" t="e">
        <f t="shared" ca="1" si="7"/>
        <v>#NAME?</v>
      </c>
      <c r="R46" s="42" t="e">
        <f t="array" aca="1" ref="R46" ca="1">_xludf.XLOOKUP(D46,'KPS #48'!D:D,'KPS #48'!R:R,0)</f>
        <v>#NAME?</v>
      </c>
      <c r="S46" s="38" t="e">
        <f t="shared" ca="1" si="8"/>
        <v>#NAME?</v>
      </c>
      <c r="T46" s="35" t="e">
        <f t="array" aca="1" ref="T46" ca="1">_xludf.XLOOKUP(D46,'KPS #48'!D:D,'KPS #48'!T:T,0)</f>
        <v>#NAME?</v>
      </c>
      <c r="U46" s="36" t="e">
        <f t="shared" ca="1" si="9"/>
        <v>#NAME?</v>
      </c>
      <c r="V46" s="35" t="e">
        <f t="array" aca="1" ref="V46" ca="1">_xludf.XLOOKUP(D46,'KPS #48'!D:D,'KPS #48'!V:V,0)</f>
        <v>#NAME?</v>
      </c>
      <c r="W46" s="36" t="e">
        <f t="shared" ca="1" si="10"/>
        <v>#NAME?</v>
      </c>
      <c r="X46" s="40" t="e">
        <f t="shared" ref="X46:Y46" ca="1" si="54">SUM(V46,T46,R46,P46,N46,L46,J46)</f>
        <v>#NAME?</v>
      </c>
      <c r="Y46" s="41" t="e">
        <f t="shared" ca="1" si="54"/>
        <v>#NAME?</v>
      </c>
      <c r="Z46" s="32" t="s">
        <v>150</v>
      </c>
      <c r="AA46" s="29" t="e">
        <f ca="1">X46*IFERROR(VLOOKUP(D46,'Brand List'!$B:$D,3,0),0)</f>
        <v>#NAME?</v>
      </c>
      <c r="AB46" s="29" t="e">
        <f ca="1">H46*IFERROR(VLOOKUP(D46,'Brand List'!$B:$D,3,0),0)</f>
        <v>#NAME?</v>
      </c>
      <c r="AC46" s="29" t="e">
        <f t="shared" ca="1" si="12"/>
        <v>#NAME?</v>
      </c>
      <c r="AD46" s="2">
        <f>_xlfn.XLOOKUP(D46,[1]Summary!$E:$E,[1]Summary!$L:$L,0)</f>
        <v>0</v>
      </c>
      <c r="AE46" s="5" t="e">
        <f t="shared" ca="1" si="13"/>
        <v>#NAME?</v>
      </c>
    </row>
    <row r="47" spans="1:31" ht="14.25" customHeight="1">
      <c r="A47" s="20" t="str">
        <f t="shared" si="27"/>
        <v>NTL16</v>
      </c>
      <c r="B47" s="30" t="s">
        <v>144</v>
      </c>
      <c r="C47" s="32" t="s">
        <v>63</v>
      </c>
      <c r="D47" s="32" t="s">
        <v>151</v>
      </c>
      <c r="E47" s="33" t="s">
        <v>152</v>
      </c>
      <c r="F47" s="31" t="s">
        <v>139</v>
      </c>
      <c r="G47" s="34" t="e">
        <f t="array" aca="1" ref="G47" ca="1">_xludf.XLOOKUP(D47,'KPS #48'!D:D,'KPS #48'!G:G,0)</f>
        <v>#NAME?</v>
      </c>
      <c r="H47" s="31" t="e">
        <f t="array" aca="1" ref="H47" ca="1">_xludf.XLOOKUP(D47,'KPS #48'!D:D,'KPS #48'!H:H,0)</f>
        <v>#NAME?</v>
      </c>
      <c r="I47" s="31" t="e">
        <f t="shared" ca="1" si="3"/>
        <v>#NAME?</v>
      </c>
      <c r="J47" s="42" t="e">
        <f t="array" aca="1" ref="J47" ca="1">_xludf.XLOOKUP(D47,'KPS #48'!D:D,'KPS #48'!J:J,0)</f>
        <v>#NAME?</v>
      </c>
      <c r="K47" s="38" t="e">
        <f t="shared" ca="1" si="4"/>
        <v>#NAME?</v>
      </c>
      <c r="L47" s="37" t="e">
        <f t="array" aca="1" ref="L47" ca="1">_xludf.XLOOKUP(D47,'KPS #48'!D:D,'KPS #48'!L:L,0)</f>
        <v>#NAME?</v>
      </c>
      <c r="M47" s="38" t="e">
        <f t="shared" ca="1" si="5"/>
        <v>#NAME?</v>
      </c>
      <c r="N47" s="37" t="e">
        <f t="array" aca="1" ref="N47" ca="1">_xludf.XLOOKUP(D47,'KPS #48'!D:D,'KPS #48'!N:N,0)</f>
        <v>#NAME?</v>
      </c>
      <c r="O47" s="38" t="e">
        <f t="shared" ca="1" si="6"/>
        <v>#NAME?</v>
      </c>
      <c r="P47" s="42" t="e">
        <f t="array" aca="1" ref="P47" ca="1">_xludf.XLOOKUP(D47,'KPS #48'!D:D,'KPS #48'!P:P,0)</f>
        <v>#NAME?</v>
      </c>
      <c r="Q47" s="38" t="e">
        <f t="shared" ca="1" si="7"/>
        <v>#NAME?</v>
      </c>
      <c r="R47" s="42" t="e">
        <f t="array" aca="1" ref="R47" ca="1">_xludf.XLOOKUP(D47,'KPS #48'!D:D,'KPS #48'!R:R,0)</f>
        <v>#NAME?</v>
      </c>
      <c r="S47" s="38" t="e">
        <f t="shared" ca="1" si="8"/>
        <v>#NAME?</v>
      </c>
      <c r="T47" s="35" t="e">
        <f t="array" aca="1" ref="T47" ca="1">_xludf.XLOOKUP(D47,'KPS #48'!D:D,'KPS #48'!T:T,0)</f>
        <v>#NAME?</v>
      </c>
      <c r="U47" s="36" t="e">
        <f t="shared" ca="1" si="9"/>
        <v>#NAME?</v>
      </c>
      <c r="V47" s="35" t="e">
        <f t="array" aca="1" ref="V47" ca="1">_xludf.XLOOKUP(D47,'KPS #48'!D:D,'KPS #48'!V:V,0)</f>
        <v>#NAME?</v>
      </c>
      <c r="W47" s="36" t="e">
        <f t="shared" ca="1" si="10"/>
        <v>#NAME?</v>
      </c>
      <c r="X47" s="40" t="e">
        <f t="shared" ref="X47:Y47" ca="1" si="55">SUM(V47,T47,R47,P47,N47,L47,J47)</f>
        <v>#NAME?</v>
      </c>
      <c r="Y47" s="41" t="e">
        <f t="shared" ca="1" si="55"/>
        <v>#NAME?</v>
      </c>
      <c r="Z47" s="32"/>
      <c r="AA47" s="29" t="e">
        <f ca="1">X47*IFERROR(VLOOKUP(D47,'Brand List'!$B:$D,3,0),0)</f>
        <v>#NAME?</v>
      </c>
      <c r="AB47" s="29" t="e">
        <f ca="1">H47*IFERROR(VLOOKUP(D47,'Brand List'!$B:$D,3,0),0)</f>
        <v>#NAME?</v>
      </c>
      <c r="AC47" s="29" t="e">
        <f t="shared" ca="1" si="12"/>
        <v>#NAME?</v>
      </c>
      <c r="AD47" s="2">
        <f>_xlfn.XLOOKUP(D47,[1]Summary!$E:$E,[1]Summary!$L:$L,0)</f>
        <v>0</v>
      </c>
      <c r="AE47" s="5" t="e">
        <f t="shared" ca="1" si="13"/>
        <v>#NAME?</v>
      </c>
    </row>
    <row r="48" spans="1:31" ht="14.25" customHeight="1">
      <c r="A48" s="20" t="str">
        <f t="shared" si="27"/>
        <v>NAG20</v>
      </c>
      <c r="B48" s="30" t="s">
        <v>144</v>
      </c>
      <c r="C48" s="32" t="s">
        <v>56</v>
      </c>
      <c r="D48" s="32" t="s">
        <v>153</v>
      </c>
      <c r="E48" s="33" t="s">
        <v>154</v>
      </c>
      <c r="F48" s="31" t="s">
        <v>139</v>
      </c>
      <c r="G48" s="34" t="e">
        <f t="array" aca="1" ref="G48" ca="1">_xludf.XLOOKUP(D48,'KPS #48'!D:D,'KPS #48'!G:G,0)</f>
        <v>#NAME?</v>
      </c>
      <c r="H48" s="31" t="e">
        <f t="array" aca="1" ref="H48" ca="1">_xludf.XLOOKUP(D48,'KPS #48'!D:D,'KPS #48'!H:H,0)</f>
        <v>#NAME?</v>
      </c>
      <c r="I48" s="31" t="e">
        <f t="shared" ca="1" si="3"/>
        <v>#NAME?</v>
      </c>
      <c r="J48" s="42" t="e">
        <f t="array" aca="1" ref="J48" ca="1">_xludf.XLOOKUP(D48,'KPS #48'!D:D,'KPS #48'!J:J,0)</f>
        <v>#NAME?</v>
      </c>
      <c r="K48" s="38" t="e">
        <f t="shared" ca="1" si="4"/>
        <v>#NAME?</v>
      </c>
      <c r="L48" s="37" t="e">
        <f t="array" aca="1" ref="L48" ca="1">_xludf.XLOOKUP(D48,'KPS #48'!D:D,'KPS #48'!L:L,0)</f>
        <v>#NAME?</v>
      </c>
      <c r="M48" s="38" t="e">
        <f t="shared" ca="1" si="5"/>
        <v>#NAME?</v>
      </c>
      <c r="N48" s="37" t="e">
        <f t="array" aca="1" ref="N48" ca="1">_xludf.XLOOKUP(D48,'KPS #48'!D:D,'KPS #48'!N:N,0)</f>
        <v>#NAME?</v>
      </c>
      <c r="O48" s="38" t="e">
        <f t="shared" ca="1" si="6"/>
        <v>#NAME?</v>
      </c>
      <c r="P48" s="42" t="e">
        <f t="array" aca="1" ref="P48" ca="1">_xludf.XLOOKUP(D48,'KPS #48'!D:D,'KPS #48'!P:P,0)</f>
        <v>#NAME?</v>
      </c>
      <c r="Q48" s="38" t="e">
        <f t="shared" ca="1" si="7"/>
        <v>#NAME?</v>
      </c>
      <c r="R48" s="42" t="e">
        <f t="array" aca="1" ref="R48" ca="1">_xludf.XLOOKUP(D48,'KPS #48'!D:D,'KPS #48'!R:R,0)</f>
        <v>#NAME?</v>
      </c>
      <c r="S48" s="38" t="e">
        <f t="shared" ca="1" si="8"/>
        <v>#NAME?</v>
      </c>
      <c r="T48" s="35" t="e">
        <f t="array" aca="1" ref="T48" ca="1">_xludf.XLOOKUP(D48,'KPS #48'!D:D,'KPS #48'!T:T,0)</f>
        <v>#NAME?</v>
      </c>
      <c r="U48" s="36" t="e">
        <f t="shared" ca="1" si="9"/>
        <v>#NAME?</v>
      </c>
      <c r="V48" s="35" t="e">
        <f t="array" aca="1" ref="V48" ca="1">_xludf.XLOOKUP(D48,'KPS #48'!D:D,'KPS #48'!V:V,0)</f>
        <v>#NAME?</v>
      </c>
      <c r="W48" s="36" t="e">
        <f t="shared" ca="1" si="10"/>
        <v>#NAME?</v>
      </c>
      <c r="X48" s="40" t="e">
        <f t="shared" ref="X48:Y48" ca="1" si="56">SUM(V48,T48,R48,P48,N48,L48,J48)</f>
        <v>#NAME?</v>
      </c>
      <c r="Y48" s="41" t="e">
        <f t="shared" ca="1" si="56"/>
        <v>#NAME?</v>
      </c>
      <c r="Z48" s="32" t="s">
        <v>155</v>
      </c>
      <c r="AA48" s="29" t="e">
        <f ca="1">X48*IFERROR(VLOOKUP(D48,'Brand List'!$B:$D,3,0),0)</f>
        <v>#NAME?</v>
      </c>
      <c r="AB48" s="29" t="e">
        <f ca="1">H48*IFERROR(VLOOKUP(D48,'Brand List'!$B:$D,3,0),0)</f>
        <v>#NAME?</v>
      </c>
      <c r="AC48" s="29" t="e">
        <f t="shared" ca="1" si="12"/>
        <v>#NAME?</v>
      </c>
      <c r="AD48" s="2">
        <f>_xlfn.XLOOKUP(D48,[1]Summary!$E:$E,[1]Summary!$L:$L,0)</f>
        <v>0</v>
      </c>
      <c r="AE48" s="5" t="e">
        <f t="shared" ca="1" si="13"/>
        <v>#NAME?</v>
      </c>
    </row>
    <row r="49" spans="1:31" ht="14.25" customHeight="1">
      <c r="A49" s="20" t="str">
        <f t="shared" si="27"/>
        <v>OEM10</v>
      </c>
      <c r="B49" s="30" t="s">
        <v>144</v>
      </c>
      <c r="C49" s="31" t="s">
        <v>156</v>
      </c>
      <c r="D49" s="32" t="s">
        <v>157</v>
      </c>
      <c r="E49" s="33" t="s">
        <v>158</v>
      </c>
      <c r="F49" s="31" t="s">
        <v>139</v>
      </c>
      <c r="G49" s="34" t="e">
        <f t="array" aca="1" ref="G49" ca="1">_xludf.XLOOKUP(D49,'KPS #48'!D:D,'KPS #48'!G:G,0)</f>
        <v>#NAME?</v>
      </c>
      <c r="H49" s="31" t="e">
        <f t="array" aca="1" ref="H49" ca="1">_xludf.XLOOKUP(D49,'KPS #48'!D:D,'KPS #48'!H:H,0)</f>
        <v>#NAME?</v>
      </c>
      <c r="I49" s="31" t="e">
        <f t="shared" ca="1" si="3"/>
        <v>#NAME?</v>
      </c>
      <c r="J49" s="46" t="e">
        <f t="array" aca="1" ref="J49" ca="1">_xludf.XLOOKUP(D49,'KPS #48'!D:D,'KPS #48'!J:J,0)</f>
        <v>#NAME?</v>
      </c>
      <c r="K49" s="47" t="e">
        <f t="shared" ca="1" si="4"/>
        <v>#NAME?</v>
      </c>
      <c r="L49" s="48" t="e">
        <f t="array" aca="1" ref="L49" ca="1">_xludf.XLOOKUP(D49,'KPS #48'!D:D,'KPS #48'!L:L,0)</f>
        <v>#NAME?</v>
      </c>
      <c r="M49" s="47" t="e">
        <f t="shared" ca="1" si="5"/>
        <v>#NAME?</v>
      </c>
      <c r="N49" s="37" t="e">
        <f t="array" aca="1" ref="N49" ca="1">_xludf.XLOOKUP(D49,'KPS #48'!D:D,'KPS #48'!N:N,0)</f>
        <v>#NAME?</v>
      </c>
      <c r="O49" s="38" t="e">
        <f t="shared" ca="1" si="6"/>
        <v>#NAME?</v>
      </c>
      <c r="P49" s="42" t="e">
        <f t="array" aca="1" ref="P49" ca="1">_xludf.XLOOKUP(D49,'KPS #48'!D:D,'KPS #48'!P:P,0)</f>
        <v>#NAME?</v>
      </c>
      <c r="Q49" s="38" t="e">
        <f t="shared" ca="1" si="7"/>
        <v>#NAME?</v>
      </c>
      <c r="R49" s="42" t="e">
        <f t="array" aca="1" ref="R49" ca="1">_xludf.XLOOKUP(D49,'KPS #48'!D:D,'KPS #48'!R:R,0)</f>
        <v>#NAME?</v>
      </c>
      <c r="S49" s="38" t="e">
        <f t="shared" ca="1" si="8"/>
        <v>#NAME?</v>
      </c>
      <c r="T49" s="35" t="e">
        <f t="array" aca="1" ref="T49" ca="1">_xludf.XLOOKUP(D49,'KPS #48'!D:D,'KPS #48'!T:T,0)</f>
        <v>#NAME?</v>
      </c>
      <c r="U49" s="36" t="e">
        <f t="shared" ca="1" si="9"/>
        <v>#NAME?</v>
      </c>
      <c r="V49" s="35" t="e">
        <f t="array" aca="1" ref="V49" ca="1">_xludf.XLOOKUP(D49,'KPS #48'!D:D,'KPS #48'!V:V,0)</f>
        <v>#NAME?</v>
      </c>
      <c r="W49" s="36" t="e">
        <f t="shared" ca="1" si="10"/>
        <v>#NAME?</v>
      </c>
      <c r="X49" s="40" t="e">
        <f t="shared" ref="X49:Y49" ca="1" si="57">SUM(V49,T49,R49,P49,N49,L49,J49)</f>
        <v>#NAME?</v>
      </c>
      <c r="Y49" s="41" t="e">
        <f t="shared" ca="1" si="57"/>
        <v>#NAME?</v>
      </c>
      <c r="Z49" s="32" t="s">
        <v>159</v>
      </c>
      <c r="AA49" s="29" t="e">
        <f ca="1">X49*IFERROR(VLOOKUP(D49,'Brand List'!$B:$D,3,0),0)</f>
        <v>#NAME?</v>
      </c>
      <c r="AB49" s="29" t="e">
        <f ca="1">H49*IFERROR(VLOOKUP(D49,'Brand List'!$B:$D,3,0),0)</f>
        <v>#NAME?</v>
      </c>
      <c r="AC49" s="29" t="e">
        <f t="shared" ca="1" si="12"/>
        <v>#NAME?</v>
      </c>
      <c r="AD49" s="2">
        <f>_xlfn.XLOOKUP(D49,[1]Summary!$E:$E,[1]Summary!$L:$L,0)</f>
        <v>0</v>
      </c>
      <c r="AE49" s="5" t="e">
        <f t="shared" ca="1" si="13"/>
        <v>#NAME?</v>
      </c>
    </row>
    <row r="50" spans="1:31" ht="14.25" customHeight="1">
      <c r="A50" s="20" t="str">
        <f t="shared" si="27"/>
        <v>OES12</v>
      </c>
      <c r="B50" s="30" t="s">
        <v>144</v>
      </c>
      <c r="C50" s="31" t="s">
        <v>24</v>
      </c>
      <c r="D50" s="32" t="s">
        <v>160</v>
      </c>
      <c r="E50" s="33" t="s">
        <v>161</v>
      </c>
      <c r="F50" s="31" t="s">
        <v>139</v>
      </c>
      <c r="G50" s="34" t="e">
        <f t="array" aca="1" ref="G50" ca="1">_xludf.XLOOKUP(D50,'KPS #48'!D:D,'KPS #48'!G:G,0)</f>
        <v>#NAME?</v>
      </c>
      <c r="H50" s="31" t="e">
        <f t="array" aca="1" ref="H50" ca="1">_xludf.XLOOKUP(D50,'KPS #48'!D:D,'KPS #48'!H:H,0)</f>
        <v>#NAME?</v>
      </c>
      <c r="I50" s="31" t="e">
        <f t="shared" ca="1" si="3"/>
        <v>#NAME?</v>
      </c>
      <c r="J50" s="46" t="e">
        <f t="array" aca="1" ref="J50" ca="1">_xludf.XLOOKUP(D50,'KPS #48'!D:D,'KPS #48'!J:J,0)</f>
        <v>#NAME?</v>
      </c>
      <c r="K50" s="47" t="e">
        <f t="shared" ca="1" si="4"/>
        <v>#NAME?</v>
      </c>
      <c r="L50" s="48" t="e">
        <f t="array" aca="1" ref="L50" ca="1">_xludf.XLOOKUP(D50,'KPS #48'!D:D,'KPS #48'!L:L,0)</f>
        <v>#NAME?</v>
      </c>
      <c r="M50" s="47" t="e">
        <f t="shared" ca="1" si="5"/>
        <v>#NAME?</v>
      </c>
      <c r="N50" s="37" t="e">
        <f t="array" aca="1" ref="N50" ca="1">_xludf.XLOOKUP(D50,'KPS #48'!D:D,'KPS #48'!N:N,0)</f>
        <v>#NAME?</v>
      </c>
      <c r="O50" s="38" t="e">
        <f t="shared" ca="1" si="6"/>
        <v>#NAME?</v>
      </c>
      <c r="P50" s="42" t="e">
        <f t="array" aca="1" ref="P50" ca="1">_xludf.XLOOKUP(D50,'KPS #48'!D:D,'KPS #48'!P:P,0)</f>
        <v>#NAME?</v>
      </c>
      <c r="Q50" s="38" t="e">
        <f t="shared" ca="1" si="7"/>
        <v>#NAME?</v>
      </c>
      <c r="R50" s="42" t="e">
        <f t="array" aca="1" ref="R50" ca="1">_xludf.XLOOKUP(D50,'KPS #48'!D:D,'KPS #48'!R:R,0)</f>
        <v>#NAME?</v>
      </c>
      <c r="S50" s="38" t="e">
        <f t="shared" ca="1" si="8"/>
        <v>#NAME?</v>
      </c>
      <c r="T50" s="35" t="e">
        <f t="array" aca="1" ref="T50" ca="1">_xludf.XLOOKUP(D50,'KPS #48'!D:D,'KPS #48'!T:T,0)</f>
        <v>#NAME?</v>
      </c>
      <c r="U50" s="36" t="e">
        <f t="shared" ca="1" si="9"/>
        <v>#NAME?</v>
      </c>
      <c r="V50" s="35" t="e">
        <f t="array" aca="1" ref="V50" ca="1">_xludf.XLOOKUP(D50,'KPS #48'!D:D,'KPS #48'!V:V,0)</f>
        <v>#NAME?</v>
      </c>
      <c r="W50" s="36" t="e">
        <f t="shared" ca="1" si="10"/>
        <v>#NAME?</v>
      </c>
      <c r="X50" s="40" t="e">
        <f t="shared" ref="X50:Y50" ca="1" si="58">SUM(V50,T50,R50,P50,N50,L50,J50)</f>
        <v>#NAME?</v>
      </c>
      <c r="Y50" s="41" t="e">
        <f t="shared" ca="1" si="58"/>
        <v>#NAME?</v>
      </c>
      <c r="Z50" s="32" t="s">
        <v>162</v>
      </c>
      <c r="AA50" s="29" t="e">
        <f ca="1">X50*IFERROR(VLOOKUP(D50,'Brand List'!$B:$D,3,0),0)</f>
        <v>#NAME?</v>
      </c>
      <c r="AB50" s="29" t="e">
        <f ca="1">H50*IFERROR(VLOOKUP(D50,'Brand List'!$B:$D,3,0),0)</f>
        <v>#NAME?</v>
      </c>
      <c r="AC50" s="29" t="e">
        <f t="shared" ca="1" si="12"/>
        <v>#NAME?</v>
      </c>
      <c r="AD50" s="2">
        <f>_xlfn.XLOOKUP(D50,[1]Summary!$E:$E,[1]Summary!$L:$L,0)</f>
        <v>0</v>
      </c>
      <c r="AE50" s="5" t="e">
        <f t="shared" ca="1" si="13"/>
        <v>#NAME?</v>
      </c>
    </row>
    <row r="51" spans="1:31" ht="14.25" customHeight="1">
      <c r="A51" s="20" t="str">
        <f t="shared" si="27"/>
        <v>OEC10</v>
      </c>
      <c r="B51" s="30" t="s">
        <v>144</v>
      </c>
      <c r="C51" s="31" t="s">
        <v>156</v>
      </c>
      <c r="D51" s="32" t="s">
        <v>163</v>
      </c>
      <c r="E51" s="33" t="s">
        <v>164</v>
      </c>
      <c r="F51" s="31" t="s">
        <v>139</v>
      </c>
      <c r="G51" s="34" t="e">
        <f t="array" aca="1" ref="G51" ca="1">_xludf.XLOOKUP(D51,'KPS #48'!D:D,'KPS #48'!G:G,0)</f>
        <v>#NAME?</v>
      </c>
      <c r="H51" s="31" t="e">
        <f t="array" aca="1" ref="H51" ca="1">_xludf.XLOOKUP(D51,'KPS #48'!D:D,'KPS #48'!H:H,0)</f>
        <v>#NAME?</v>
      </c>
      <c r="I51" s="31" t="e">
        <f t="shared" ca="1" si="3"/>
        <v>#NAME?</v>
      </c>
      <c r="J51" s="42" t="e">
        <f t="array" aca="1" ref="J51" ca="1">_xludf.XLOOKUP(D51,'KPS #48'!D:D,'KPS #48'!J:J,0)</f>
        <v>#NAME?</v>
      </c>
      <c r="K51" s="38" t="e">
        <f t="shared" ca="1" si="4"/>
        <v>#NAME?</v>
      </c>
      <c r="L51" s="37" t="e">
        <f t="array" aca="1" ref="L51" ca="1">_xludf.XLOOKUP(D51,'KPS #48'!D:D,'KPS #48'!L:L,0)</f>
        <v>#NAME?</v>
      </c>
      <c r="M51" s="38" t="e">
        <f t="shared" ca="1" si="5"/>
        <v>#NAME?</v>
      </c>
      <c r="N51" s="37" t="e">
        <f t="array" aca="1" ref="N51" ca="1">_xludf.XLOOKUP(D51,'KPS #48'!D:D,'KPS #48'!N:N,0)</f>
        <v>#NAME?</v>
      </c>
      <c r="O51" s="38" t="e">
        <f t="shared" ca="1" si="6"/>
        <v>#NAME?</v>
      </c>
      <c r="P51" s="42" t="e">
        <f t="array" aca="1" ref="P51" ca="1">_xludf.XLOOKUP(D51,'KPS #48'!D:D,'KPS #48'!P:P,0)</f>
        <v>#NAME?</v>
      </c>
      <c r="Q51" s="38" t="e">
        <f t="shared" ca="1" si="7"/>
        <v>#NAME?</v>
      </c>
      <c r="R51" s="42" t="e">
        <f t="array" aca="1" ref="R51" ca="1">_xludf.XLOOKUP(D51,'KPS #48'!D:D,'KPS #48'!R:R,0)</f>
        <v>#NAME?</v>
      </c>
      <c r="S51" s="38" t="e">
        <f t="shared" ca="1" si="8"/>
        <v>#NAME?</v>
      </c>
      <c r="T51" s="35" t="e">
        <f t="array" aca="1" ref="T51" ca="1">_xludf.XLOOKUP(D51,'KPS #48'!D:D,'KPS #48'!T:T,0)</f>
        <v>#NAME?</v>
      </c>
      <c r="U51" s="36" t="e">
        <f t="shared" ca="1" si="9"/>
        <v>#NAME?</v>
      </c>
      <c r="V51" s="35" t="e">
        <f t="array" aca="1" ref="V51" ca="1">_xludf.XLOOKUP(D51,'KPS #48'!D:D,'KPS #48'!V:V,0)</f>
        <v>#NAME?</v>
      </c>
      <c r="W51" s="36" t="e">
        <f t="shared" ca="1" si="10"/>
        <v>#NAME?</v>
      </c>
      <c r="X51" s="40" t="e">
        <f t="shared" ref="X51:Y51" ca="1" si="59">SUM(V51,T51,R51,P51,N51,L51,J51)</f>
        <v>#NAME?</v>
      </c>
      <c r="Y51" s="41" t="e">
        <f t="shared" ca="1" si="59"/>
        <v>#NAME?</v>
      </c>
      <c r="Z51" s="32" t="s">
        <v>165</v>
      </c>
      <c r="AA51" s="29" t="e">
        <f ca="1">X51*IFERROR(VLOOKUP(D51,'Brand List'!$B:$D,3,0),0)</f>
        <v>#NAME?</v>
      </c>
      <c r="AB51" s="29" t="e">
        <f ca="1">H51*IFERROR(VLOOKUP(D51,'Brand List'!$B:$D,3,0),0)</f>
        <v>#NAME?</v>
      </c>
      <c r="AC51" s="29" t="e">
        <f t="shared" ca="1" si="12"/>
        <v>#NAME?</v>
      </c>
      <c r="AD51" s="2">
        <f>_xlfn.XLOOKUP(D51,[1]Summary!$E:$E,[1]Summary!$L:$L,0)</f>
        <v>0</v>
      </c>
      <c r="AE51" s="5" t="e">
        <f t="shared" ca="1" si="13"/>
        <v>#NAME?</v>
      </c>
    </row>
    <row r="52" spans="1:31" ht="14.25" customHeight="1">
      <c r="A52" s="20" t="str">
        <f t="shared" si="27"/>
        <v>OEB12</v>
      </c>
      <c r="B52" s="30" t="s">
        <v>144</v>
      </c>
      <c r="C52" s="32" t="s">
        <v>70</v>
      </c>
      <c r="D52" s="32" t="s">
        <v>166</v>
      </c>
      <c r="E52" s="33" t="s">
        <v>167</v>
      </c>
      <c r="F52" s="31" t="s">
        <v>139</v>
      </c>
      <c r="G52" s="34" t="e">
        <f t="array" aca="1" ref="G52" ca="1">_xludf.XLOOKUP(D52,'KPS #48'!D:D,'KPS #48'!G:G,0)</f>
        <v>#NAME?</v>
      </c>
      <c r="H52" s="31" t="e">
        <f t="array" aca="1" ref="H52" ca="1">_xludf.XLOOKUP(D52,'KPS #48'!D:D,'KPS #48'!H:H,0)</f>
        <v>#NAME?</v>
      </c>
      <c r="I52" s="31" t="e">
        <f t="shared" ca="1" si="3"/>
        <v>#NAME?</v>
      </c>
      <c r="J52" s="42" t="e">
        <f t="array" aca="1" ref="J52" ca="1">_xludf.XLOOKUP(D52,'KPS #48'!D:D,'KPS #48'!J:J,0)</f>
        <v>#NAME?</v>
      </c>
      <c r="K52" s="38" t="e">
        <f t="shared" ca="1" si="4"/>
        <v>#NAME?</v>
      </c>
      <c r="L52" s="37" t="e">
        <f t="array" aca="1" ref="L52" ca="1">_xludf.XLOOKUP(D52,'KPS #48'!D:D,'KPS #48'!L:L,0)</f>
        <v>#NAME?</v>
      </c>
      <c r="M52" s="38" t="e">
        <f t="shared" ca="1" si="5"/>
        <v>#NAME?</v>
      </c>
      <c r="N52" s="37" t="e">
        <f t="array" aca="1" ref="N52" ca="1">_xludf.XLOOKUP(D52,'KPS #48'!D:D,'KPS #48'!N:N,0)</f>
        <v>#NAME?</v>
      </c>
      <c r="O52" s="38" t="e">
        <f t="shared" ca="1" si="6"/>
        <v>#NAME?</v>
      </c>
      <c r="P52" s="42" t="e">
        <f t="array" aca="1" ref="P52" ca="1">_xludf.XLOOKUP(D52,'KPS #48'!D:D,'KPS #48'!P:P,0)</f>
        <v>#NAME?</v>
      </c>
      <c r="Q52" s="38" t="e">
        <f t="shared" ca="1" si="7"/>
        <v>#NAME?</v>
      </c>
      <c r="R52" s="42" t="e">
        <f t="array" aca="1" ref="R52" ca="1">_xludf.XLOOKUP(D52,'KPS #48'!D:D,'KPS #48'!R:R,0)</f>
        <v>#NAME?</v>
      </c>
      <c r="S52" s="38" t="e">
        <f t="shared" ca="1" si="8"/>
        <v>#NAME?</v>
      </c>
      <c r="T52" s="35" t="e">
        <f t="array" aca="1" ref="T52" ca="1">_xludf.XLOOKUP(D52,'KPS #48'!D:D,'KPS #48'!T:T,0)</f>
        <v>#NAME?</v>
      </c>
      <c r="U52" s="36" t="e">
        <f t="shared" ca="1" si="9"/>
        <v>#NAME?</v>
      </c>
      <c r="V52" s="35" t="e">
        <f t="array" aca="1" ref="V52" ca="1">_xludf.XLOOKUP(D52,'KPS #48'!D:D,'KPS #48'!V:V,0)</f>
        <v>#NAME?</v>
      </c>
      <c r="W52" s="36" t="e">
        <f t="shared" ca="1" si="10"/>
        <v>#NAME?</v>
      </c>
      <c r="X52" s="40" t="e">
        <f t="shared" ref="X52:Y52" ca="1" si="60">SUM(V52,T52,R52,P52,N52,L52,J52)</f>
        <v>#NAME?</v>
      </c>
      <c r="Y52" s="41" t="e">
        <f t="shared" ca="1" si="60"/>
        <v>#NAME?</v>
      </c>
      <c r="Z52" s="32" t="s">
        <v>168</v>
      </c>
      <c r="AA52" s="29" t="e">
        <f ca="1">X52*IFERROR(VLOOKUP(D52,'Brand List'!$B:$D,3,0),0)</f>
        <v>#NAME?</v>
      </c>
      <c r="AB52" s="29" t="e">
        <f ca="1">H52*IFERROR(VLOOKUP(D52,'Brand List'!$B:$D,3,0),0)</f>
        <v>#NAME?</v>
      </c>
      <c r="AC52" s="29" t="e">
        <f t="shared" ca="1" si="12"/>
        <v>#NAME?</v>
      </c>
      <c r="AD52" s="2">
        <f>_xlfn.XLOOKUP(D52,[1]Summary!$E:$E,[1]Summary!$L:$L,0)</f>
        <v>0</v>
      </c>
      <c r="AE52" s="5" t="e">
        <f t="shared" ca="1" si="13"/>
        <v>#NAME?</v>
      </c>
    </row>
    <row r="53" spans="1:31" ht="14.25" customHeight="1">
      <c r="A53" s="20" t="str">
        <f t="shared" si="27"/>
        <v>OEB16</v>
      </c>
      <c r="B53" s="30" t="s">
        <v>144</v>
      </c>
      <c r="C53" s="32" t="s">
        <v>76</v>
      </c>
      <c r="D53" s="32" t="s">
        <v>169</v>
      </c>
      <c r="E53" s="33" t="s">
        <v>170</v>
      </c>
      <c r="F53" s="31" t="s">
        <v>139</v>
      </c>
      <c r="G53" s="34" t="e">
        <f t="array" aca="1" ref="G53" ca="1">_xludf.XLOOKUP(D53,'KPS #48'!D:D,'KPS #48'!G:G,0)</f>
        <v>#NAME?</v>
      </c>
      <c r="H53" s="31" t="e">
        <f t="array" aca="1" ref="H53" ca="1">_xludf.XLOOKUP(D53,'KPS #48'!D:D,'KPS #48'!H:H,0)</f>
        <v>#NAME?</v>
      </c>
      <c r="I53" s="31" t="e">
        <f t="shared" ca="1" si="3"/>
        <v>#NAME?</v>
      </c>
      <c r="J53" s="42" t="e">
        <f t="array" aca="1" ref="J53" ca="1">_xludf.XLOOKUP(D53,'KPS #48'!D:D,'KPS #48'!J:J,0)</f>
        <v>#NAME?</v>
      </c>
      <c r="K53" s="38" t="e">
        <f t="shared" ca="1" si="4"/>
        <v>#NAME?</v>
      </c>
      <c r="L53" s="37" t="e">
        <f t="array" aca="1" ref="L53" ca="1">_xludf.XLOOKUP(D53,'KPS #48'!D:D,'KPS #48'!L:L,0)</f>
        <v>#NAME?</v>
      </c>
      <c r="M53" s="38" t="e">
        <f t="shared" ca="1" si="5"/>
        <v>#NAME?</v>
      </c>
      <c r="N53" s="37" t="e">
        <f t="array" aca="1" ref="N53" ca="1">_xludf.XLOOKUP(D53,'KPS #48'!D:D,'KPS #48'!N:N,0)</f>
        <v>#NAME?</v>
      </c>
      <c r="O53" s="38" t="e">
        <f t="shared" ca="1" si="6"/>
        <v>#NAME?</v>
      </c>
      <c r="P53" s="42" t="e">
        <f t="array" aca="1" ref="P53" ca="1">_xludf.XLOOKUP(D53,'KPS #48'!D:D,'KPS #48'!P:P,0)</f>
        <v>#NAME?</v>
      </c>
      <c r="Q53" s="38" t="e">
        <f t="shared" ca="1" si="7"/>
        <v>#NAME?</v>
      </c>
      <c r="R53" s="42" t="e">
        <f t="array" aca="1" ref="R53" ca="1">_xludf.XLOOKUP(D53,'KPS #48'!D:D,'KPS #48'!R:R,0)</f>
        <v>#NAME?</v>
      </c>
      <c r="S53" s="38" t="e">
        <f t="shared" ca="1" si="8"/>
        <v>#NAME?</v>
      </c>
      <c r="T53" s="35" t="e">
        <f t="array" aca="1" ref="T53" ca="1">_xludf.XLOOKUP(D53,'KPS #48'!D:D,'KPS #48'!T:T,0)</f>
        <v>#NAME?</v>
      </c>
      <c r="U53" s="36" t="e">
        <f t="shared" ca="1" si="9"/>
        <v>#NAME?</v>
      </c>
      <c r="V53" s="35" t="e">
        <f t="array" aca="1" ref="V53" ca="1">_xludf.XLOOKUP(D53,'KPS #48'!D:D,'KPS #48'!V:V,0)</f>
        <v>#NAME?</v>
      </c>
      <c r="W53" s="36" t="e">
        <f t="shared" ca="1" si="10"/>
        <v>#NAME?</v>
      </c>
      <c r="X53" s="40" t="e">
        <f t="shared" ref="X53:Y53" ca="1" si="61">SUM(V53,T53,R53,P53,N53,L53,J53)</f>
        <v>#NAME?</v>
      </c>
      <c r="Y53" s="41" t="e">
        <f t="shared" ca="1" si="61"/>
        <v>#NAME?</v>
      </c>
      <c r="Z53" s="32"/>
      <c r="AA53" s="29" t="e">
        <f ca="1">X53*IFERROR(VLOOKUP(D53,'Brand List'!$B:$D,3,0),0)</f>
        <v>#NAME?</v>
      </c>
      <c r="AB53" s="29" t="e">
        <f ca="1">H53*IFERROR(VLOOKUP(D53,'Brand List'!$B:$D,3,0),0)</f>
        <v>#NAME?</v>
      </c>
      <c r="AC53" s="29" t="e">
        <f t="shared" ca="1" si="12"/>
        <v>#NAME?</v>
      </c>
      <c r="AD53" s="2">
        <f>_xlfn.XLOOKUP(D53,[1]Summary!$E:$E,[1]Summary!$L:$L,0)</f>
        <v>0</v>
      </c>
      <c r="AE53" s="5" t="e">
        <f t="shared" ca="1" si="13"/>
        <v>#NAME?</v>
      </c>
    </row>
    <row r="54" spans="1:31" ht="14.25" customHeight="1">
      <c r="A54" s="20" t="str">
        <f t="shared" si="27"/>
        <v>OEB20</v>
      </c>
      <c r="B54" s="30" t="s">
        <v>144</v>
      </c>
      <c r="C54" s="32" t="s">
        <v>56</v>
      </c>
      <c r="D54" s="32" t="s">
        <v>171</v>
      </c>
      <c r="E54" s="33" t="s">
        <v>172</v>
      </c>
      <c r="F54" s="31" t="s">
        <v>139</v>
      </c>
      <c r="G54" s="34" t="e">
        <f t="array" aca="1" ref="G54" ca="1">_xludf.XLOOKUP(D54,'KPS #48'!D:D,'KPS #48'!G:G,0)</f>
        <v>#NAME?</v>
      </c>
      <c r="H54" s="31" t="e">
        <f t="array" aca="1" ref="H54" ca="1">_xludf.XLOOKUP(D54,'KPS #48'!D:D,'KPS #48'!H:H,0)</f>
        <v>#NAME?</v>
      </c>
      <c r="I54" s="31" t="e">
        <f t="shared" ca="1" si="3"/>
        <v>#NAME?</v>
      </c>
      <c r="J54" s="42" t="e">
        <f t="array" aca="1" ref="J54" ca="1">_xludf.XLOOKUP(D54,'KPS #48'!D:D,'KPS #48'!J:J,0)</f>
        <v>#NAME?</v>
      </c>
      <c r="K54" s="38" t="e">
        <f t="shared" ca="1" si="4"/>
        <v>#NAME?</v>
      </c>
      <c r="L54" s="37" t="e">
        <f t="array" aca="1" ref="L54" ca="1">_xludf.XLOOKUP(D54,'KPS #48'!D:D,'KPS #48'!L:L,0)</f>
        <v>#NAME?</v>
      </c>
      <c r="M54" s="38" t="e">
        <f t="shared" ca="1" si="5"/>
        <v>#NAME?</v>
      </c>
      <c r="N54" s="37" t="e">
        <f t="array" aca="1" ref="N54" ca="1">_xludf.XLOOKUP(D54,'KPS #48'!D:D,'KPS #48'!N:N,0)</f>
        <v>#NAME?</v>
      </c>
      <c r="O54" s="38" t="e">
        <f t="shared" ca="1" si="6"/>
        <v>#NAME?</v>
      </c>
      <c r="P54" s="42" t="e">
        <f t="array" aca="1" ref="P54" ca="1">_xludf.XLOOKUP(D54,'KPS #48'!D:D,'KPS #48'!P:P,0)</f>
        <v>#NAME?</v>
      </c>
      <c r="Q54" s="38" t="e">
        <f t="shared" ca="1" si="7"/>
        <v>#NAME?</v>
      </c>
      <c r="R54" s="42" t="e">
        <f t="array" aca="1" ref="R54" ca="1">_xludf.XLOOKUP(D54,'KPS #48'!D:D,'KPS #48'!R:R,0)</f>
        <v>#NAME?</v>
      </c>
      <c r="S54" s="38" t="e">
        <f t="shared" ca="1" si="8"/>
        <v>#NAME?</v>
      </c>
      <c r="T54" s="35" t="e">
        <f t="array" aca="1" ref="T54" ca="1">_xludf.XLOOKUP(D54,'KPS #48'!D:D,'KPS #48'!T:T,0)</f>
        <v>#NAME?</v>
      </c>
      <c r="U54" s="36" t="e">
        <f t="shared" ca="1" si="9"/>
        <v>#NAME?</v>
      </c>
      <c r="V54" s="35" t="e">
        <f t="array" aca="1" ref="V54" ca="1">_xludf.XLOOKUP(D54,'KPS #48'!D:D,'KPS #48'!V:V,0)</f>
        <v>#NAME?</v>
      </c>
      <c r="W54" s="36" t="e">
        <f t="shared" ca="1" si="10"/>
        <v>#NAME?</v>
      </c>
      <c r="X54" s="40" t="e">
        <f t="shared" ref="X54:Y54" ca="1" si="62">SUM(V54,T54,R54,P54,N54,L54,J54)</f>
        <v>#NAME?</v>
      </c>
      <c r="Y54" s="41" t="e">
        <f t="shared" ca="1" si="62"/>
        <v>#NAME?</v>
      </c>
      <c r="Z54" s="32"/>
      <c r="AA54" s="29" t="e">
        <f ca="1">X54*IFERROR(VLOOKUP(D54,'Brand List'!$B:$D,3,0),0)</f>
        <v>#NAME?</v>
      </c>
      <c r="AB54" s="29" t="e">
        <f ca="1">H54*IFERROR(VLOOKUP(D54,'Brand List'!$B:$D,3,0),0)</f>
        <v>#NAME?</v>
      </c>
      <c r="AC54" s="29" t="e">
        <f t="shared" ca="1" si="12"/>
        <v>#NAME?</v>
      </c>
      <c r="AD54" s="2">
        <f>_xlfn.XLOOKUP(D54,[1]Summary!$E:$E,[1]Summary!$L:$L,0)</f>
        <v>0</v>
      </c>
      <c r="AE54" s="5" t="e">
        <f t="shared" ca="1" si="13"/>
        <v>#NAME?</v>
      </c>
    </row>
    <row r="55" spans="1:31" ht="14.25" customHeight="1">
      <c r="A55" s="20" t="str">
        <f t="shared" si="27"/>
        <v>ONG16</v>
      </c>
      <c r="B55" s="30" t="s">
        <v>144</v>
      </c>
      <c r="C55" s="32" t="s">
        <v>95</v>
      </c>
      <c r="D55" s="32" t="s">
        <v>173</v>
      </c>
      <c r="E55" s="33" t="s">
        <v>172</v>
      </c>
      <c r="F55" s="31" t="s">
        <v>139</v>
      </c>
      <c r="G55" s="34" t="e">
        <f t="array" aca="1" ref="G55" ca="1">_xludf.XLOOKUP(D55,'KPS #48'!D:D,'KPS #48'!G:G,0)</f>
        <v>#NAME?</v>
      </c>
      <c r="H55" s="31" t="e">
        <f t="array" aca="1" ref="H55" ca="1">_xludf.XLOOKUP(D55,'KPS #48'!D:D,'KPS #48'!H:H,0)</f>
        <v>#NAME?</v>
      </c>
      <c r="I55" s="31" t="e">
        <f t="shared" ca="1" si="3"/>
        <v>#NAME?</v>
      </c>
      <c r="J55" s="42" t="e">
        <f t="array" aca="1" ref="J55" ca="1">_xludf.XLOOKUP(D55,'KPS #48'!D:D,'KPS #48'!J:J,0)</f>
        <v>#NAME?</v>
      </c>
      <c r="K55" s="38" t="e">
        <f t="shared" ca="1" si="4"/>
        <v>#NAME?</v>
      </c>
      <c r="L55" s="48" t="e">
        <f t="array" aca="1" ref="L55" ca="1">_xludf.XLOOKUP(D55,'KPS #48'!D:D,'KPS #48'!L:L,0)</f>
        <v>#NAME?</v>
      </c>
      <c r="M55" s="47" t="e">
        <f t="shared" ca="1" si="5"/>
        <v>#NAME?</v>
      </c>
      <c r="N55" s="37" t="e">
        <f t="array" aca="1" ref="N55" ca="1">_xludf.XLOOKUP(D55,'KPS #48'!D:D,'KPS #48'!N:N,0)</f>
        <v>#NAME?</v>
      </c>
      <c r="O55" s="47" t="e">
        <f t="shared" ca="1" si="6"/>
        <v>#NAME?</v>
      </c>
      <c r="P55" s="42" t="e">
        <f t="array" aca="1" ref="P55" ca="1">_xludf.XLOOKUP(D55,'KPS #48'!D:D,'KPS #48'!P:P,0)</f>
        <v>#NAME?</v>
      </c>
      <c r="Q55" s="38" t="e">
        <f t="shared" ca="1" si="7"/>
        <v>#NAME?</v>
      </c>
      <c r="R55" s="42" t="e">
        <f t="array" aca="1" ref="R55" ca="1">_xludf.XLOOKUP(D55,'KPS #48'!D:D,'KPS #48'!R:R,0)</f>
        <v>#NAME?</v>
      </c>
      <c r="S55" s="38" t="e">
        <f t="shared" ca="1" si="8"/>
        <v>#NAME?</v>
      </c>
      <c r="T55" s="35" t="e">
        <f t="array" aca="1" ref="T55" ca="1">_xludf.XLOOKUP(D55,'KPS #48'!D:D,'KPS #48'!T:T,0)</f>
        <v>#NAME?</v>
      </c>
      <c r="U55" s="36" t="e">
        <f t="shared" ca="1" si="9"/>
        <v>#NAME?</v>
      </c>
      <c r="V55" s="35" t="e">
        <f t="array" aca="1" ref="V55" ca="1">_xludf.XLOOKUP(D55,'KPS #48'!D:D,'KPS #48'!V:V,0)</f>
        <v>#NAME?</v>
      </c>
      <c r="W55" s="36" t="e">
        <f t="shared" ca="1" si="10"/>
        <v>#NAME?</v>
      </c>
      <c r="X55" s="40" t="e">
        <f t="shared" ref="X55:Y55" ca="1" si="63">SUM(V55,T55,R55,P55,N55,L55,J55)</f>
        <v>#NAME?</v>
      </c>
      <c r="Y55" s="41" t="e">
        <f t="shared" ca="1" si="63"/>
        <v>#NAME?</v>
      </c>
      <c r="Z55" s="32" t="s">
        <v>174</v>
      </c>
      <c r="AA55" s="29" t="e">
        <f ca="1">X55*IFERROR(VLOOKUP(D55,'Brand List'!$B:$D,3,0),0)</f>
        <v>#NAME?</v>
      </c>
      <c r="AB55" s="29" t="e">
        <f ca="1">H55*IFERROR(VLOOKUP(D55,'Brand List'!$B:$D,3,0),0)</f>
        <v>#NAME?</v>
      </c>
      <c r="AC55" s="29" t="e">
        <f t="shared" ca="1" si="12"/>
        <v>#NAME?</v>
      </c>
      <c r="AD55" s="2">
        <f>_xlfn.XLOOKUP(D55,[1]Summary!$E:$E,[1]Summary!$L:$L,0)</f>
        <v>0</v>
      </c>
      <c r="AE55" s="5" t="e">
        <f t="shared" ca="1" si="13"/>
        <v>#NAME?</v>
      </c>
    </row>
    <row r="56" spans="1:31" ht="14.25" customHeight="1">
      <c r="A56" s="20" t="str">
        <f t="shared" si="27"/>
        <v>SME12</v>
      </c>
      <c r="B56" s="30" t="s">
        <v>175</v>
      </c>
      <c r="C56" s="32" t="s">
        <v>24</v>
      </c>
      <c r="D56" s="32" t="s">
        <v>176</v>
      </c>
      <c r="E56" s="33" t="s">
        <v>177</v>
      </c>
      <c r="F56" s="31" t="s">
        <v>139</v>
      </c>
      <c r="G56" s="43" t="e">
        <f t="array" aca="1" ref="G56" ca="1">_xludf.XLOOKUP(D56,'KPS #48'!D:D,'KPS #48'!G:G,0)</f>
        <v>#NAME?</v>
      </c>
      <c r="H56" s="31" t="e">
        <f t="array" aca="1" ref="H56" ca="1">_xludf.XLOOKUP(D56,'KPS #48'!D:D,'KPS #48'!H:H,0)</f>
        <v>#NAME?</v>
      </c>
      <c r="I56" s="31" t="e">
        <f t="shared" ca="1" si="3"/>
        <v>#NAME?</v>
      </c>
      <c r="J56" s="35" t="e">
        <f t="array" aca="1" ref="J56" ca="1">_xludf.XLOOKUP(D56,'KPS #48'!D:D,'KPS #48'!J:J,0)</f>
        <v>#NAME?</v>
      </c>
      <c r="K56" s="36" t="e">
        <f t="shared" ca="1" si="4"/>
        <v>#NAME?</v>
      </c>
      <c r="L56" s="39" t="e">
        <f t="array" aca="1" ref="L56" ca="1">_xludf.XLOOKUP(D56,'KPS #48'!D:D,'KPS #48'!L:L,0)</f>
        <v>#NAME?</v>
      </c>
      <c r="M56" s="36" t="e">
        <f t="shared" ca="1" si="5"/>
        <v>#NAME?</v>
      </c>
      <c r="N56" s="39" t="e">
        <f t="array" aca="1" ref="N56" ca="1">_xludf.XLOOKUP(D56,'KPS #48'!D:D,'KPS #48'!N:N,0)</f>
        <v>#NAME?</v>
      </c>
      <c r="O56" s="38" t="e">
        <f t="shared" ca="1" si="6"/>
        <v>#NAME?</v>
      </c>
      <c r="P56" s="42" t="e">
        <f t="array" aca="1" ref="P56" ca="1">_xludf.XLOOKUP(D56,'KPS #48'!D:D,'KPS #48'!P:P,0)</f>
        <v>#NAME?</v>
      </c>
      <c r="Q56" s="38" t="e">
        <f t="shared" ca="1" si="7"/>
        <v>#NAME?</v>
      </c>
      <c r="R56" s="42" t="e">
        <f t="array" aca="1" ref="R56" ca="1">_xludf.XLOOKUP(D56,'KPS #48'!D:D,'KPS #48'!R:R,0)</f>
        <v>#NAME?</v>
      </c>
      <c r="S56" s="38" t="e">
        <f t="shared" ca="1" si="8"/>
        <v>#NAME?</v>
      </c>
      <c r="T56" s="35" t="e">
        <f t="array" aca="1" ref="T56" ca="1">_xludf.XLOOKUP(D56,'KPS #48'!D:D,'KPS #48'!T:T,0)</f>
        <v>#NAME?</v>
      </c>
      <c r="U56" s="36" t="e">
        <f t="shared" ca="1" si="9"/>
        <v>#NAME?</v>
      </c>
      <c r="V56" s="35" t="e">
        <f t="array" aca="1" ref="V56" ca="1">_xludf.XLOOKUP(D56,'KPS #48'!D:D,'KPS #48'!V:V,0)</f>
        <v>#NAME?</v>
      </c>
      <c r="W56" s="36" t="e">
        <f t="shared" ca="1" si="10"/>
        <v>#NAME?</v>
      </c>
      <c r="X56" s="40" t="e">
        <f t="shared" ref="X56:Y56" ca="1" si="64">SUM(V56,T56,R56,P56,N56,L56,J56)</f>
        <v>#NAME?</v>
      </c>
      <c r="Y56" s="41" t="e">
        <f t="shared" ca="1" si="64"/>
        <v>#NAME?</v>
      </c>
      <c r="Z56" s="32" t="s">
        <v>178</v>
      </c>
      <c r="AA56" s="29" t="e">
        <f ca="1">X56*IFERROR(VLOOKUP(D56,'Brand List'!$B:$D,3,0),0)</f>
        <v>#NAME?</v>
      </c>
      <c r="AB56" s="29" t="e">
        <f ca="1">H56*IFERROR(VLOOKUP(D56,'Brand List'!$B:$D,3,0),0)</f>
        <v>#NAME?</v>
      </c>
      <c r="AC56" s="29" t="e">
        <f t="shared" ca="1" si="12"/>
        <v>#NAME?</v>
      </c>
      <c r="AD56" s="2">
        <f>_xlfn.XLOOKUP(D56,[1]Summary!$E:$E,[1]Summary!$L:$L,0)</f>
        <v>0</v>
      </c>
      <c r="AE56" s="5" t="e">
        <f t="shared" ca="1" si="13"/>
        <v>#NAME?</v>
      </c>
    </row>
    <row r="57" spans="1:31" ht="14.25" customHeight="1">
      <c r="A57" s="20" t="str">
        <f t="shared" si="27"/>
        <v>SMB12</v>
      </c>
      <c r="B57" s="30" t="s">
        <v>175</v>
      </c>
      <c r="C57" s="32" t="s">
        <v>24</v>
      </c>
      <c r="D57" s="32" t="s">
        <v>179</v>
      </c>
      <c r="E57" s="33" t="s">
        <v>180</v>
      </c>
      <c r="F57" s="31" t="s">
        <v>139</v>
      </c>
      <c r="G57" s="43" t="e">
        <f t="array" aca="1" ref="G57" ca="1">_xludf.XLOOKUP(D57,'KPS #48'!D:D,'KPS #48'!G:G,0)</f>
        <v>#NAME?</v>
      </c>
      <c r="H57" s="31" t="e">
        <f t="array" aca="1" ref="H57" ca="1">_xludf.XLOOKUP(D57,'KPS #48'!D:D,'KPS #48'!H:H,0)</f>
        <v>#NAME?</v>
      </c>
      <c r="I57" s="31" t="e">
        <f t="shared" ca="1" si="3"/>
        <v>#NAME?</v>
      </c>
      <c r="J57" s="35" t="e">
        <f t="array" aca="1" ref="J57" ca="1">_xludf.XLOOKUP(D57,'KPS #48'!D:D,'KPS #48'!J:J,0)</f>
        <v>#NAME?</v>
      </c>
      <c r="K57" s="36" t="e">
        <f t="shared" ca="1" si="4"/>
        <v>#NAME?</v>
      </c>
      <c r="L57" s="39" t="e">
        <f t="array" aca="1" ref="L57" ca="1">_xludf.XLOOKUP(D57,'KPS #48'!D:D,'KPS #48'!L:L,0)</f>
        <v>#NAME?</v>
      </c>
      <c r="M57" s="36" t="e">
        <f t="shared" ca="1" si="5"/>
        <v>#NAME?</v>
      </c>
      <c r="N57" s="37" t="e">
        <f t="array" aca="1" ref="N57" ca="1">_xludf.XLOOKUP(D57,'KPS #48'!D:D,'KPS #48'!N:N,0)</f>
        <v>#NAME?</v>
      </c>
      <c r="O57" s="38" t="e">
        <f t="shared" ca="1" si="6"/>
        <v>#NAME?</v>
      </c>
      <c r="P57" s="42" t="e">
        <f t="array" aca="1" ref="P57" ca="1">_xludf.XLOOKUP(D57,'KPS #48'!D:D,'KPS #48'!P:P,0)</f>
        <v>#NAME?</v>
      </c>
      <c r="Q57" s="38" t="e">
        <f t="shared" ca="1" si="7"/>
        <v>#NAME?</v>
      </c>
      <c r="R57" s="42" t="e">
        <f t="array" aca="1" ref="R57" ca="1">_xludf.XLOOKUP(D57,'KPS #48'!D:D,'KPS #48'!R:R,0)</f>
        <v>#NAME?</v>
      </c>
      <c r="S57" s="38" t="e">
        <f t="shared" ca="1" si="8"/>
        <v>#NAME?</v>
      </c>
      <c r="T57" s="35" t="e">
        <f t="array" aca="1" ref="T57" ca="1">_xludf.XLOOKUP(D57,'KPS #48'!D:D,'KPS #48'!T:T,0)</f>
        <v>#NAME?</v>
      </c>
      <c r="U57" s="36" t="e">
        <f t="shared" ca="1" si="9"/>
        <v>#NAME?</v>
      </c>
      <c r="V57" s="35" t="e">
        <f t="array" aca="1" ref="V57" ca="1">_xludf.XLOOKUP(D57,'KPS #48'!D:D,'KPS #48'!V:V,0)</f>
        <v>#NAME?</v>
      </c>
      <c r="W57" s="36" t="e">
        <f t="shared" ca="1" si="10"/>
        <v>#NAME?</v>
      </c>
      <c r="X57" s="40" t="e">
        <f t="shared" ref="X57:Y57" ca="1" si="65">SUM(V57,T57,R57,P57,N57,L57,J57)</f>
        <v>#NAME?</v>
      </c>
      <c r="Y57" s="41" t="e">
        <f t="shared" ca="1" si="65"/>
        <v>#NAME?</v>
      </c>
      <c r="Z57" s="32" t="s">
        <v>181</v>
      </c>
      <c r="AA57" s="29" t="e">
        <f ca="1">X57*IFERROR(VLOOKUP(D57,'Brand List'!$B:$D,3,0),0)</f>
        <v>#NAME?</v>
      </c>
      <c r="AB57" s="29" t="e">
        <f ca="1">H57*IFERROR(VLOOKUP(D57,'Brand List'!$B:$D,3,0),0)</f>
        <v>#NAME?</v>
      </c>
      <c r="AC57" s="29" t="e">
        <f t="shared" ca="1" si="12"/>
        <v>#NAME?</v>
      </c>
      <c r="AD57" s="2">
        <f>_xlfn.XLOOKUP(D57,[1]Summary!$E:$E,[1]Summary!$L:$L,0)</f>
        <v>0</v>
      </c>
      <c r="AE57" s="5" t="e">
        <f t="shared" ca="1" si="13"/>
        <v>#NAME?</v>
      </c>
    </row>
    <row r="58" spans="1:31" ht="14.25" customHeight="1">
      <c r="A58" s="20" t="str">
        <f t="shared" si="27"/>
        <v>SMG12</v>
      </c>
      <c r="B58" s="30" t="s">
        <v>175</v>
      </c>
      <c r="C58" s="32" t="s">
        <v>24</v>
      </c>
      <c r="D58" s="32" t="s">
        <v>182</v>
      </c>
      <c r="E58" s="33" t="s">
        <v>183</v>
      </c>
      <c r="F58" s="31" t="s">
        <v>139</v>
      </c>
      <c r="G58" s="34" t="e">
        <f t="array" aca="1" ref="G58" ca="1">_xludf.XLOOKUP(D58,'KPS #48'!D:D,'KPS #48'!G:G,0)</f>
        <v>#NAME?</v>
      </c>
      <c r="H58" s="31" t="e">
        <f t="array" aca="1" ref="H58" ca="1">_xludf.XLOOKUP(D58,'KPS #48'!D:D,'KPS #48'!H:H,0)</f>
        <v>#NAME?</v>
      </c>
      <c r="I58" s="31" t="e">
        <f t="shared" ca="1" si="3"/>
        <v>#NAME?</v>
      </c>
      <c r="J58" s="35" t="e">
        <f t="array" aca="1" ref="J58" ca="1">_xludf.XLOOKUP(D58,'KPS #48'!D:D,'KPS #48'!J:J,0)</f>
        <v>#NAME?</v>
      </c>
      <c r="K58" s="36" t="e">
        <f t="shared" ca="1" si="4"/>
        <v>#NAME?</v>
      </c>
      <c r="L58" s="39" t="e">
        <f t="array" aca="1" ref="L58" ca="1">_xludf.XLOOKUP(D58,'KPS #48'!D:D,'KPS #48'!L:L,0)</f>
        <v>#NAME?</v>
      </c>
      <c r="M58" s="36" t="e">
        <f t="shared" ca="1" si="5"/>
        <v>#NAME?</v>
      </c>
      <c r="N58" s="37" t="e">
        <f t="array" aca="1" ref="N58" ca="1">_xludf.XLOOKUP(D58,'KPS #48'!D:D,'KPS #48'!N:N,0)</f>
        <v>#NAME?</v>
      </c>
      <c r="O58" s="38" t="e">
        <f t="shared" ca="1" si="6"/>
        <v>#NAME?</v>
      </c>
      <c r="P58" s="42" t="e">
        <f t="array" aca="1" ref="P58" ca="1">_xludf.XLOOKUP(D58,'KPS #48'!D:D,'KPS #48'!P:P,0)</f>
        <v>#NAME?</v>
      </c>
      <c r="Q58" s="38" t="e">
        <f t="shared" ca="1" si="7"/>
        <v>#NAME?</v>
      </c>
      <c r="R58" s="42" t="e">
        <f t="array" aca="1" ref="R58" ca="1">_xludf.XLOOKUP(D58,'KPS #48'!D:D,'KPS #48'!R:R,0)</f>
        <v>#NAME?</v>
      </c>
      <c r="S58" s="38" t="e">
        <f t="shared" ca="1" si="8"/>
        <v>#NAME?</v>
      </c>
      <c r="T58" s="35" t="e">
        <f t="array" aca="1" ref="T58" ca="1">_xludf.XLOOKUP(D58,'KPS #48'!D:D,'KPS #48'!T:T,0)</f>
        <v>#NAME?</v>
      </c>
      <c r="U58" s="36" t="e">
        <f t="shared" ca="1" si="9"/>
        <v>#NAME?</v>
      </c>
      <c r="V58" s="35" t="e">
        <f t="array" aca="1" ref="V58" ca="1">_xludf.XLOOKUP(D58,'KPS #48'!D:D,'KPS #48'!V:V,0)</f>
        <v>#NAME?</v>
      </c>
      <c r="W58" s="36" t="e">
        <f t="shared" ca="1" si="10"/>
        <v>#NAME?</v>
      </c>
      <c r="X58" s="40" t="e">
        <f t="shared" ref="X58:Y58" ca="1" si="66">SUM(V58,T58,R58,P58,N58,L58,J58)</f>
        <v>#NAME?</v>
      </c>
      <c r="Y58" s="41" t="e">
        <f t="shared" ca="1" si="66"/>
        <v>#NAME?</v>
      </c>
      <c r="Z58" s="32" t="s">
        <v>184</v>
      </c>
      <c r="AA58" s="29" t="e">
        <f ca="1">X58*IFERROR(VLOOKUP(D58,'Brand List'!$B:$D,3,0),0)</f>
        <v>#NAME?</v>
      </c>
      <c r="AB58" s="29" t="e">
        <f ca="1">H58*IFERROR(VLOOKUP(D58,'Brand List'!$B:$D,3,0),0)</f>
        <v>#NAME?</v>
      </c>
      <c r="AC58" s="29" t="e">
        <f t="shared" ca="1" si="12"/>
        <v>#NAME?</v>
      </c>
      <c r="AD58" s="2">
        <f>_xlfn.XLOOKUP(D58,[1]Summary!$E:$E,[1]Summary!$L:$L,0)</f>
        <v>0</v>
      </c>
      <c r="AE58" s="5" t="e">
        <f t="shared" ca="1" si="13"/>
        <v>#NAME?</v>
      </c>
    </row>
    <row r="59" spans="1:31" ht="14.25" customHeight="1">
      <c r="A59" s="20" t="str">
        <f t="shared" si="27"/>
        <v>LOJ12</v>
      </c>
      <c r="B59" s="21" t="s">
        <v>185</v>
      </c>
      <c r="C59" s="22" t="s">
        <v>24</v>
      </c>
      <c r="D59" s="22" t="s">
        <v>186</v>
      </c>
      <c r="E59" s="21" t="s">
        <v>187</v>
      </c>
      <c r="F59" s="22" t="s">
        <v>188</v>
      </c>
      <c r="G59" s="23" t="e">
        <f t="array" aca="1" ref="G59" ca="1">_xludf.XLOOKUP(D59,'KPS #48'!D:D,'KPS #48'!G:G,0)</f>
        <v>#NAME?</v>
      </c>
      <c r="H59" s="22" t="e">
        <f t="array" aca="1" ref="H59" ca="1">_xludf.XLOOKUP(D59,'KPS #48'!D:D,'KPS #48'!H:H,0)</f>
        <v>#NAME?</v>
      </c>
      <c r="I59" s="22" t="e">
        <f t="shared" ca="1" si="3"/>
        <v>#NAME?</v>
      </c>
      <c r="J59" s="26" t="e">
        <f t="array" aca="1" ref="J59" ca="1">_xludf.XLOOKUP(D59,'KPS #48'!D:D,'KPS #48'!J:J,0)</f>
        <v>#NAME?</v>
      </c>
      <c r="K59" s="25" t="e">
        <f t="shared" ca="1" si="4"/>
        <v>#NAME?</v>
      </c>
      <c r="L59" s="24" t="e">
        <f t="array" aca="1" ref="L59" ca="1">_xludf.XLOOKUP(D59,'KPS #48'!D:D,'KPS #48'!L:L,0)</f>
        <v>#NAME?</v>
      </c>
      <c r="M59" s="25" t="e">
        <f t="shared" ca="1" si="5"/>
        <v>#NAME?</v>
      </c>
      <c r="N59" s="24" t="e">
        <f t="array" aca="1" ref="N59" ca="1">_xludf.XLOOKUP(D59,'KPS #48'!D:D,'KPS #48'!N:N,0)</f>
        <v>#NAME?</v>
      </c>
      <c r="O59" s="25" t="e">
        <f t="shared" ca="1" si="6"/>
        <v>#NAME?</v>
      </c>
      <c r="P59" s="26" t="e">
        <f t="array" aca="1" ref="P59" ca="1">_xludf.XLOOKUP(D59,'KPS #48'!D:D,'KPS #48'!P:P,0)</f>
        <v>#NAME?</v>
      </c>
      <c r="Q59" s="25" t="e">
        <f t="shared" ca="1" si="7"/>
        <v>#NAME?</v>
      </c>
      <c r="R59" s="26" t="e">
        <f t="array" aca="1" ref="R59" ca="1">_xludf.XLOOKUP(D59,'KPS #48'!D:D,'KPS #48'!R:R,0)</f>
        <v>#NAME?</v>
      </c>
      <c r="S59" s="25" t="e">
        <f t="shared" ca="1" si="8"/>
        <v>#NAME?</v>
      </c>
      <c r="T59" s="26" t="e">
        <f t="array" aca="1" ref="T59" ca="1">_xludf.XLOOKUP(D59,'KPS #48'!D:D,'KPS #48'!T:T,0)</f>
        <v>#NAME?</v>
      </c>
      <c r="U59" s="25" t="e">
        <f t="shared" ca="1" si="9"/>
        <v>#NAME?</v>
      </c>
      <c r="V59" s="26" t="e">
        <f t="array" aca="1" ref="V59" ca="1">_xludf.XLOOKUP(D59,'KPS #48'!D:D,'KPS #48'!V:V,0)</f>
        <v>#NAME?</v>
      </c>
      <c r="W59" s="25" t="e">
        <f t="shared" ca="1" si="10"/>
        <v>#NAME?</v>
      </c>
      <c r="X59" s="27" t="e">
        <f t="shared" ref="X59:Y59" ca="1" si="67">SUM(V59,T59,R59,P59,N59,L59,J59)</f>
        <v>#NAME?</v>
      </c>
      <c r="Y59" s="28" t="e">
        <f t="shared" ca="1" si="67"/>
        <v>#NAME?</v>
      </c>
      <c r="Z59" s="22"/>
      <c r="AA59" s="29" t="e">
        <f ca="1">X59*IFERROR(VLOOKUP(D59,'Brand List'!$B:$D,3,0),0)</f>
        <v>#NAME?</v>
      </c>
      <c r="AB59" s="29" t="e">
        <f ca="1">H59*IFERROR(VLOOKUP(D59,'Brand List'!$B:$D,3,0),0)</f>
        <v>#NAME?</v>
      </c>
      <c r="AC59" s="29" t="e">
        <f t="shared" ca="1" si="12"/>
        <v>#NAME?</v>
      </c>
      <c r="AD59" s="2">
        <f>_xlfn.XLOOKUP(D59,[1]Summary!$E:$E,[1]Summary!$L:$L,0)</f>
        <v>0</v>
      </c>
      <c r="AE59" s="5" t="e">
        <f t="shared" ca="1" si="13"/>
        <v>#NAME?</v>
      </c>
    </row>
    <row r="60" spans="1:31" ht="14.25" customHeight="1">
      <c r="A60" s="20" t="str">
        <f t="shared" si="27"/>
        <v>LOK12</v>
      </c>
      <c r="B60" s="21" t="s">
        <v>185</v>
      </c>
      <c r="C60" s="22" t="s">
        <v>24</v>
      </c>
      <c r="D60" s="22" t="s">
        <v>189</v>
      </c>
      <c r="E60" s="21" t="s">
        <v>190</v>
      </c>
      <c r="F60" s="22" t="s">
        <v>188</v>
      </c>
      <c r="G60" s="23" t="e">
        <f t="array" aca="1" ref="G60" ca="1">_xludf.XLOOKUP(D60,'KPS #48'!D:D,'KPS #48'!G:G,0)</f>
        <v>#NAME?</v>
      </c>
      <c r="H60" s="22" t="e">
        <f t="array" aca="1" ref="H60" ca="1">_xludf.XLOOKUP(D60,'KPS #48'!D:D,'KPS #48'!H:H,0)</f>
        <v>#NAME?</v>
      </c>
      <c r="I60" s="22" t="e">
        <f t="shared" ca="1" si="3"/>
        <v>#NAME?</v>
      </c>
      <c r="J60" s="26" t="e">
        <f t="array" aca="1" ref="J60" ca="1">_xludf.XLOOKUP(D60,'KPS #48'!D:D,'KPS #48'!J:J,0)</f>
        <v>#NAME?</v>
      </c>
      <c r="K60" s="25" t="e">
        <f t="shared" ca="1" si="4"/>
        <v>#NAME?</v>
      </c>
      <c r="L60" s="24" t="e">
        <f t="array" aca="1" ref="L60" ca="1">_xludf.XLOOKUP(D60,'KPS #48'!D:D,'KPS #48'!L:L,0)</f>
        <v>#NAME?</v>
      </c>
      <c r="M60" s="25" t="e">
        <f t="shared" ca="1" si="5"/>
        <v>#NAME?</v>
      </c>
      <c r="N60" s="24" t="e">
        <f t="array" aca="1" ref="N60" ca="1">_xludf.XLOOKUP(D60,'KPS #48'!D:D,'KPS #48'!N:N,0)</f>
        <v>#NAME?</v>
      </c>
      <c r="O60" s="25" t="e">
        <f t="shared" ca="1" si="6"/>
        <v>#NAME?</v>
      </c>
      <c r="P60" s="26" t="e">
        <f t="array" aca="1" ref="P60" ca="1">_xludf.XLOOKUP(D60,'KPS #48'!D:D,'KPS #48'!P:P,0)</f>
        <v>#NAME?</v>
      </c>
      <c r="Q60" s="25" t="e">
        <f t="shared" ca="1" si="7"/>
        <v>#NAME?</v>
      </c>
      <c r="R60" s="26" t="e">
        <f t="array" aca="1" ref="R60" ca="1">_xludf.XLOOKUP(D60,'KPS #48'!D:D,'KPS #48'!R:R,0)</f>
        <v>#NAME?</v>
      </c>
      <c r="S60" s="25" t="e">
        <f t="shared" ca="1" si="8"/>
        <v>#NAME?</v>
      </c>
      <c r="T60" s="26" t="e">
        <f t="array" aca="1" ref="T60" ca="1">_xludf.XLOOKUP(D60,'KPS #48'!D:D,'KPS #48'!T:T,0)</f>
        <v>#NAME?</v>
      </c>
      <c r="U60" s="25" t="e">
        <f t="shared" ca="1" si="9"/>
        <v>#NAME?</v>
      </c>
      <c r="V60" s="26" t="e">
        <f t="array" aca="1" ref="V60" ca="1">_xludf.XLOOKUP(D60,'KPS #48'!D:D,'KPS #48'!V:V,0)</f>
        <v>#NAME?</v>
      </c>
      <c r="W60" s="25" t="e">
        <f t="shared" ca="1" si="10"/>
        <v>#NAME?</v>
      </c>
      <c r="X60" s="27" t="e">
        <f t="shared" ref="X60:Y60" ca="1" si="68">SUM(V60,T60,R60,P60,N60,L60,J60)</f>
        <v>#NAME?</v>
      </c>
      <c r="Y60" s="28" t="e">
        <f t="shared" ca="1" si="68"/>
        <v>#NAME?</v>
      </c>
      <c r="Z60" s="22"/>
      <c r="AA60" s="29" t="e">
        <f ca="1">X60*IFERROR(VLOOKUP(D60,'Brand List'!$B:$D,3,0),0)</f>
        <v>#NAME?</v>
      </c>
      <c r="AB60" s="29" t="e">
        <f ca="1">H60*IFERROR(VLOOKUP(D60,'Brand List'!$B:$D,3,0),0)</f>
        <v>#NAME?</v>
      </c>
      <c r="AC60" s="29" t="e">
        <f t="shared" ca="1" si="12"/>
        <v>#NAME?</v>
      </c>
      <c r="AD60" s="2">
        <f>_xlfn.XLOOKUP(D60,[1]Summary!$E:$E,[1]Summary!$L:$L,0)</f>
        <v>0</v>
      </c>
      <c r="AE60" s="5" t="e">
        <f t="shared" ca="1" si="13"/>
        <v>#NAME?</v>
      </c>
    </row>
    <row r="61" spans="1:31" ht="14.25" customHeight="1">
      <c r="A61" s="20" t="str">
        <f t="shared" si="27"/>
        <v>SGR12</v>
      </c>
      <c r="B61" s="30" t="s">
        <v>191</v>
      </c>
      <c r="C61" s="31" t="s">
        <v>24</v>
      </c>
      <c r="D61" s="32" t="s">
        <v>192</v>
      </c>
      <c r="E61" s="33" t="s">
        <v>193</v>
      </c>
      <c r="F61" s="31" t="s">
        <v>188</v>
      </c>
      <c r="G61" s="34" t="e">
        <f t="array" aca="1" ref="G61" ca="1">_xludf.XLOOKUP(D61,'KPS #48'!D:D,'KPS #48'!G:G,0)</f>
        <v>#NAME?</v>
      </c>
      <c r="H61" s="31" t="e">
        <f t="array" aca="1" ref="H61" ca="1">_xludf.XLOOKUP(D61,'KPS #48'!D:D,'KPS #48'!H:H,0)</f>
        <v>#NAME?</v>
      </c>
      <c r="I61" s="31" t="e">
        <f t="shared" ca="1" si="3"/>
        <v>#NAME?</v>
      </c>
      <c r="J61" s="35" t="e">
        <f t="array" aca="1" ref="J61" ca="1">_xludf.XLOOKUP(D61,'KPS #48'!D:D,'KPS #48'!J:J,0)</f>
        <v>#NAME?</v>
      </c>
      <c r="K61" s="36" t="e">
        <f t="shared" ca="1" si="4"/>
        <v>#NAME?</v>
      </c>
      <c r="L61" s="39" t="e">
        <f t="array" aca="1" ref="L61" ca="1">_xludf.XLOOKUP(D61,'KPS #48'!D:D,'KPS #48'!L:L,0)</f>
        <v>#NAME?</v>
      </c>
      <c r="M61" s="36" t="e">
        <f t="shared" ca="1" si="5"/>
        <v>#NAME?</v>
      </c>
      <c r="N61" s="37" t="e">
        <f t="array" aca="1" ref="N61" ca="1">_xludf.XLOOKUP(D61,'KPS #48'!D:D,'KPS #48'!N:N,0)</f>
        <v>#NAME?</v>
      </c>
      <c r="O61" s="38" t="e">
        <f t="shared" ca="1" si="6"/>
        <v>#NAME?</v>
      </c>
      <c r="P61" s="42" t="e">
        <f t="array" aca="1" ref="P61" ca="1">_xludf.XLOOKUP(D61,'KPS #48'!D:D,'KPS #48'!P:P,0)</f>
        <v>#NAME?</v>
      </c>
      <c r="Q61" s="38" t="e">
        <f t="shared" ca="1" si="7"/>
        <v>#NAME?</v>
      </c>
      <c r="R61" s="35" t="e">
        <f t="array" aca="1" ref="R61" ca="1">_xludf.XLOOKUP(D61,'KPS #48'!D:D,'KPS #48'!R:R,0)</f>
        <v>#NAME?</v>
      </c>
      <c r="S61" s="36" t="e">
        <f t="shared" ca="1" si="8"/>
        <v>#NAME?</v>
      </c>
      <c r="T61" s="42" t="e">
        <f t="array" aca="1" ref="T61" ca="1">_xludf.XLOOKUP(D61,'KPS #48'!D:D,'KPS #48'!T:T,0)</f>
        <v>#NAME?</v>
      </c>
      <c r="U61" s="36" t="e">
        <f t="shared" ca="1" si="9"/>
        <v>#NAME?</v>
      </c>
      <c r="V61" s="35" t="e">
        <f t="array" aca="1" ref="V61" ca="1">_xludf.XLOOKUP(D61,'KPS #48'!D:D,'KPS #48'!V:V,0)</f>
        <v>#NAME?</v>
      </c>
      <c r="W61" s="36" t="e">
        <f t="shared" ca="1" si="10"/>
        <v>#NAME?</v>
      </c>
      <c r="X61" s="40" t="e">
        <f t="shared" ref="X61:Y61" ca="1" si="69">SUM(V61,T61,R61,P61,N61,L61,J61)</f>
        <v>#NAME?</v>
      </c>
      <c r="Y61" s="41" t="e">
        <f t="shared" ca="1" si="69"/>
        <v>#NAME?</v>
      </c>
      <c r="Z61" s="32"/>
      <c r="AA61" s="29" t="e">
        <f ca="1">X61*IFERROR(VLOOKUP(D61,'Brand List'!$B:$D,3,0),0)</f>
        <v>#NAME?</v>
      </c>
      <c r="AB61" s="29" t="e">
        <f ca="1">H61*IFERROR(VLOOKUP(D61,'Brand List'!$B:$D,3,0),0)</f>
        <v>#NAME?</v>
      </c>
      <c r="AC61" s="29" t="e">
        <f t="shared" ca="1" si="12"/>
        <v>#NAME?</v>
      </c>
      <c r="AD61" s="2">
        <f>_xlfn.XLOOKUP(D61,[1]Summary!$E:$E,[1]Summary!$L:$L,0)</f>
        <v>0</v>
      </c>
      <c r="AE61" s="5" t="e">
        <f t="shared" ca="1" si="13"/>
        <v>#NAME?</v>
      </c>
    </row>
    <row r="62" spans="1:31" ht="14.25" customHeight="1">
      <c r="A62" s="20" t="str">
        <f t="shared" si="27"/>
        <v>MAU12</v>
      </c>
      <c r="B62" s="30" t="s">
        <v>194</v>
      </c>
      <c r="C62" s="31" t="s">
        <v>24</v>
      </c>
      <c r="D62" s="32" t="s">
        <v>195</v>
      </c>
      <c r="E62" s="33" t="s">
        <v>196</v>
      </c>
      <c r="F62" s="31" t="s">
        <v>188</v>
      </c>
      <c r="G62" s="34" t="e">
        <f t="array" aca="1" ref="G62" ca="1">_xludf.XLOOKUP(D62,'KPS #48'!D:D,'KPS #48'!G:G,0)</f>
        <v>#NAME?</v>
      </c>
      <c r="H62" s="31" t="e">
        <f t="array" aca="1" ref="H62" ca="1">_xludf.XLOOKUP(D62,'KPS #48'!D:D,'KPS #48'!H:H,0)</f>
        <v>#NAME?</v>
      </c>
      <c r="I62" s="31" t="e">
        <f t="shared" ca="1" si="3"/>
        <v>#NAME?</v>
      </c>
      <c r="J62" s="35" t="e">
        <f t="array" aca="1" ref="J62" ca="1">_xludf.XLOOKUP(D62,'KPS #48'!D:D,'KPS #48'!J:J,0)</f>
        <v>#NAME?</v>
      </c>
      <c r="K62" s="36" t="e">
        <f t="shared" ca="1" si="4"/>
        <v>#NAME?</v>
      </c>
      <c r="L62" s="39" t="e">
        <f t="array" aca="1" ref="L62" ca="1">_xludf.XLOOKUP(D62,'KPS #48'!D:D,'KPS #48'!L:L,0)</f>
        <v>#NAME?</v>
      </c>
      <c r="M62" s="36" t="e">
        <f t="shared" ca="1" si="5"/>
        <v>#NAME?</v>
      </c>
      <c r="N62" s="39" t="e">
        <f t="array" aca="1" ref="N62" ca="1">_xludf.XLOOKUP(D62,'KPS #48'!D:D,'KPS #48'!N:N,0)</f>
        <v>#NAME?</v>
      </c>
      <c r="O62" s="36" t="e">
        <f t="shared" ca="1" si="6"/>
        <v>#NAME?</v>
      </c>
      <c r="P62" s="35" t="e">
        <f t="array" aca="1" ref="P62" ca="1">_xludf.XLOOKUP(D62,'KPS #48'!D:D,'KPS #48'!P:P,0)</f>
        <v>#NAME?</v>
      </c>
      <c r="Q62" s="36" t="e">
        <f t="shared" ca="1" si="7"/>
        <v>#NAME?</v>
      </c>
      <c r="R62" s="35" t="e">
        <f t="array" aca="1" ref="R62" ca="1">_xludf.XLOOKUP(D62,'KPS #48'!D:D,'KPS #48'!R:R,0)</f>
        <v>#NAME?</v>
      </c>
      <c r="S62" s="36" t="e">
        <f t="shared" ca="1" si="8"/>
        <v>#NAME?</v>
      </c>
      <c r="T62" s="42" t="e">
        <f t="array" aca="1" ref="T62" ca="1">_xludf.XLOOKUP(D62,'KPS #48'!D:D,'KPS #48'!T:T,0)</f>
        <v>#NAME?</v>
      </c>
      <c r="U62" s="36" t="e">
        <f t="shared" ca="1" si="9"/>
        <v>#NAME?</v>
      </c>
      <c r="V62" s="35" t="e">
        <f t="array" aca="1" ref="V62" ca="1">_xludf.XLOOKUP(D62,'KPS #48'!D:D,'KPS #48'!V:V,0)</f>
        <v>#NAME?</v>
      </c>
      <c r="W62" s="36" t="e">
        <f t="shared" ca="1" si="10"/>
        <v>#NAME?</v>
      </c>
      <c r="X62" s="40" t="e">
        <f t="shared" ref="X62:Y62" ca="1" si="70">SUM(V62,T62,R62,P62,N62,L62,J62)</f>
        <v>#NAME?</v>
      </c>
      <c r="Y62" s="41" t="e">
        <f t="shared" ca="1" si="70"/>
        <v>#NAME?</v>
      </c>
      <c r="Z62" s="32" t="s">
        <v>197</v>
      </c>
      <c r="AA62" s="29" t="e">
        <f ca="1">X62*IFERROR(VLOOKUP(D62,'Brand List'!$B:$D,3,0),0)</f>
        <v>#NAME?</v>
      </c>
      <c r="AB62" s="29" t="e">
        <f ca="1">H62*IFERROR(VLOOKUP(D62,'Brand List'!$B:$D,3,0),0)</f>
        <v>#NAME?</v>
      </c>
      <c r="AC62" s="29" t="e">
        <f t="shared" ca="1" si="12"/>
        <v>#NAME?</v>
      </c>
      <c r="AD62" s="2">
        <f>_xlfn.XLOOKUP(D62,[1]Summary!$E:$E,[1]Summary!$L:$L,0)</f>
        <v>0</v>
      </c>
      <c r="AE62" s="5" t="e">
        <f t="shared" ca="1" si="13"/>
        <v>#NAME?</v>
      </c>
    </row>
    <row r="63" spans="1:31" ht="14.25" customHeight="1">
      <c r="A63" s="20" t="str">
        <f t="shared" si="27"/>
        <v>DRJ12</v>
      </c>
      <c r="B63" s="21" t="s">
        <v>198</v>
      </c>
      <c r="C63" s="22" t="s">
        <v>24</v>
      </c>
      <c r="D63" s="22" t="s">
        <v>199</v>
      </c>
      <c r="E63" s="21" t="s">
        <v>200</v>
      </c>
      <c r="F63" s="22" t="s">
        <v>201</v>
      </c>
      <c r="G63" s="23" t="e">
        <f t="array" aca="1" ref="G63" ca="1">_xludf.XLOOKUP(D63,'KPS #48'!D:D,'KPS #48'!G:G,0)</f>
        <v>#NAME?</v>
      </c>
      <c r="H63" s="22" t="e">
        <f t="array" aca="1" ref="H63" ca="1">_xludf.XLOOKUP(D63,'KPS #48'!D:D,'KPS #48'!H:H,0)</f>
        <v>#NAME?</v>
      </c>
      <c r="I63" s="22" t="e">
        <f t="shared" ca="1" si="3"/>
        <v>#NAME?</v>
      </c>
      <c r="J63" s="26" t="e">
        <f t="array" aca="1" ref="J63" ca="1">_xludf.XLOOKUP(D63,'KPS #48'!D:D,'KPS #48'!J:J,0)</f>
        <v>#NAME?</v>
      </c>
      <c r="K63" s="25" t="e">
        <f t="shared" ca="1" si="4"/>
        <v>#NAME?</v>
      </c>
      <c r="L63" s="24" t="e">
        <f t="array" aca="1" ref="L63" ca="1">_xludf.XLOOKUP(D63,'KPS #48'!D:D,'KPS #48'!L:L,0)</f>
        <v>#NAME?</v>
      </c>
      <c r="M63" s="25" t="e">
        <f t="shared" ca="1" si="5"/>
        <v>#NAME?</v>
      </c>
      <c r="N63" s="24" t="e">
        <f t="array" aca="1" ref="N63" ca="1">_xludf.XLOOKUP(D63,'KPS #48'!D:D,'KPS #48'!N:N,0)</f>
        <v>#NAME?</v>
      </c>
      <c r="O63" s="25" t="e">
        <f t="shared" ca="1" si="6"/>
        <v>#NAME?</v>
      </c>
      <c r="P63" s="26" t="e">
        <f t="array" aca="1" ref="P63" ca="1">_xludf.XLOOKUP(D63,'KPS #48'!D:D,'KPS #48'!P:P,0)</f>
        <v>#NAME?</v>
      </c>
      <c r="Q63" s="25" t="e">
        <f t="shared" ca="1" si="7"/>
        <v>#NAME?</v>
      </c>
      <c r="R63" s="26" t="e">
        <f t="array" aca="1" ref="R63" ca="1">_xludf.XLOOKUP(D63,'KPS #48'!D:D,'KPS #48'!R:R,0)</f>
        <v>#NAME?</v>
      </c>
      <c r="S63" s="25" t="e">
        <f t="shared" ca="1" si="8"/>
        <v>#NAME?</v>
      </c>
      <c r="T63" s="26" t="e">
        <f t="array" aca="1" ref="T63" ca="1">_xludf.XLOOKUP(D63,'KPS #48'!D:D,'KPS #48'!T:T,0)</f>
        <v>#NAME?</v>
      </c>
      <c r="U63" s="25" t="e">
        <f t="shared" ca="1" si="9"/>
        <v>#NAME?</v>
      </c>
      <c r="V63" s="26" t="e">
        <f t="array" aca="1" ref="V63" ca="1">_xludf.XLOOKUP(D63,'KPS #48'!D:D,'KPS #48'!V:V,0)</f>
        <v>#NAME?</v>
      </c>
      <c r="W63" s="25" t="e">
        <f t="shared" ca="1" si="10"/>
        <v>#NAME?</v>
      </c>
      <c r="X63" s="27" t="e">
        <f t="shared" ref="X63:Y63" ca="1" si="71">SUM(V63,T63,R63,P63,N63,L63,J63)</f>
        <v>#NAME?</v>
      </c>
      <c r="Y63" s="28" t="e">
        <f t="shared" ca="1" si="71"/>
        <v>#NAME?</v>
      </c>
      <c r="Z63" s="22"/>
      <c r="AA63" s="29" t="e">
        <f ca="1">X63*IFERROR(VLOOKUP(D63,'Brand List'!$B:$D,3,0),0)</f>
        <v>#NAME?</v>
      </c>
      <c r="AB63" s="29" t="e">
        <f ca="1">H63*IFERROR(VLOOKUP(D63,'Brand List'!$B:$D,3,0),0)</f>
        <v>#NAME?</v>
      </c>
      <c r="AC63" s="29" t="e">
        <f t="shared" ca="1" si="12"/>
        <v>#NAME?</v>
      </c>
      <c r="AD63" s="2">
        <f>_xlfn.XLOOKUP(D63,[1]Summary!$E:$E,[1]Summary!$L:$L,0)</f>
        <v>0</v>
      </c>
      <c r="AE63" s="5" t="e">
        <f t="shared" ca="1" si="13"/>
        <v>#NAME?</v>
      </c>
    </row>
    <row r="64" spans="1:31" ht="14.25" customHeight="1">
      <c r="A64" s="20" t="str">
        <f t="shared" si="27"/>
        <v>BHU12</v>
      </c>
      <c r="B64" s="30" t="s">
        <v>202</v>
      </c>
      <c r="C64" s="32" t="s">
        <v>24</v>
      </c>
      <c r="D64" s="32" t="s">
        <v>203</v>
      </c>
      <c r="E64" s="33" t="s">
        <v>204</v>
      </c>
      <c r="F64" s="31" t="s">
        <v>205</v>
      </c>
      <c r="G64" s="34" t="e">
        <f t="array" aca="1" ref="G64" ca="1">_xludf.XLOOKUP(D64,'KPS #48'!D:D,'KPS #48'!G:G,0)</f>
        <v>#NAME?</v>
      </c>
      <c r="H64" s="31" t="e">
        <f t="array" aca="1" ref="H64" ca="1">_xludf.XLOOKUP(D64,'KPS #48'!D:D,'KPS #48'!H:H,0)</f>
        <v>#NAME?</v>
      </c>
      <c r="I64" s="31" t="e">
        <f t="shared" ca="1" si="3"/>
        <v>#NAME?</v>
      </c>
      <c r="J64" s="42" t="e">
        <f t="array" aca="1" ref="J64" ca="1">_xludf.XLOOKUP(D64,'KPS #48'!D:D,'KPS #48'!J:J,0)</f>
        <v>#NAME?</v>
      </c>
      <c r="K64" s="38" t="e">
        <f t="shared" ca="1" si="4"/>
        <v>#NAME?</v>
      </c>
      <c r="L64" s="37" t="e">
        <f t="array" aca="1" ref="L64" ca="1">_xludf.XLOOKUP(D64,'KPS #48'!D:D,'KPS #48'!L:L,0)</f>
        <v>#NAME?</v>
      </c>
      <c r="M64" s="38" t="e">
        <f t="shared" ca="1" si="5"/>
        <v>#NAME?</v>
      </c>
      <c r="N64" s="37" t="e">
        <f t="array" aca="1" ref="N64" ca="1">_xludf.XLOOKUP(D64,'KPS #48'!D:D,'KPS #48'!N:N,0)</f>
        <v>#NAME?</v>
      </c>
      <c r="O64" s="38" t="e">
        <f t="shared" ca="1" si="6"/>
        <v>#NAME?</v>
      </c>
      <c r="P64" s="42" t="e">
        <f t="array" aca="1" ref="P64" ca="1">_xludf.XLOOKUP(D64,'KPS #48'!D:D,'KPS #48'!P:P,0)</f>
        <v>#NAME?</v>
      </c>
      <c r="Q64" s="38" t="e">
        <f t="shared" ca="1" si="7"/>
        <v>#NAME?</v>
      </c>
      <c r="R64" s="42" t="e">
        <f t="array" aca="1" ref="R64" ca="1">_xludf.XLOOKUP(D64,'KPS #48'!D:D,'KPS #48'!R:R,0)</f>
        <v>#NAME?</v>
      </c>
      <c r="S64" s="36" t="e">
        <f t="shared" ca="1" si="8"/>
        <v>#NAME?</v>
      </c>
      <c r="T64" s="35" t="e">
        <f t="array" aca="1" ref="T64" ca="1">_xludf.XLOOKUP(D64,'KPS #48'!D:D,'KPS #48'!T:T,0)</f>
        <v>#NAME?</v>
      </c>
      <c r="U64" s="36" t="e">
        <f t="shared" ca="1" si="9"/>
        <v>#NAME?</v>
      </c>
      <c r="V64" s="35" t="e">
        <f t="array" aca="1" ref="V64" ca="1">_xludf.XLOOKUP(D64,'KPS #48'!D:D,'KPS #48'!V:V,0)</f>
        <v>#NAME?</v>
      </c>
      <c r="W64" s="36" t="e">
        <f t="shared" ca="1" si="10"/>
        <v>#NAME?</v>
      </c>
      <c r="X64" s="40" t="e">
        <f t="shared" ref="X64:Y64" ca="1" si="72">SUM(V64,T64,R64,P64,N64,L64,J64)</f>
        <v>#NAME?</v>
      </c>
      <c r="Y64" s="41" t="e">
        <f t="shared" ca="1" si="72"/>
        <v>#NAME?</v>
      </c>
      <c r="Z64" s="32"/>
      <c r="AA64" s="29" t="e">
        <f ca="1">X64*IFERROR(VLOOKUP(D64,'Brand List'!$B:$D,3,0),0)</f>
        <v>#NAME?</v>
      </c>
      <c r="AB64" s="29" t="e">
        <f ca="1">H64*IFERROR(VLOOKUP(D64,'Brand List'!$B:$D,3,0),0)</f>
        <v>#NAME?</v>
      </c>
      <c r="AC64" s="29" t="e">
        <f t="shared" ca="1" si="12"/>
        <v>#NAME?</v>
      </c>
      <c r="AD64" s="2">
        <f>_xlfn.XLOOKUP(D64,[1]Summary!$E:$E,[1]Summary!$L:$L,0)</f>
        <v>0</v>
      </c>
      <c r="AE64" s="5" t="e">
        <f t="shared" ca="1" si="13"/>
        <v>#NAME?</v>
      </c>
    </row>
    <row r="65" spans="1:31" ht="14.25" customHeight="1">
      <c r="A65" s="20"/>
      <c r="B65" s="30" t="s">
        <v>202</v>
      </c>
      <c r="C65" s="31" t="s">
        <v>24</v>
      </c>
      <c r="D65" s="32" t="s">
        <v>206</v>
      </c>
      <c r="E65" s="33" t="s">
        <v>207</v>
      </c>
      <c r="F65" s="31" t="s">
        <v>205</v>
      </c>
      <c r="G65" s="34" t="e">
        <f t="array" aca="1" ref="G65" ca="1">_xludf.XLOOKUP(D65,'KPS #48'!D:D,'KPS #48'!G:G,0)</f>
        <v>#NAME?</v>
      </c>
      <c r="H65" s="31" t="e">
        <f t="array" aca="1" ref="H65" ca="1">_xludf.XLOOKUP(D65,'KPS #48'!D:D,'KPS #48'!H:H,0)</f>
        <v>#NAME?</v>
      </c>
      <c r="I65" s="31" t="e">
        <f t="shared" ca="1" si="3"/>
        <v>#NAME?</v>
      </c>
      <c r="J65" s="42" t="e">
        <f t="array" aca="1" ref="J65" ca="1">_xludf.XLOOKUP(D65,'KPS #48'!D:D,'KPS #48'!J:J,0)</f>
        <v>#NAME?</v>
      </c>
      <c r="K65" s="38" t="e">
        <f t="shared" ca="1" si="4"/>
        <v>#NAME?</v>
      </c>
      <c r="L65" s="37" t="e">
        <f t="array" aca="1" ref="L65" ca="1">_xludf.XLOOKUP(D65,'KPS #48'!D:D,'KPS #48'!L:L,0)</f>
        <v>#NAME?</v>
      </c>
      <c r="M65" s="38" t="e">
        <f t="shared" ca="1" si="5"/>
        <v>#NAME?</v>
      </c>
      <c r="N65" s="39" t="e">
        <f t="array" aca="1" ref="N65" ca="1">_xludf.XLOOKUP(D65,'KPS #48'!D:D,'KPS #48'!N:N,0)</f>
        <v>#NAME?</v>
      </c>
      <c r="O65" s="36" t="e">
        <f t="shared" ca="1" si="6"/>
        <v>#NAME?</v>
      </c>
      <c r="P65" s="42" t="e">
        <f t="array" aca="1" ref="P65" ca="1">_xludf.XLOOKUP(D65,'KPS #48'!D:D,'KPS #48'!P:P,0)</f>
        <v>#NAME?</v>
      </c>
      <c r="Q65" s="38" t="e">
        <f t="shared" ca="1" si="7"/>
        <v>#NAME?</v>
      </c>
      <c r="R65" s="42" t="e">
        <f t="array" aca="1" ref="R65" ca="1">_xludf.XLOOKUP(D65,'KPS #48'!D:D,'KPS #48'!R:R,0)</f>
        <v>#NAME?</v>
      </c>
      <c r="S65" s="36" t="e">
        <f t="shared" ca="1" si="8"/>
        <v>#NAME?</v>
      </c>
      <c r="T65" s="35" t="e">
        <f t="array" aca="1" ref="T65" ca="1">_xludf.XLOOKUP(D65,'KPS #48'!D:D,'KPS #48'!T:T,0)</f>
        <v>#NAME?</v>
      </c>
      <c r="U65" s="36" t="e">
        <f t="shared" ca="1" si="9"/>
        <v>#NAME?</v>
      </c>
      <c r="V65" s="35" t="e">
        <f t="array" aca="1" ref="V65" ca="1">_xludf.XLOOKUP(D65,'KPS #48'!D:D,'KPS #48'!V:V,0)</f>
        <v>#NAME?</v>
      </c>
      <c r="W65" s="36" t="e">
        <f t="shared" ca="1" si="10"/>
        <v>#NAME?</v>
      </c>
      <c r="X65" s="40" t="e">
        <f t="shared" ref="X65:Y65" ca="1" si="73">SUM(V65,T65,R65,P65,N65,L65,J65)</f>
        <v>#NAME?</v>
      </c>
      <c r="Y65" s="41" t="e">
        <f t="shared" ca="1" si="73"/>
        <v>#NAME?</v>
      </c>
      <c r="Z65" s="32" t="s">
        <v>208</v>
      </c>
      <c r="AA65" s="29" t="e">
        <f ca="1">X65*IFERROR(VLOOKUP(D65,'Brand List'!$B:$D,3,0),0)</f>
        <v>#NAME?</v>
      </c>
      <c r="AB65" s="29" t="e">
        <f ca="1">H65*IFERROR(VLOOKUP(D65,'Brand List'!$B:$D,3,0),0)</f>
        <v>#NAME?</v>
      </c>
      <c r="AC65" s="29" t="e">
        <f t="shared" ca="1" si="12"/>
        <v>#NAME?</v>
      </c>
      <c r="AD65" s="2">
        <f>_xlfn.XLOOKUP(D65,[1]Summary!$E:$E,[1]Summary!$L:$L,0)</f>
        <v>0</v>
      </c>
      <c r="AE65" s="5" t="e">
        <f t="shared" ca="1" si="13"/>
        <v>#NAME?</v>
      </c>
    </row>
    <row r="66" spans="1:31" ht="14.25" customHeight="1">
      <c r="A66" s="20" t="str">
        <f>D66</f>
        <v>UTG12</v>
      </c>
      <c r="B66" s="30" t="s">
        <v>209</v>
      </c>
      <c r="C66" s="31" t="s">
        <v>24</v>
      </c>
      <c r="D66" s="32" t="s">
        <v>210</v>
      </c>
      <c r="E66" s="33" t="s">
        <v>211</v>
      </c>
      <c r="F66" s="31" t="s">
        <v>205</v>
      </c>
      <c r="G66" s="34" t="e">
        <f t="array" aca="1" ref="G66" ca="1">_xludf.XLOOKUP(D66,'KPS #48'!D:D,'KPS #48'!G:G,0)</f>
        <v>#NAME?</v>
      </c>
      <c r="H66" s="31" t="e">
        <f t="array" aca="1" ref="H66" ca="1">_xludf.XLOOKUP(D66,'KPS #48'!D:D,'KPS #48'!H:H,0)</f>
        <v>#NAME?</v>
      </c>
      <c r="I66" s="31" t="e">
        <f t="shared" ca="1" si="3"/>
        <v>#NAME?</v>
      </c>
      <c r="J66" s="35" t="e">
        <f t="array" aca="1" ref="J66" ca="1">_xludf.XLOOKUP(D66,'KPS #48'!D:D,'KPS #48'!J:J,0)</f>
        <v>#NAME?</v>
      </c>
      <c r="K66" s="36" t="e">
        <f t="shared" ca="1" si="4"/>
        <v>#NAME?</v>
      </c>
      <c r="L66" s="39" t="e">
        <f t="array" aca="1" ref="L66" ca="1">_xludf.XLOOKUP(D66,'KPS #48'!D:D,'KPS #48'!L:L,0)</f>
        <v>#NAME?</v>
      </c>
      <c r="M66" s="36" t="e">
        <f t="shared" ca="1" si="5"/>
        <v>#NAME?</v>
      </c>
      <c r="N66" s="39" t="e">
        <f t="array" aca="1" ref="N66" ca="1">_xludf.XLOOKUP(D66,'KPS #48'!D:D,'KPS #48'!N:N,0)</f>
        <v>#NAME?</v>
      </c>
      <c r="O66" s="36" t="e">
        <f t="shared" ca="1" si="6"/>
        <v>#NAME?</v>
      </c>
      <c r="P66" s="42" t="e">
        <f t="array" aca="1" ref="P66" ca="1">_xludf.XLOOKUP(D66,'KPS #48'!D:D,'KPS #48'!P:P,0)</f>
        <v>#NAME?</v>
      </c>
      <c r="Q66" s="38" t="e">
        <f t="shared" ca="1" si="7"/>
        <v>#NAME?</v>
      </c>
      <c r="R66" s="42" t="e">
        <f t="array" aca="1" ref="R66" ca="1">_xludf.XLOOKUP(D66,'KPS #48'!D:D,'KPS #48'!R:R,0)</f>
        <v>#NAME?</v>
      </c>
      <c r="S66" s="36" t="e">
        <f t="shared" ca="1" si="8"/>
        <v>#NAME?</v>
      </c>
      <c r="T66" s="35" t="e">
        <f t="array" aca="1" ref="T66" ca="1">_xludf.XLOOKUP(D66,'KPS #48'!D:D,'KPS #48'!T:T,0)</f>
        <v>#NAME?</v>
      </c>
      <c r="U66" s="36" t="e">
        <f t="shared" ca="1" si="9"/>
        <v>#NAME?</v>
      </c>
      <c r="V66" s="35" t="e">
        <f t="array" aca="1" ref="V66" ca="1">_xludf.XLOOKUP(D66,'KPS #48'!D:D,'KPS #48'!V:V,0)</f>
        <v>#NAME?</v>
      </c>
      <c r="W66" s="36" t="e">
        <f t="shared" ca="1" si="10"/>
        <v>#NAME?</v>
      </c>
      <c r="X66" s="40" t="e">
        <f t="shared" ref="X66:Y66" ca="1" si="74">SUM(V66,T66,R66,P66,N66,L66,J66)</f>
        <v>#NAME?</v>
      </c>
      <c r="Y66" s="41" t="e">
        <f t="shared" ca="1" si="74"/>
        <v>#NAME?</v>
      </c>
      <c r="Z66" s="32"/>
      <c r="AA66" s="29" t="e">
        <f ca="1">X66*IFERROR(VLOOKUP(D66,'Brand List'!$B:$D,3,0),0)</f>
        <v>#NAME?</v>
      </c>
      <c r="AB66" s="29" t="e">
        <f ca="1">H66*IFERROR(VLOOKUP(D66,'Brand List'!$B:$D,3,0),0)</f>
        <v>#NAME?</v>
      </c>
      <c r="AC66" s="29" t="e">
        <f t="shared" ca="1" si="12"/>
        <v>#NAME?</v>
      </c>
      <c r="AD66" s="2">
        <f>_xlfn.XLOOKUP(D66,[1]Summary!$E:$E,[1]Summary!$L:$L,0)</f>
        <v>0</v>
      </c>
      <c r="AE66" s="5" t="e">
        <f t="shared" ca="1" si="13"/>
        <v>#NAME?</v>
      </c>
    </row>
    <row r="67" spans="1:31" ht="14.25" customHeight="1">
      <c r="A67" s="20"/>
      <c r="B67" s="30" t="s">
        <v>212</v>
      </c>
      <c r="C67" s="32" t="s">
        <v>95</v>
      </c>
      <c r="D67" s="32" t="s">
        <v>213</v>
      </c>
      <c r="E67" s="30" t="s">
        <v>214</v>
      </c>
      <c r="F67" s="32" t="s">
        <v>201</v>
      </c>
      <c r="G67" s="43" t="e">
        <f t="array" aca="1" ref="G67" ca="1">_xludf.XLOOKUP(D67,'KPS #48'!D:D,'KPS #48'!G:G,0)</f>
        <v>#NAME?</v>
      </c>
      <c r="H67" s="32" t="e">
        <f t="array" aca="1" ref="H67" ca="1">_xludf.XLOOKUP(D67,'KPS #48'!D:D,'KPS #48'!H:H,0)</f>
        <v>#NAME?</v>
      </c>
      <c r="I67" s="31" t="e">
        <f t="shared" ca="1" si="3"/>
        <v>#NAME?</v>
      </c>
      <c r="J67" s="35" t="e">
        <f t="array" aca="1" ref="J67" ca="1">_xludf.XLOOKUP(D67,'KPS #48'!D:D,'KPS #48'!J:J,0)</f>
        <v>#NAME?</v>
      </c>
      <c r="K67" s="36" t="e">
        <f t="shared" ca="1" si="4"/>
        <v>#NAME?</v>
      </c>
      <c r="L67" s="39" t="e">
        <f t="array" aca="1" ref="L67" ca="1">_xludf.XLOOKUP(D67,'KPS #48'!D:D,'KPS #48'!L:L,0)</f>
        <v>#NAME?</v>
      </c>
      <c r="M67" s="36" t="e">
        <f t="shared" ca="1" si="5"/>
        <v>#NAME?</v>
      </c>
      <c r="N67" s="39" t="e">
        <f t="array" aca="1" ref="N67" ca="1">_xludf.XLOOKUP(D67,'KPS #48'!D:D,'KPS #48'!N:N,0)</f>
        <v>#NAME?</v>
      </c>
      <c r="O67" s="36" t="e">
        <f t="shared" ca="1" si="6"/>
        <v>#NAME?</v>
      </c>
      <c r="P67" s="42" t="e">
        <f t="array" aca="1" ref="P67" ca="1">_xludf.XLOOKUP(D67,'KPS #48'!D:D,'KPS #48'!P:P,0)</f>
        <v>#NAME?</v>
      </c>
      <c r="Q67" s="38" t="e">
        <f t="shared" ca="1" si="7"/>
        <v>#NAME?</v>
      </c>
      <c r="R67" s="42" t="e">
        <f t="array" aca="1" ref="R67" ca="1">_xludf.XLOOKUP(D67,'KPS #48'!D:D,'KPS #48'!R:R,0)</f>
        <v>#NAME?</v>
      </c>
      <c r="S67" s="36" t="e">
        <f t="shared" ca="1" si="8"/>
        <v>#NAME?</v>
      </c>
      <c r="T67" s="35" t="e">
        <f t="array" aca="1" ref="T67" ca="1">_xludf.XLOOKUP(D67,'KPS #48'!D:D,'KPS #48'!T:T,0)</f>
        <v>#NAME?</v>
      </c>
      <c r="U67" s="36" t="e">
        <f t="shared" ca="1" si="9"/>
        <v>#NAME?</v>
      </c>
      <c r="V67" s="35" t="e">
        <f t="array" aca="1" ref="V67" ca="1">_xludf.XLOOKUP(D67,'KPS #48'!D:D,'KPS #48'!V:V,0)</f>
        <v>#NAME?</v>
      </c>
      <c r="W67" s="36" t="e">
        <f t="shared" ca="1" si="10"/>
        <v>#NAME?</v>
      </c>
      <c r="X67" s="40" t="e">
        <f t="shared" ref="X67:Y67" ca="1" si="75">SUM(V67,T67,R67,P67,N67,L67,J67)</f>
        <v>#NAME?</v>
      </c>
      <c r="Y67" s="41" t="e">
        <f t="shared" ca="1" si="75"/>
        <v>#NAME?</v>
      </c>
      <c r="Z67" s="32"/>
      <c r="AA67" s="29" t="e">
        <f ca="1">X67*IFERROR(VLOOKUP(D67,'Brand List'!$B:$D,3,0),0)</f>
        <v>#NAME?</v>
      </c>
      <c r="AB67" s="29" t="e">
        <f ca="1">H67*IFERROR(VLOOKUP(D67,'Brand List'!$B:$D,3,0),0)</f>
        <v>#NAME?</v>
      </c>
      <c r="AC67" s="29" t="e">
        <f t="shared" ca="1" si="12"/>
        <v>#NAME?</v>
      </c>
      <c r="AD67" s="2">
        <f>_xlfn.XLOOKUP(D67,[1]Summary!$E:$E,[1]Summary!$L:$L,0)</f>
        <v>0</v>
      </c>
      <c r="AE67" s="5" t="e">
        <f t="shared" ca="1" si="13"/>
        <v>#NAME?</v>
      </c>
    </row>
    <row r="68" spans="1:31" ht="14.25" customHeight="1">
      <c r="A68" s="20" t="str">
        <f t="shared" ref="A68:A76" si="76">D68</f>
        <v>TBS12</v>
      </c>
      <c r="B68" s="30" t="s">
        <v>215</v>
      </c>
      <c r="C68" s="31" t="s">
        <v>24</v>
      </c>
      <c r="D68" s="32" t="s">
        <v>216</v>
      </c>
      <c r="E68" s="33" t="s">
        <v>217</v>
      </c>
      <c r="F68" s="31" t="s">
        <v>201</v>
      </c>
      <c r="G68" s="43" t="e">
        <f t="array" aca="1" ref="G68" ca="1">_xludf.XLOOKUP(D68,'KPS #48'!D:D,'KPS #48'!G:G,0)</f>
        <v>#NAME?</v>
      </c>
      <c r="H68" s="32" t="e">
        <f t="array" aca="1" ref="H68" ca="1">_xludf.XLOOKUP(D68,'KPS #48'!D:D,'KPS #48'!H:H,0)</f>
        <v>#NAME?</v>
      </c>
      <c r="I68" s="31" t="e">
        <f t="shared" ca="1" si="3"/>
        <v>#NAME?</v>
      </c>
      <c r="J68" s="35" t="e">
        <f t="array" aca="1" ref="J68" ca="1">_xludf.XLOOKUP(D68,'KPS #48'!D:D,'KPS #48'!J:J,0)</f>
        <v>#NAME?</v>
      </c>
      <c r="K68" s="36" t="e">
        <f t="shared" ca="1" si="4"/>
        <v>#NAME?</v>
      </c>
      <c r="L68" s="39" t="e">
        <f t="array" aca="1" ref="L68" ca="1">_xludf.XLOOKUP(D68,'KPS #48'!D:D,'KPS #48'!L:L,0)</f>
        <v>#NAME?</v>
      </c>
      <c r="M68" s="36" t="e">
        <f t="shared" ca="1" si="5"/>
        <v>#NAME?</v>
      </c>
      <c r="N68" s="39" t="e">
        <f t="array" aca="1" ref="N68" ca="1">_xludf.XLOOKUP(D68,'KPS #48'!D:D,'KPS #48'!N:N,0)</f>
        <v>#NAME?</v>
      </c>
      <c r="O68" s="36" t="e">
        <f t="shared" ca="1" si="6"/>
        <v>#NAME?</v>
      </c>
      <c r="P68" s="42" t="e">
        <f t="array" aca="1" ref="P68" ca="1">_xludf.XLOOKUP(D68,'KPS #48'!D:D,'KPS #48'!P:P,0)</f>
        <v>#NAME?</v>
      </c>
      <c r="Q68" s="38" t="e">
        <f t="shared" ca="1" si="7"/>
        <v>#NAME?</v>
      </c>
      <c r="R68" s="42" t="e">
        <f t="array" aca="1" ref="R68" ca="1">_xludf.XLOOKUP(D68,'KPS #48'!D:D,'KPS #48'!R:R,0)</f>
        <v>#NAME?</v>
      </c>
      <c r="S68" s="36" t="e">
        <f t="shared" ca="1" si="8"/>
        <v>#NAME?</v>
      </c>
      <c r="T68" s="35" t="e">
        <f t="array" aca="1" ref="T68" ca="1">_xludf.XLOOKUP(D68,'KPS #48'!D:D,'KPS #48'!T:T,0)</f>
        <v>#NAME?</v>
      </c>
      <c r="U68" s="36" t="e">
        <f t="shared" ca="1" si="9"/>
        <v>#NAME?</v>
      </c>
      <c r="V68" s="35" t="e">
        <f t="array" aca="1" ref="V68" ca="1">_xludf.XLOOKUP(D68,'KPS #48'!D:D,'KPS #48'!V:V,0)</f>
        <v>#NAME?</v>
      </c>
      <c r="W68" s="36" t="e">
        <f t="shared" ca="1" si="10"/>
        <v>#NAME?</v>
      </c>
      <c r="X68" s="40" t="e">
        <f t="shared" ref="X68:Y68" ca="1" si="77">SUM(V68,T68,R68,P68,N68,L68,J68)</f>
        <v>#NAME?</v>
      </c>
      <c r="Y68" s="41" t="e">
        <f t="shared" ca="1" si="77"/>
        <v>#NAME?</v>
      </c>
      <c r="Z68" s="32" t="s">
        <v>218</v>
      </c>
      <c r="AA68" s="29" t="e">
        <f ca="1">X68*IFERROR(VLOOKUP(D68,'Brand List'!$B:$D,3,0),0)</f>
        <v>#NAME?</v>
      </c>
      <c r="AB68" s="29" t="e">
        <f ca="1">H68*IFERROR(VLOOKUP(D68,'Brand List'!$B:$D,3,0),0)</f>
        <v>#NAME?</v>
      </c>
      <c r="AC68" s="29" t="e">
        <f t="shared" ca="1" si="12"/>
        <v>#NAME?</v>
      </c>
      <c r="AD68" s="2">
        <f>_xlfn.XLOOKUP(D68,[1]Summary!$E:$E,[1]Summary!$L:$L,0)</f>
        <v>0</v>
      </c>
      <c r="AE68" s="5" t="e">
        <f t="shared" ca="1" si="13"/>
        <v>#NAME?</v>
      </c>
    </row>
    <row r="69" spans="1:31" ht="14.25" customHeight="1">
      <c r="A69" s="20" t="str">
        <f t="shared" si="76"/>
        <v>TBB12</v>
      </c>
      <c r="B69" s="30" t="s">
        <v>215</v>
      </c>
      <c r="C69" s="49" t="s">
        <v>219</v>
      </c>
      <c r="D69" s="50" t="s">
        <v>220</v>
      </c>
      <c r="E69" s="51" t="s">
        <v>221</v>
      </c>
      <c r="F69" s="31" t="s">
        <v>201</v>
      </c>
      <c r="G69" s="34" t="e">
        <f t="array" aca="1" ref="G69" ca="1">_xludf.XLOOKUP(D69,'KPS #48'!D:D,'KPS #48'!G:G,0)</f>
        <v>#NAME?</v>
      </c>
      <c r="H69" s="31" t="e">
        <f t="array" aca="1" ref="H69" ca="1">_xludf.XLOOKUP(D69,'KPS #48'!D:D,'KPS #48'!H:H,0)</f>
        <v>#NAME?</v>
      </c>
      <c r="I69" s="31" t="e">
        <f t="shared" ca="1" si="3"/>
        <v>#NAME?</v>
      </c>
      <c r="J69" s="35" t="e">
        <f t="array" aca="1" ref="J69" ca="1">_xludf.XLOOKUP(D69,'KPS #48'!D:D,'KPS #48'!J:J,0)</f>
        <v>#NAME?</v>
      </c>
      <c r="K69" s="36" t="e">
        <f t="shared" ca="1" si="4"/>
        <v>#NAME?</v>
      </c>
      <c r="L69" s="39" t="e">
        <f t="array" aca="1" ref="L69" ca="1">_xludf.XLOOKUP(D69,'KPS #48'!D:D,'KPS #48'!L:L,0)</f>
        <v>#NAME?</v>
      </c>
      <c r="M69" s="36" t="e">
        <f t="shared" ca="1" si="5"/>
        <v>#NAME?</v>
      </c>
      <c r="N69" s="39" t="e">
        <f t="array" aca="1" ref="N69" ca="1">_xludf.XLOOKUP(D69,'KPS #48'!D:D,'KPS #48'!N:N,0)</f>
        <v>#NAME?</v>
      </c>
      <c r="O69" s="36" t="e">
        <f t="shared" ca="1" si="6"/>
        <v>#NAME?</v>
      </c>
      <c r="P69" s="35" t="e">
        <f t="array" aca="1" ref="P69" ca="1">_xludf.XLOOKUP(D69,'KPS #48'!D:D,'KPS #48'!P:P,0)</f>
        <v>#NAME?</v>
      </c>
      <c r="Q69" s="36" t="e">
        <f t="shared" ca="1" si="7"/>
        <v>#NAME?</v>
      </c>
      <c r="R69" s="42" t="e">
        <f t="array" aca="1" ref="R69" ca="1">_xludf.XLOOKUP(D69,'KPS #48'!D:D,'KPS #48'!R:R,0)</f>
        <v>#NAME?</v>
      </c>
      <c r="S69" s="36" t="e">
        <f t="shared" ca="1" si="8"/>
        <v>#NAME?</v>
      </c>
      <c r="T69" s="35" t="e">
        <f t="array" aca="1" ref="T69" ca="1">_xludf.XLOOKUP(D69,'KPS #48'!D:D,'KPS #48'!T:T,0)</f>
        <v>#NAME?</v>
      </c>
      <c r="U69" s="36" t="e">
        <f t="shared" ca="1" si="9"/>
        <v>#NAME?</v>
      </c>
      <c r="V69" s="35" t="e">
        <f t="array" aca="1" ref="V69" ca="1">_xludf.XLOOKUP(D69,'KPS #48'!D:D,'KPS #48'!V:V,0)</f>
        <v>#NAME?</v>
      </c>
      <c r="W69" s="36" t="e">
        <f t="shared" ca="1" si="10"/>
        <v>#NAME?</v>
      </c>
      <c r="X69" s="40" t="e">
        <f t="shared" ref="X69:Y69" ca="1" si="78">SUM(V69,T69,R69,P69,N69,L69,J69)</f>
        <v>#NAME?</v>
      </c>
      <c r="Y69" s="41" t="e">
        <f t="shared" ca="1" si="78"/>
        <v>#NAME?</v>
      </c>
      <c r="Z69" s="50"/>
      <c r="AA69" s="29" t="e">
        <f ca="1">X69*IFERROR(VLOOKUP(D69,'Brand List'!$B:$D,3,0),0)</f>
        <v>#NAME?</v>
      </c>
      <c r="AB69" s="29" t="e">
        <f ca="1">H69*IFERROR(VLOOKUP(D69,'Brand List'!$B:$D,3,0),0)</f>
        <v>#NAME?</v>
      </c>
      <c r="AC69" s="29" t="e">
        <f t="shared" ca="1" si="12"/>
        <v>#NAME?</v>
      </c>
      <c r="AD69" s="2">
        <f>_xlfn.XLOOKUP(D69,[1]Summary!$E:$E,[1]Summary!$L:$L,0)</f>
        <v>0</v>
      </c>
      <c r="AE69" s="5" t="e">
        <f t="shared" ca="1" si="13"/>
        <v>#NAME?</v>
      </c>
    </row>
    <row r="70" spans="1:31" ht="14.25" customHeight="1">
      <c r="A70" s="20" t="str">
        <f t="shared" si="76"/>
        <v>TWY16</v>
      </c>
      <c r="B70" s="21" t="s">
        <v>222</v>
      </c>
      <c r="C70" s="22" t="s">
        <v>223</v>
      </c>
      <c r="D70" s="22" t="s">
        <v>224</v>
      </c>
      <c r="E70" s="21" t="s">
        <v>225</v>
      </c>
      <c r="F70" s="22" t="s">
        <v>226</v>
      </c>
      <c r="G70" s="23" t="e">
        <f t="array" aca="1" ref="G70" ca="1">_xludf.XLOOKUP(D70,'KPS #48'!D:D,'KPS #48'!G:G,0)</f>
        <v>#NAME?</v>
      </c>
      <c r="H70" s="22" t="e">
        <f t="array" aca="1" ref="H70" ca="1">_xludf.XLOOKUP(D70,'KPS #48'!D:D,'KPS #48'!H:H,0)</f>
        <v>#NAME?</v>
      </c>
      <c r="I70" s="22" t="e">
        <f t="shared" ca="1" si="3"/>
        <v>#NAME?</v>
      </c>
      <c r="J70" s="26" t="e">
        <f t="array" aca="1" ref="J70" ca="1">_xludf.XLOOKUP(D70,'KPS #48'!D:D,'KPS #48'!J:J,0)</f>
        <v>#NAME?</v>
      </c>
      <c r="K70" s="25" t="e">
        <f t="shared" ca="1" si="4"/>
        <v>#NAME?</v>
      </c>
      <c r="L70" s="24" t="e">
        <f t="array" aca="1" ref="L70" ca="1">_xludf.XLOOKUP(D70,'KPS #48'!D:D,'KPS #48'!L:L,0)</f>
        <v>#NAME?</v>
      </c>
      <c r="M70" s="25" t="e">
        <f t="shared" ca="1" si="5"/>
        <v>#NAME?</v>
      </c>
      <c r="N70" s="24" t="e">
        <f t="array" aca="1" ref="N70" ca="1">_xludf.XLOOKUP(D70,'KPS #48'!D:D,'KPS #48'!N:N,0)</f>
        <v>#NAME?</v>
      </c>
      <c r="O70" s="25" t="e">
        <f t="shared" ca="1" si="6"/>
        <v>#NAME?</v>
      </c>
      <c r="P70" s="26" t="e">
        <f t="array" aca="1" ref="P70" ca="1">_xludf.XLOOKUP(D70,'KPS #48'!D:D,'KPS #48'!P:P,0)</f>
        <v>#NAME?</v>
      </c>
      <c r="Q70" s="25" t="e">
        <f t="shared" ca="1" si="7"/>
        <v>#NAME?</v>
      </c>
      <c r="R70" s="26" t="e">
        <f t="array" aca="1" ref="R70" ca="1">_xludf.XLOOKUP(D70,'KPS #48'!D:D,'KPS #48'!R:R,0)</f>
        <v>#NAME?</v>
      </c>
      <c r="S70" s="25" t="e">
        <f t="shared" ca="1" si="8"/>
        <v>#NAME?</v>
      </c>
      <c r="T70" s="26" t="e">
        <f t="array" aca="1" ref="T70" ca="1">_xludf.XLOOKUP(D70,'KPS #48'!D:D,'KPS #48'!T:T,0)</f>
        <v>#NAME?</v>
      </c>
      <c r="U70" s="25" t="e">
        <f t="shared" ca="1" si="9"/>
        <v>#NAME?</v>
      </c>
      <c r="V70" s="26" t="e">
        <f t="array" aca="1" ref="V70" ca="1">_xludf.XLOOKUP(D70,'KPS #48'!D:D,'KPS #48'!V:V,0)</f>
        <v>#NAME?</v>
      </c>
      <c r="W70" s="25" t="e">
        <f t="shared" ca="1" si="10"/>
        <v>#NAME?</v>
      </c>
      <c r="X70" s="27" t="e">
        <f t="shared" ref="X70:Y70" ca="1" si="79">SUM(V70,T70,R70,P70,N70,L70,J70)</f>
        <v>#NAME?</v>
      </c>
      <c r="Y70" s="28" t="e">
        <f t="shared" ca="1" si="79"/>
        <v>#NAME?</v>
      </c>
      <c r="Z70" s="22"/>
      <c r="AA70" s="29" t="e">
        <f ca="1">X70*IFERROR(VLOOKUP(D70,'Brand List'!$B:$D,3,0),0)</f>
        <v>#NAME?</v>
      </c>
      <c r="AB70" s="29" t="e">
        <f ca="1">H70*IFERROR(VLOOKUP(D70,'Brand List'!$B:$D,3,0),0)</f>
        <v>#NAME?</v>
      </c>
      <c r="AC70" s="29" t="e">
        <f t="shared" ca="1" si="12"/>
        <v>#NAME?</v>
      </c>
      <c r="AD70" s="2">
        <f>_xlfn.XLOOKUP(D70,[1]Summary!$E:$E,[1]Summary!$L:$L,0)</f>
        <v>0</v>
      </c>
      <c r="AE70" s="5" t="e">
        <f t="shared" ca="1" si="13"/>
        <v>#NAME?</v>
      </c>
    </row>
    <row r="71" spans="1:31" ht="14.25" customHeight="1">
      <c r="A71" s="20" t="str">
        <f t="shared" si="76"/>
        <v>TWR16</v>
      </c>
      <c r="B71" s="21" t="s">
        <v>222</v>
      </c>
      <c r="C71" s="22" t="s">
        <v>223</v>
      </c>
      <c r="D71" s="22" t="s">
        <v>227</v>
      </c>
      <c r="E71" s="21" t="s">
        <v>228</v>
      </c>
      <c r="F71" s="22" t="s">
        <v>226</v>
      </c>
      <c r="G71" s="23" t="e">
        <f t="array" aca="1" ref="G71" ca="1">_xludf.XLOOKUP(D71,'KPS #48'!D:D,'KPS #48'!G:G,0)</f>
        <v>#NAME?</v>
      </c>
      <c r="H71" s="22" t="e">
        <f t="array" aca="1" ref="H71" ca="1">_xludf.XLOOKUP(D71,'KPS #48'!D:D,'KPS #48'!H:H,0)</f>
        <v>#NAME?</v>
      </c>
      <c r="I71" s="22" t="e">
        <f t="shared" ca="1" si="3"/>
        <v>#NAME?</v>
      </c>
      <c r="J71" s="46" t="e">
        <f t="array" aca="1" ref="J71" ca="1">_xludf.XLOOKUP(D71,'KPS #48'!D:D,'KPS #48'!J:J,0)</f>
        <v>#NAME?</v>
      </c>
      <c r="K71" s="47" t="e">
        <f t="shared" ca="1" si="4"/>
        <v>#NAME?</v>
      </c>
      <c r="L71" s="48" t="e">
        <f t="array" aca="1" ref="L71" ca="1">_xludf.XLOOKUP(D71,'KPS #48'!D:D,'KPS #48'!L:L,0)</f>
        <v>#NAME?</v>
      </c>
      <c r="M71" s="47" t="e">
        <f t="shared" ca="1" si="5"/>
        <v>#NAME?</v>
      </c>
      <c r="N71" s="24" t="e">
        <f t="array" aca="1" ref="N71" ca="1">_xludf.XLOOKUP(D71,'KPS #48'!D:D,'KPS #48'!N:N,0)</f>
        <v>#NAME?</v>
      </c>
      <c r="O71" s="25" t="e">
        <f t="shared" ca="1" si="6"/>
        <v>#NAME?</v>
      </c>
      <c r="P71" s="26" t="e">
        <f t="array" aca="1" ref="P71" ca="1">_xludf.XLOOKUP(D71,'KPS #48'!D:D,'KPS #48'!P:P,0)</f>
        <v>#NAME?</v>
      </c>
      <c r="Q71" s="25" t="e">
        <f t="shared" ca="1" si="7"/>
        <v>#NAME?</v>
      </c>
      <c r="R71" s="26" t="e">
        <f t="array" aca="1" ref="R71" ca="1">_xludf.XLOOKUP(D71,'KPS #48'!D:D,'KPS #48'!R:R,0)</f>
        <v>#NAME?</v>
      </c>
      <c r="S71" s="25" t="e">
        <f t="shared" ca="1" si="8"/>
        <v>#NAME?</v>
      </c>
      <c r="T71" s="26" t="e">
        <f t="array" aca="1" ref="T71" ca="1">_xludf.XLOOKUP(D71,'KPS #48'!D:D,'KPS #48'!T:T,0)</f>
        <v>#NAME?</v>
      </c>
      <c r="U71" s="25" t="e">
        <f t="shared" ca="1" si="9"/>
        <v>#NAME?</v>
      </c>
      <c r="V71" s="26" t="e">
        <f t="array" aca="1" ref="V71" ca="1">_xludf.XLOOKUP(D71,'KPS #48'!D:D,'KPS #48'!V:V,0)</f>
        <v>#NAME?</v>
      </c>
      <c r="W71" s="25" t="e">
        <f t="shared" ca="1" si="10"/>
        <v>#NAME?</v>
      </c>
      <c r="X71" s="27" t="e">
        <f t="shared" ref="X71:Y71" ca="1" si="80">SUM(V71,T71,R71,P71,N71,L71,J71)</f>
        <v>#NAME?</v>
      </c>
      <c r="Y71" s="28" t="e">
        <f t="shared" ca="1" si="80"/>
        <v>#NAME?</v>
      </c>
      <c r="Z71" s="22" t="s">
        <v>229</v>
      </c>
      <c r="AA71" s="29" t="e">
        <f ca="1">X71*IFERROR(VLOOKUP(D71,'Brand List'!$B:$D,3,0),0)</f>
        <v>#NAME?</v>
      </c>
      <c r="AB71" s="29" t="e">
        <f ca="1">H71*IFERROR(VLOOKUP(D71,'Brand List'!$B:$D,3,0),0)</f>
        <v>#NAME?</v>
      </c>
      <c r="AC71" s="29" t="e">
        <f t="shared" ca="1" si="12"/>
        <v>#NAME?</v>
      </c>
      <c r="AD71" s="2">
        <f>_xlfn.XLOOKUP(D71,[1]Summary!$E:$E,[1]Summary!$L:$L,0)</f>
        <v>0</v>
      </c>
      <c r="AE71" s="5" t="e">
        <f t="shared" ca="1" si="13"/>
        <v>#NAME?</v>
      </c>
    </row>
    <row r="72" spans="1:31" ht="14.25" customHeight="1">
      <c r="A72" s="20" t="str">
        <f t="shared" si="76"/>
        <v>TWG16</v>
      </c>
      <c r="B72" s="21" t="s">
        <v>222</v>
      </c>
      <c r="C72" s="22" t="s">
        <v>223</v>
      </c>
      <c r="D72" s="22" t="s">
        <v>230</v>
      </c>
      <c r="E72" s="21" t="s">
        <v>231</v>
      </c>
      <c r="F72" s="22" t="s">
        <v>226</v>
      </c>
      <c r="G72" s="23" t="e">
        <f t="array" aca="1" ref="G72" ca="1">_xludf.XLOOKUP(D72,'KPS #48'!D:D,'KPS #48'!G:G,0)</f>
        <v>#NAME?</v>
      </c>
      <c r="H72" s="22" t="e">
        <f t="array" aca="1" ref="H72" ca="1">_xludf.XLOOKUP(D72,'KPS #48'!D:D,'KPS #48'!H:H,0)</f>
        <v>#NAME?</v>
      </c>
      <c r="I72" s="22" t="e">
        <f t="shared" ca="1" si="3"/>
        <v>#NAME?</v>
      </c>
      <c r="J72" s="26" t="e">
        <f t="array" aca="1" ref="J72" ca="1">_xludf.XLOOKUP(D72,'KPS #48'!D:D,'KPS #48'!J:J,0)</f>
        <v>#NAME?</v>
      </c>
      <c r="K72" s="25" t="e">
        <f t="shared" ca="1" si="4"/>
        <v>#NAME?</v>
      </c>
      <c r="L72" s="24" t="e">
        <f t="array" aca="1" ref="L72" ca="1">_xludf.XLOOKUP(D72,'KPS #48'!D:D,'KPS #48'!L:L,0)</f>
        <v>#NAME?</v>
      </c>
      <c r="M72" s="25" t="e">
        <f t="shared" ca="1" si="5"/>
        <v>#NAME?</v>
      </c>
      <c r="N72" s="24" t="e">
        <f t="array" aca="1" ref="N72" ca="1">_xludf.XLOOKUP(D72,'KPS #48'!D:D,'KPS #48'!N:N,0)</f>
        <v>#NAME?</v>
      </c>
      <c r="O72" s="25" t="e">
        <f t="shared" ca="1" si="6"/>
        <v>#NAME?</v>
      </c>
      <c r="P72" s="26" t="e">
        <f t="array" aca="1" ref="P72" ca="1">_xludf.XLOOKUP(D72,'KPS #48'!D:D,'KPS #48'!P:P,0)</f>
        <v>#NAME?</v>
      </c>
      <c r="Q72" s="25" t="e">
        <f t="shared" ca="1" si="7"/>
        <v>#NAME?</v>
      </c>
      <c r="R72" s="26" t="e">
        <f t="array" aca="1" ref="R72" ca="1">_xludf.XLOOKUP(D72,'KPS #48'!D:D,'KPS #48'!R:R,0)</f>
        <v>#NAME?</v>
      </c>
      <c r="S72" s="25" t="e">
        <f t="shared" ca="1" si="8"/>
        <v>#NAME?</v>
      </c>
      <c r="T72" s="26" t="e">
        <f t="array" aca="1" ref="T72" ca="1">_xludf.XLOOKUP(D72,'KPS #48'!D:D,'KPS #48'!T:T,0)</f>
        <v>#NAME?</v>
      </c>
      <c r="U72" s="25" t="e">
        <f t="shared" ca="1" si="9"/>
        <v>#NAME?</v>
      </c>
      <c r="V72" s="26" t="e">
        <f t="array" aca="1" ref="V72" ca="1">_xludf.XLOOKUP(D72,'KPS #48'!D:D,'KPS #48'!V:V,0)</f>
        <v>#NAME?</v>
      </c>
      <c r="W72" s="25" t="e">
        <f t="shared" ca="1" si="10"/>
        <v>#NAME?</v>
      </c>
      <c r="X72" s="27" t="e">
        <f t="shared" ref="X72:Y72" ca="1" si="81">SUM(V72,T72,R72,P72,N72,L72,J72)</f>
        <v>#NAME?</v>
      </c>
      <c r="Y72" s="28" t="e">
        <f t="shared" ca="1" si="81"/>
        <v>#NAME?</v>
      </c>
      <c r="Z72" s="22"/>
      <c r="AA72" s="29" t="e">
        <f ca="1">X72*IFERROR(VLOOKUP(D72,'Brand List'!$B:$D,3,0),0)</f>
        <v>#NAME?</v>
      </c>
      <c r="AB72" s="29" t="e">
        <f ca="1">H72*IFERROR(VLOOKUP(D72,'Brand List'!$B:$D,3,0),0)</f>
        <v>#NAME?</v>
      </c>
      <c r="AC72" s="29" t="e">
        <f t="shared" ca="1" si="12"/>
        <v>#NAME?</v>
      </c>
      <c r="AD72" s="2">
        <f>_xlfn.XLOOKUP(D72,[1]Summary!$E:$E,[1]Summary!$L:$L,0)</f>
        <v>0</v>
      </c>
      <c r="AE72" s="5" t="e">
        <f t="shared" ca="1" si="13"/>
        <v>#NAME?</v>
      </c>
    </row>
    <row r="73" spans="1:31" ht="14.25" customHeight="1">
      <c r="A73" s="20" t="str">
        <f t="shared" si="76"/>
        <v>TWS16</v>
      </c>
      <c r="B73" s="21" t="s">
        <v>222</v>
      </c>
      <c r="C73" s="22" t="s">
        <v>223</v>
      </c>
      <c r="D73" s="22" t="s">
        <v>232</v>
      </c>
      <c r="E73" s="21" t="s">
        <v>233</v>
      </c>
      <c r="F73" s="22" t="s">
        <v>226</v>
      </c>
      <c r="G73" s="23" t="e">
        <f t="array" aca="1" ref="G73" ca="1">_xludf.XLOOKUP(D73,'KPS #48'!D:D,'KPS #48'!G:G,0)</f>
        <v>#NAME?</v>
      </c>
      <c r="H73" s="22" t="e">
        <f t="array" aca="1" ref="H73" ca="1">_xludf.XLOOKUP(D73,'KPS #48'!D:D,'KPS #48'!H:H,0)</f>
        <v>#NAME?</v>
      </c>
      <c r="I73" s="22" t="e">
        <f t="shared" ca="1" si="3"/>
        <v>#NAME?</v>
      </c>
      <c r="J73" s="26" t="e">
        <f t="array" aca="1" ref="J73" ca="1">_xludf.XLOOKUP(D73,'KPS #48'!D:D,'KPS #48'!J:J,0)</f>
        <v>#NAME?</v>
      </c>
      <c r="K73" s="25" t="e">
        <f t="shared" ca="1" si="4"/>
        <v>#NAME?</v>
      </c>
      <c r="L73" s="24" t="e">
        <f t="array" aca="1" ref="L73" ca="1">_xludf.XLOOKUP(D73,'KPS #48'!D:D,'KPS #48'!L:L,0)</f>
        <v>#NAME?</v>
      </c>
      <c r="M73" s="25" t="e">
        <f t="shared" ca="1" si="5"/>
        <v>#NAME?</v>
      </c>
      <c r="N73" s="24" t="e">
        <f t="array" aca="1" ref="N73" ca="1">_xludf.XLOOKUP(D73,'KPS #48'!D:D,'KPS #48'!N:N,0)</f>
        <v>#NAME?</v>
      </c>
      <c r="O73" s="25" t="e">
        <f t="shared" ca="1" si="6"/>
        <v>#NAME?</v>
      </c>
      <c r="P73" s="26" t="e">
        <f t="array" aca="1" ref="P73" ca="1">_xludf.XLOOKUP(D73,'KPS #48'!D:D,'KPS #48'!P:P,0)</f>
        <v>#NAME?</v>
      </c>
      <c r="Q73" s="25" t="e">
        <f t="shared" ca="1" si="7"/>
        <v>#NAME?</v>
      </c>
      <c r="R73" s="26" t="e">
        <f t="array" aca="1" ref="R73" ca="1">_xludf.XLOOKUP(D73,'KPS #48'!D:D,'KPS #48'!R:R,0)</f>
        <v>#NAME?</v>
      </c>
      <c r="S73" s="25" t="e">
        <f t="shared" ca="1" si="8"/>
        <v>#NAME?</v>
      </c>
      <c r="T73" s="26" t="e">
        <f t="array" aca="1" ref="T73" ca="1">_xludf.XLOOKUP(D73,'KPS #48'!D:D,'KPS #48'!T:T,0)</f>
        <v>#NAME?</v>
      </c>
      <c r="U73" s="25" t="e">
        <f t="shared" ca="1" si="9"/>
        <v>#NAME?</v>
      </c>
      <c r="V73" s="26" t="e">
        <f t="array" aca="1" ref="V73" ca="1">_xludf.XLOOKUP(D73,'KPS #48'!D:D,'KPS #48'!V:V,0)</f>
        <v>#NAME?</v>
      </c>
      <c r="W73" s="25" t="e">
        <f t="shared" ca="1" si="10"/>
        <v>#NAME?</v>
      </c>
      <c r="X73" s="27" t="e">
        <f t="shared" ref="X73:Y73" ca="1" si="82">SUM(V73,T73,R73,P73,N73,L73,J73)</f>
        <v>#NAME?</v>
      </c>
      <c r="Y73" s="28" t="e">
        <f t="shared" ca="1" si="82"/>
        <v>#NAME?</v>
      </c>
      <c r="Z73" s="22"/>
      <c r="AA73" s="29" t="e">
        <f ca="1">X73*IFERROR(VLOOKUP(D73,'Brand List'!$B:$D,3,0),0)</f>
        <v>#NAME?</v>
      </c>
      <c r="AB73" s="29" t="e">
        <f ca="1">H73*IFERROR(VLOOKUP(D73,'Brand List'!$B:$D,3,0),0)</f>
        <v>#NAME?</v>
      </c>
      <c r="AC73" s="29" t="e">
        <f t="shared" ca="1" si="12"/>
        <v>#NAME?</v>
      </c>
      <c r="AD73" s="2">
        <f>_xlfn.XLOOKUP(D73,[1]Summary!$E:$E,[1]Summary!$L:$L,0)</f>
        <v>0</v>
      </c>
      <c r="AE73" s="5" t="e">
        <f t="shared" ca="1" si="13"/>
        <v>#NAME?</v>
      </c>
    </row>
    <row r="74" spans="1:31" ht="14.25" customHeight="1">
      <c r="A74" s="20" t="str">
        <f t="shared" si="76"/>
        <v>TWD16</v>
      </c>
      <c r="B74" s="21" t="s">
        <v>222</v>
      </c>
      <c r="C74" s="22" t="s">
        <v>223</v>
      </c>
      <c r="D74" s="22" t="s">
        <v>234</v>
      </c>
      <c r="E74" s="21" t="s">
        <v>235</v>
      </c>
      <c r="F74" s="22" t="s">
        <v>226</v>
      </c>
      <c r="G74" s="23" t="e">
        <f t="array" aca="1" ref="G74" ca="1">_xludf.XLOOKUP(D74,'KPS #48'!D:D,'KPS #48'!G:G,0)</f>
        <v>#NAME?</v>
      </c>
      <c r="H74" s="22" t="e">
        <f t="array" aca="1" ref="H74" ca="1">_xludf.XLOOKUP(D74,'KPS #48'!D:D,'KPS #48'!H:H,0)</f>
        <v>#NAME?</v>
      </c>
      <c r="I74" s="22" t="e">
        <f t="shared" ca="1" si="3"/>
        <v>#NAME?</v>
      </c>
      <c r="J74" s="26" t="e">
        <f t="array" aca="1" ref="J74" ca="1">_xludf.XLOOKUP(D74,'KPS #48'!D:D,'KPS #48'!J:J,0)</f>
        <v>#NAME?</v>
      </c>
      <c r="K74" s="25" t="e">
        <f t="shared" ca="1" si="4"/>
        <v>#NAME?</v>
      </c>
      <c r="L74" s="24" t="e">
        <f t="array" aca="1" ref="L74" ca="1">_xludf.XLOOKUP(D74,'KPS #48'!D:D,'KPS #48'!L:L,0)</f>
        <v>#NAME?</v>
      </c>
      <c r="M74" s="25" t="e">
        <f t="shared" ca="1" si="5"/>
        <v>#NAME?</v>
      </c>
      <c r="N74" s="24" t="e">
        <f t="array" aca="1" ref="N74" ca="1">_xludf.XLOOKUP(D74,'KPS #48'!D:D,'KPS #48'!N:N,0)</f>
        <v>#NAME?</v>
      </c>
      <c r="O74" s="25" t="e">
        <f t="shared" ca="1" si="6"/>
        <v>#NAME?</v>
      </c>
      <c r="P74" s="26" t="e">
        <f t="array" aca="1" ref="P74" ca="1">_xludf.XLOOKUP(D74,'KPS #48'!D:D,'KPS #48'!P:P,0)</f>
        <v>#NAME?</v>
      </c>
      <c r="Q74" s="25" t="e">
        <f t="shared" ca="1" si="7"/>
        <v>#NAME?</v>
      </c>
      <c r="R74" s="26" t="e">
        <f t="array" aca="1" ref="R74" ca="1">_xludf.XLOOKUP(D74,'KPS #48'!D:D,'KPS #48'!R:R,0)</f>
        <v>#NAME?</v>
      </c>
      <c r="S74" s="25" t="e">
        <f t="shared" ca="1" si="8"/>
        <v>#NAME?</v>
      </c>
      <c r="T74" s="26" t="e">
        <f t="array" aca="1" ref="T74" ca="1">_xludf.XLOOKUP(D74,'KPS #48'!D:D,'KPS #48'!T:T,0)</f>
        <v>#NAME?</v>
      </c>
      <c r="U74" s="25" t="e">
        <f t="shared" ca="1" si="9"/>
        <v>#NAME?</v>
      </c>
      <c r="V74" s="26" t="e">
        <f t="array" aca="1" ref="V74" ca="1">_xludf.XLOOKUP(D74,'KPS #48'!D:D,'KPS #48'!V:V,0)</f>
        <v>#NAME?</v>
      </c>
      <c r="W74" s="25" t="e">
        <f t="shared" ca="1" si="10"/>
        <v>#NAME?</v>
      </c>
      <c r="X74" s="27" t="e">
        <f t="shared" ref="X74:Y74" ca="1" si="83">SUM(V74,T74,R74,P74,N74,L74,J74)</f>
        <v>#NAME?</v>
      </c>
      <c r="Y74" s="28" t="e">
        <f t="shared" ca="1" si="83"/>
        <v>#NAME?</v>
      </c>
      <c r="Z74" s="22"/>
      <c r="AA74" s="29" t="e">
        <f ca="1">X74*IFERROR(VLOOKUP(D74,'Brand List'!$B:$D,3,0),0)</f>
        <v>#NAME?</v>
      </c>
      <c r="AB74" s="29" t="e">
        <f ca="1">H74*IFERROR(VLOOKUP(D74,'Brand List'!$B:$D,3,0),0)</f>
        <v>#NAME?</v>
      </c>
      <c r="AC74" s="29" t="e">
        <f t="shared" ca="1" si="12"/>
        <v>#NAME?</v>
      </c>
      <c r="AD74" s="2">
        <f>_xlfn.XLOOKUP(D74,[1]Summary!$E:$E,[1]Summary!$L:$L,0)</f>
        <v>0</v>
      </c>
      <c r="AE74" s="5" t="e">
        <f t="shared" ca="1" si="13"/>
        <v>#NAME?</v>
      </c>
    </row>
    <row r="75" spans="1:31" ht="14.25" customHeight="1">
      <c r="A75" s="20" t="str">
        <f t="shared" si="76"/>
        <v>TWP16</v>
      </c>
      <c r="B75" s="21" t="s">
        <v>222</v>
      </c>
      <c r="C75" s="22" t="s">
        <v>63</v>
      </c>
      <c r="D75" s="22" t="s">
        <v>236</v>
      </c>
      <c r="E75" s="21" t="s">
        <v>237</v>
      </c>
      <c r="F75" s="22" t="s">
        <v>226</v>
      </c>
      <c r="G75" s="23" t="e">
        <f t="array" aca="1" ref="G75" ca="1">_xludf.XLOOKUP(D75,'KPS #48'!D:D,'KPS #48'!G:G,0)</f>
        <v>#NAME?</v>
      </c>
      <c r="H75" s="22" t="e">
        <f t="array" aca="1" ref="H75" ca="1">_xludf.XLOOKUP(D75,'KPS #48'!D:D,'KPS #48'!H:H,0)</f>
        <v>#NAME?</v>
      </c>
      <c r="I75" s="22" t="e">
        <f t="shared" ca="1" si="3"/>
        <v>#NAME?</v>
      </c>
      <c r="J75" s="26" t="e">
        <f t="array" aca="1" ref="J75" ca="1">_xludf.XLOOKUP(D75,'KPS #48'!D:D,'KPS #48'!J:J,0)</f>
        <v>#NAME?</v>
      </c>
      <c r="K75" s="25" t="e">
        <f t="shared" ca="1" si="4"/>
        <v>#NAME?</v>
      </c>
      <c r="L75" s="48" t="e">
        <f t="array" aca="1" ref="L75" ca="1">_xludf.XLOOKUP(D75,'KPS #48'!D:D,'KPS #48'!L:L,0)</f>
        <v>#NAME?</v>
      </c>
      <c r="M75" s="47" t="e">
        <f t="shared" ca="1" si="5"/>
        <v>#NAME?</v>
      </c>
      <c r="N75" s="48" t="e">
        <f t="array" aca="1" ref="N75" ca="1">_xludf.XLOOKUP(D75,'KPS #48'!D:D,'KPS #48'!N:N,0)</f>
        <v>#NAME?</v>
      </c>
      <c r="O75" s="47" t="e">
        <f t="shared" ca="1" si="6"/>
        <v>#NAME?</v>
      </c>
      <c r="P75" s="26" t="e">
        <f t="array" aca="1" ref="P75" ca="1">_xludf.XLOOKUP(D75,'KPS #48'!D:D,'KPS #48'!P:P,0)</f>
        <v>#NAME?</v>
      </c>
      <c r="Q75" s="25" t="e">
        <f t="shared" ca="1" si="7"/>
        <v>#NAME?</v>
      </c>
      <c r="R75" s="26" t="e">
        <f t="array" aca="1" ref="R75" ca="1">_xludf.XLOOKUP(D75,'KPS #48'!D:D,'KPS #48'!R:R,0)</f>
        <v>#NAME?</v>
      </c>
      <c r="S75" s="25" t="e">
        <f t="shared" ca="1" si="8"/>
        <v>#NAME?</v>
      </c>
      <c r="T75" s="26" t="e">
        <f t="array" aca="1" ref="T75" ca="1">_xludf.XLOOKUP(D75,'KPS #48'!D:D,'KPS #48'!T:T,0)</f>
        <v>#NAME?</v>
      </c>
      <c r="U75" s="25" t="e">
        <f t="shared" ca="1" si="9"/>
        <v>#NAME?</v>
      </c>
      <c r="V75" s="26" t="e">
        <f t="array" aca="1" ref="V75" ca="1">_xludf.XLOOKUP(D75,'KPS #48'!D:D,'KPS #48'!V:V,0)</f>
        <v>#NAME?</v>
      </c>
      <c r="W75" s="25" t="e">
        <f t="shared" ca="1" si="10"/>
        <v>#NAME?</v>
      </c>
      <c r="X75" s="27" t="e">
        <f t="shared" ref="X75:Y75" ca="1" si="84">SUM(V75,T75,R75,P75,N75,L75,J75)</f>
        <v>#NAME?</v>
      </c>
      <c r="Y75" s="28" t="e">
        <f t="shared" ca="1" si="84"/>
        <v>#NAME?</v>
      </c>
      <c r="Z75" s="22" t="s">
        <v>69</v>
      </c>
      <c r="AA75" s="29" t="e">
        <f ca="1">X75*IFERROR(VLOOKUP(D75,'Brand List'!$B:$D,3,0),0)</f>
        <v>#NAME?</v>
      </c>
      <c r="AB75" s="29" t="e">
        <f ca="1">H75*IFERROR(VLOOKUP(D75,'Brand List'!$B:$D,3,0),0)</f>
        <v>#NAME?</v>
      </c>
      <c r="AC75" s="29" t="e">
        <f t="shared" ca="1" si="12"/>
        <v>#NAME?</v>
      </c>
      <c r="AD75" s="2">
        <f>_xlfn.XLOOKUP(D75,[1]Summary!$E:$E,[1]Summary!$L:$L,0)</f>
        <v>0</v>
      </c>
      <c r="AE75" s="5" t="e">
        <f t="shared" ca="1" si="13"/>
        <v>#NAME?</v>
      </c>
    </row>
    <row r="76" spans="1:31" ht="14.25" customHeight="1">
      <c r="A76" s="20" t="str">
        <f t="shared" si="76"/>
        <v>TWR12</v>
      </c>
      <c r="B76" s="21" t="s">
        <v>222</v>
      </c>
      <c r="C76" s="22" t="s">
        <v>238</v>
      </c>
      <c r="D76" s="22" t="s">
        <v>239</v>
      </c>
      <c r="E76" s="21" t="s">
        <v>240</v>
      </c>
      <c r="F76" s="22" t="s">
        <v>226</v>
      </c>
      <c r="G76" s="23" t="e">
        <f t="array" aca="1" ref="G76" ca="1">_xludf.XLOOKUP(D76,'KPS #48'!D:D,'KPS #48'!G:G,0)</f>
        <v>#NAME?</v>
      </c>
      <c r="H76" s="22" t="e">
        <f t="array" aca="1" ref="H76" ca="1">_xludf.XLOOKUP(D76,'KPS #48'!D:D,'KPS #48'!H:H,0)</f>
        <v>#NAME?</v>
      </c>
      <c r="I76" s="22" t="e">
        <f t="shared" ca="1" si="3"/>
        <v>#NAME?</v>
      </c>
      <c r="J76" s="26" t="e">
        <f t="array" aca="1" ref="J76" ca="1">_xludf.XLOOKUP(D76,'KPS #48'!D:D,'KPS #48'!J:J,0)</f>
        <v>#NAME?</v>
      </c>
      <c r="K76" s="25" t="e">
        <f t="shared" ca="1" si="4"/>
        <v>#NAME?</v>
      </c>
      <c r="L76" s="48" t="e">
        <f t="array" aca="1" ref="L76" ca="1">_xludf.XLOOKUP(D76,'KPS #48'!D:D,'KPS #48'!L:L,0)</f>
        <v>#NAME?</v>
      </c>
      <c r="M76" s="47" t="e">
        <f t="shared" ca="1" si="5"/>
        <v>#NAME?</v>
      </c>
      <c r="N76" s="48" t="e">
        <f t="array" aca="1" ref="N76" ca="1">_xludf.XLOOKUP(D76,'KPS #48'!D:D,'KPS #48'!N:N,0)</f>
        <v>#NAME?</v>
      </c>
      <c r="O76" s="47" t="e">
        <f t="shared" ca="1" si="6"/>
        <v>#NAME?</v>
      </c>
      <c r="P76" s="26" t="e">
        <f t="array" aca="1" ref="P76" ca="1">_xludf.XLOOKUP(D76,'KPS #48'!D:D,'KPS #48'!P:P,0)</f>
        <v>#NAME?</v>
      </c>
      <c r="Q76" s="25" t="e">
        <f t="shared" ca="1" si="7"/>
        <v>#NAME?</v>
      </c>
      <c r="R76" s="26" t="e">
        <f t="array" aca="1" ref="R76" ca="1">_xludf.XLOOKUP(D76,'KPS #48'!D:D,'KPS #48'!R:R,0)</f>
        <v>#NAME?</v>
      </c>
      <c r="S76" s="25" t="e">
        <f t="shared" ca="1" si="8"/>
        <v>#NAME?</v>
      </c>
      <c r="T76" s="26" t="e">
        <f t="array" aca="1" ref="T76" ca="1">_xludf.XLOOKUP(D76,'KPS #48'!D:D,'KPS #48'!T:T,0)</f>
        <v>#NAME?</v>
      </c>
      <c r="U76" s="25" t="e">
        <f t="shared" ca="1" si="9"/>
        <v>#NAME?</v>
      </c>
      <c r="V76" s="26" t="e">
        <f t="array" aca="1" ref="V76" ca="1">_xludf.XLOOKUP(D76,'KPS #48'!D:D,'KPS #48'!V:V,0)</f>
        <v>#NAME?</v>
      </c>
      <c r="W76" s="25" t="e">
        <f t="shared" ca="1" si="10"/>
        <v>#NAME?</v>
      </c>
      <c r="X76" s="27" t="e">
        <f t="shared" ref="X76:Y76" ca="1" si="85">SUM(V76,T76,R76,P76,N76,L76,J76)</f>
        <v>#NAME?</v>
      </c>
      <c r="Y76" s="28" t="e">
        <f t="shared" ca="1" si="85"/>
        <v>#NAME?</v>
      </c>
      <c r="Z76" s="22" t="s">
        <v>69</v>
      </c>
      <c r="AA76" s="29" t="e">
        <f ca="1">X76*IFERROR(VLOOKUP(D76,'Brand List'!$B:$D,3,0),0)</f>
        <v>#NAME?</v>
      </c>
      <c r="AB76" s="29" t="e">
        <f ca="1">H76*IFERROR(VLOOKUP(D76,'Brand List'!$B:$D,3,0),0)</f>
        <v>#NAME?</v>
      </c>
      <c r="AC76" s="29" t="e">
        <f t="shared" ca="1" si="12"/>
        <v>#NAME?</v>
      </c>
      <c r="AD76" s="2">
        <f>_xlfn.XLOOKUP(D76,[1]Summary!$E:$E,[1]Summary!$L:$L,0)</f>
        <v>0</v>
      </c>
      <c r="AE76" s="5" t="e">
        <f t="shared" ca="1" si="13"/>
        <v>#NAME?</v>
      </c>
    </row>
    <row r="77" spans="1:31" ht="14.25" customHeight="1">
      <c r="A77" s="20"/>
      <c r="B77" s="21" t="s">
        <v>222</v>
      </c>
      <c r="C77" s="22" t="s">
        <v>223</v>
      </c>
      <c r="D77" s="22" t="s">
        <v>241</v>
      </c>
      <c r="E77" s="21" t="s">
        <v>242</v>
      </c>
      <c r="F77" s="22" t="s">
        <v>226</v>
      </c>
      <c r="G77" s="23" t="e">
        <f t="array" aca="1" ref="G77" ca="1">_xludf.XLOOKUP(D77,'KPS #48'!D:D,'KPS #48'!G:G,0)</f>
        <v>#NAME?</v>
      </c>
      <c r="H77" s="22" t="e">
        <f t="array" aca="1" ref="H77" ca="1">_xludf.XLOOKUP(D77,'KPS #48'!D:D,'KPS #48'!H:H,0)</f>
        <v>#NAME?</v>
      </c>
      <c r="I77" s="22" t="e">
        <f t="shared" ca="1" si="3"/>
        <v>#NAME?</v>
      </c>
      <c r="J77" s="26" t="e">
        <f t="array" aca="1" ref="J77" ca="1">_xludf.XLOOKUP(D77,'KPS #48'!D:D,'KPS #48'!J:J,0)</f>
        <v>#NAME?</v>
      </c>
      <c r="K77" s="25" t="e">
        <f t="shared" ca="1" si="4"/>
        <v>#NAME?</v>
      </c>
      <c r="L77" s="24" t="e">
        <f t="array" aca="1" ref="L77" ca="1">_xludf.XLOOKUP(D77,'KPS #48'!D:D,'KPS #48'!L:L,0)</f>
        <v>#NAME?</v>
      </c>
      <c r="M77" s="25" t="e">
        <f t="shared" ca="1" si="5"/>
        <v>#NAME?</v>
      </c>
      <c r="N77" s="24" t="e">
        <f t="array" aca="1" ref="N77" ca="1">_xludf.XLOOKUP(D77,'KPS #48'!D:D,'KPS #48'!N:N,0)</f>
        <v>#NAME?</v>
      </c>
      <c r="O77" s="25" t="e">
        <f t="shared" ca="1" si="6"/>
        <v>#NAME?</v>
      </c>
      <c r="P77" s="26" t="e">
        <f t="array" aca="1" ref="P77" ca="1">_xludf.XLOOKUP(D77,'KPS #48'!D:D,'KPS #48'!P:P,0)</f>
        <v>#NAME?</v>
      </c>
      <c r="Q77" s="25" t="e">
        <f t="shared" ca="1" si="7"/>
        <v>#NAME?</v>
      </c>
      <c r="R77" s="26" t="e">
        <f t="array" aca="1" ref="R77" ca="1">_xludf.XLOOKUP(D77,'KPS #48'!D:D,'KPS #48'!R:R,0)</f>
        <v>#NAME?</v>
      </c>
      <c r="S77" s="25" t="e">
        <f t="shared" ca="1" si="8"/>
        <v>#NAME?</v>
      </c>
      <c r="T77" s="26" t="e">
        <f t="array" aca="1" ref="T77" ca="1">_xludf.XLOOKUP(D77,'KPS #48'!D:D,'KPS #48'!T:T,0)</f>
        <v>#NAME?</v>
      </c>
      <c r="U77" s="25" t="e">
        <f t="shared" ca="1" si="9"/>
        <v>#NAME?</v>
      </c>
      <c r="V77" s="26" t="e">
        <f t="array" aca="1" ref="V77" ca="1">_xludf.XLOOKUP(D77,'KPS #48'!D:D,'KPS #48'!V:V,0)</f>
        <v>#NAME?</v>
      </c>
      <c r="W77" s="25" t="e">
        <f t="shared" ca="1" si="10"/>
        <v>#NAME?</v>
      </c>
      <c r="X77" s="27" t="e">
        <f t="shared" ref="X77:Y77" ca="1" si="86">SUM(V77,T77,R77,P77,N77,L77,J77)</f>
        <v>#NAME?</v>
      </c>
      <c r="Y77" s="28" t="e">
        <f t="shared" ca="1" si="86"/>
        <v>#NAME?</v>
      </c>
      <c r="Z77" s="22"/>
      <c r="AA77" s="29" t="e">
        <f ca="1">X77*IFERROR(VLOOKUP(D77,'Brand List'!$B:$D,3,0),0)</f>
        <v>#NAME?</v>
      </c>
      <c r="AB77" s="29" t="e">
        <f ca="1">H77*IFERROR(VLOOKUP(D77,'Brand List'!$B:$D,3,0),0)</f>
        <v>#NAME?</v>
      </c>
      <c r="AC77" s="29" t="e">
        <f t="shared" ca="1" si="12"/>
        <v>#NAME?</v>
      </c>
      <c r="AD77" s="2">
        <f>_xlfn.XLOOKUP(D77,[1]Summary!$E:$E,[1]Summary!$L:$L,0)</f>
        <v>0</v>
      </c>
      <c r="AE77" s="5" t="e">
        <f t="shared" ca="1" si="13"/>
        <v>#NAME?</v>
      </c>
    </row>
    <row r="78" spans="1:31" ht="14.25" customHeight="1">
      <c r="A78" s="20"/>
      <c r="B78" s="21" t="s">
        <v>222</v>
      </c>
      <c r="C78" s="22" t="s">
        <v>223</v>
      </c>
      <c r="D78" s="22" t="s">
        <v>243</v>
      </c>
      <c r="E78" s="21" t="s">
        <v>244</v>
      </c>
      <c r="F78" s="22" t="s">
        <v>226</v>
      </c>
      <c r="G78" s="23" t="e">
        <f t="array" aca="1" ref="G78" ca="1">_xludf.XLOOKUP(D78,'KPS #48'!D:D,'KPS #48'!G:G,0)</f>
        <v>#NAME?</v>
      </c>
      <c r="H78" s="22" t="e">
        <f t="array" aca="1" ref="H78" ca="1">_xludf.XLOOKUP(D78,'KPS #48'!D:D,'KPS #48'!H:H,0)</f>
        <v>#NAME?</v>
      </c>
      <c r="I78" s="22" t="e">
        <f t="shared" ca="1" si="3"/>
        <v>#NAME?</v>
      </c>
      <c r="J78" s="26" t="e">
        <f t="array" aca="1" ref="J78" ca="1">_xludf.XLOOKUP(D78,'KPS #48'!D:D,'KPS #48'!J:J,0)</f>
        <v>#NAME?</v>
      </c>
      <c r="K78" s="25" t="e">
        <f t="shared" ca="1" si="4"/>
        <v>#NAME?</v>
      </c>
      <c r="L78" s="24" t="e">
        <f t="array" aca="1" ref="L78" ca="1">_xludf.XLOOKUP(D78,'KPS #48'!D:D,'KPS #48'!L:L,0)</f>
        <v>#NAME?</v>
      </c>
      <c r="M78" s="25" t="e">
        <f t="shared" ca="1" si="5"/>
        <v>#NAME?</v>
      </c>
      <c r="N78" s="24" t="e">
        <f t="array" aca="1" ref="N78" ca="1">_xludf.XLOOKUP(D78,'KPS #48'!D:D,'KPS #48'!N:N,0)</f>
        <v>#NAME?</v>
      </c>
      <c r="O78" s="25" t="e">
        <f t="shared" ca="1" si="6"/>
        <v>#NAME?</v>
      </c>
      <c r="P78" s="26" t="e">
        <f t="array" aca="1" ref="P78" ca="1">_xludf.XLOOKUP(D78,'KPS #48'!D:D,'KPS #48'!P:P,0)</f>
        <v>#NAME?</v>
      </c>
      <c r="Q78" s="25" t="e">
        <f t="shared" ca="1" si="7"/>
        <v>#NAME?</v>
      </c>
      <c r="R78" s="26" t="e">
        <f t="array" aca="1" ref="R78" ca="1">_xludf.XLOOKUP(D78,'KPS #48'!D:D,'KPS #48'!R:R,0)</f>
        <v>#NAME?</v>
      </c>
      <c r="S78" s="25" t="e">
        <f t="shared" ca="1" si="8"/>
        <v>#NAME?</v>
      </c>
      <c r="T78" s="26" t="e">
        <f t="array" aca="1" ref="T78" ca="1">_xludf.XLOOKUP(D78,'KPS #48'!D:D,'KPS #48'!T:T,0)</f>
        <v>#NAME?</v>
      </c>
      <c r="U78" s="25" t="e">
        <f t="shared" ca="1" si="9"/>
        <v>#NAME?</v>
      </c>
      <c r="V78" s="26" t="e">
        <f t="array" aca="1" ref="V78" ca="1">_xludf.XLOOKUP(D78,'KPS #48'!D:D,'KPS #48'!V:V,0)</f>
        <v>#NAME?</v>
      </c>
      <c r="W78" s="25" t="e">
        <f t="shared" ca="1" si="10"/>
        <v>#NAME?</v>
      </c>
      <c r="X78" s="27" t="e">
        <f t="shared" ref="X78:Y78" ca="1" si="87">SUM(V78,T78,R78,P78,N78,L78,J78)</f>
        <v>#NAME?</v>
      </c>
      <c r="Y78" s="28" t="e">
        <f t="shared" ca="1" si="87"/>
        <v>#NAME?</v>
      </c>
      <c r="Z78" s="22"/>
      <c r="AA78" s="29" t="e">
        <f ca="1">X78*IFERROR(VLOOKUP(D78,'Brand List'!$B:$D,3,0),0)</f>
        <v>#NAME?</v>
      </c>
      <c r="AB78" s="29" t="e">
        <f ca="1">H78*IFERROR(VLOOKUP(D78,'Brand List'!$B:$D,3,0),0)</f>
        <v>#NAME?</v>
      </c>
      <c r="AC78" s="29" t="e">
        <f t="shared" ca="1" si="12"/>
        <v>#NAME?</v>
      </c>
      <c r="AD78" s="2">
        <f>_xlfn.XLOOKUP(D78,[1]Summary!$E:$E,[1]Summary!$L:$L,0)</f>
        <v>0</v>
      </c>
      <c r="AE78" s="5" t="e">
        <f t="shared" ca="1" si="13"/>
        <v>#NAME?</v>
      </c>
    </row>
    <row r="79" spans="1:31" ht="14.25" customHeight="1">
      <c r="A79" s="20" t="str">
        <f t="shared" ref="A79:A99" si="88">D79</f>
        <v>DFB12</v>
      </c>
      <c r="B79" s="21" t="s">
        <v>222</v>
      </c>
      <c r="C79" s="22" t="s">
        <v>70</v>
      </c>
      <c r="D79" s="22" t="s">
        <v>245</v>
      </c>
      <c r="E79" s="21" t="s">
        <v>246</v>
      </c>
      <c r="F79" s="22" t="s">
        <v>226</v>
      </c>
      <c r="G79" s="23" t="e">
        <f t="array" aca="1" ref="G79" ca="1">_xludf.XLOOKUP(D79,'KPS #48'!D:D,'KPS #48'!G:G,0)</f>
        <v>#NAME?</v>
      </c>
      <c r="H79" s="22" t="e">
        <f t="array" aca="1" ref="H79" ca="1">_xludf.XLOOKUP(D79,'KPS #48'!D:D,'KPS #48'!H:H,0)</f>
        <v>#NAME?</v>
      </c>
      <c r="I79" s="22" t="e">
        <f t="shared" ca="1" si="3"/>
        <v>#NAME?</v>
      </c>
      <c r="J79" s="26" t="e">
        <f t="array" aca="1" ref="J79" ca="1">_xludf.XLOOKUP(D79,'KPS #48'!D:D,'KPS #48'!J:J,0)</f>
        <v>#NAME?</v>
      </c>
      <c r="K79" s="25" t="e">
        <f t="shared" ca="1" si="4"/>
        <v>#NAME?</v>
      </c>
      <c r="L79" s="24" t="e">
        <f t="array" aca="1" ref="L79" ca="1">_xludf.XLOOKUP(D79,'KPS #48'!D:D,'KPS #48'!L:L,0)</f>
        <v>#NAME?</v>
      </c>
      <c r="M79" s="25" t="e">
        <f t="shared" ca="1" si="5"/>
        <v>#NAME?</v>
      </c>
      <c r="N79" s="24" t="e">
        <f t="array" aca="1" ref="N79" ca="1">_xludf.XLOOKUP(D79,'KPS #48'!D:D,'KPS #48'!N:N,0)</f>
        <v>#NAME?</v>
      </c>
      <c r="O79" s="25" t="e">
        <f t="shared" ca="1" si="6"/>
        <v>#NAME?</v>
      </c>
      <c r="P79" s="26" t="e">
        <f t="array" aca="1" ref="P79" ca="1">_xludf.XLOOKUP(D79,'KPS #48'!D:D,'KPS #48'!P:P,0)</f>
        <v>#NAME?</v>
      </c>
      <c r="Q79" s="25" t="e">
        <f t="shared" ca="1" si="7"/>
        <v>#NAME?</v>
      </c>
      <c r="R79" s="26" t="e">
        <f t="array" aca="1" ref="R79" ca="1">_xludf.XLOOKUP(D79,'KPS #48'!D:D,'KPS #48'!R:R,0)</f>
        <v>#NAME?</v>
      </c>
      <c r="S79" s="25" t="e">
        <f t="shared" ca="1" si="8"/>
        <v>#NAME?</v>
      </c>
      <c r="T79" s="26" t="e">
        <f t="array" aca="1" ref="T79" ca="1">_xludf.XLOOKUP(D79,'KPS #48'!D:D,'KPS #48'!T:T,0)</f>
        <v>#NAME?</v>
      </c>
      <c r="U79" s="25" t="e">
        <f t="shared" ca="1" si="9"/>
        <v>#NAME?</v>
      </c>
      <c r="V79" s="26" t="e">
        <f t="array" aca="1" ref="V79" ca="1">_xludf.XLOOKUP(D79,'KPS #48'!D:D,'KPS #48'!V:V,0)</f>
        <v>#NAME?</v>
      </c>
      <c r="W79" s="25" t="e">
        <f t="shared" ca="1" si="10"/>
        <v>#NAME?</v>
      </c>
      <c r="X79" s="27" t="e">
        <f t="shared" ref="X79:Y79" ca="1" si="89">SUM(V79,T79,R79,P79,N79,L79,J79)</f>
        <v>#NAME?</v>
      </c>
      <c r="Y79" s="28" t="e">
        <f t="shared" ca="1" si="89"/>
        <v>#NAME?</v>
      </c>
      <c r="Z79" s="22"/>
      <c r="AA79" s="29" t="e">
        <f ca="1">X79*IFERROR(VLOOKUP(D79,'Brand List'!$B:$D,3,0),0)</f>
        <v>#NAME?</v>
      </c>
      <c r="AB79" s="29" t="e">
        <f ca="1">H79*IFERROR(VLOOKUP(D79,'Brand List'!$B:$D,3,0),0)</f>
        <v>#NAME?</v>
      </c>
      <c r="AC79" s="29" t="e">
        <f t="shared" ca="1" si="12"/>
        <v>#NAME?</v>
      </c>
      <c r="AD79" s="2">
        <f>_xlfn.XLOOKUP(D79,[1]Summary!$E:$E,[1]Summary!$L:$L,0)</f>
        <v>0</v>
      </c>
      <c r="AE79" s="5" t="e">
        <f t="shared" ca="1" si="13"/>
        <v>#NAME?</v>
      </c>
    </row>
    <row r="80" spans="1:31" ht="14.25" customHeight="1">
      <c r="A80" s="20" t="str">
        <f t="shared" si="88"/>
        <v>DFB20</v>
      </c>
      <c r="B80" s="21" t="s">
        <v>222</v>
      </c>
      <c r="C80" s="22" t="s">
        <v>56</v>
      </c>
      <c r="D80" s="22" t="s">
        <v>247</v>
      </c>
      <c r="E80" s="21" t="s">
        <v>248</v>
      </c>
      <c r="F80" s="22" t="s">
        <v>226</v>
      </c>
      <c r="G80" s="23" t="e">
        <f t="array" aca="1" ref="G80" ca="1">_xludf.XLOOKUP(D80,'KPS #48'!D:D,'KPS #48'!G:G,0)</f>
        <v>#NAME?</v>
      </c>
      <c r="H80" s="22" t="e">
        <f t="array" aca="1" ref="H80" ca="1">_xludf.XLOOKUP(D80,'KPS #48'!D:D,'KPS #48'!H:H,0)</f>
        <v>#NAME?</v>
      </c>
      <c r="I80" s="22" t="e">
        <f t="shared" ca="1" si="3"/>
        <v>#NAME?</v>
      </c>
      <c r="J80" s="46" t="e">
        <f t="array" aca="1" ref="J80" ca="1">_xludf.XLOOKUP(D80,'KPS #48'!D:D,'KPS #48'!J:J,0)</f>
        <v>#NAME?</v>
      </c>
      <c r="K80" s="47" t="e">
        <f t="shared" ca="1" si="4"/>
        <v>#NAME?</v>
      </c>
      <c r="L80" s="48" t="e">
        <f t="array" aca="1" ref="L80" ca="1">_xludf.XLOOKUP(D80,'KPS #48'!D:D,'KPS #48'!L:L,0)</f>
        <v>#NAME?</v>
      </c>
      <c r="M80" s="47" t="e">
        <f t="shared" ca="1" si="5"/>
        <v>#NAME?</v>
      </c>
      <c r="N80" s="24" t="e">
        <f t="array" aca="1" ref="N80" ca="1">_xludf.XLOOKUP(D80,'KPS #48'!D:D,'KPS #48'!N:N,0)</f>
        <v>#NAME?</v>
      </c>
      <c r="O80" s="25" t="e">
        <f t="shared" ca="1" si="6"/>
        <v>#NAME?</v>
      </c>
      <c r="P80" s="26" t="e">
        <f t="array" aca="1" ref="P80" ca="1">_xludf.XLOOKUP(D80,'KPS #48'!D:D,'KPS #48'!P:P,0)</f>
        <v>#NAME?</v>
      </c>
      <c r="Q80" s="25" t="e">
        <f t="shared" ca="1" si="7"/>
        <v>#NAME?</v>
      </c>
      <c r="R80" s="26" t="e">
        <f t="array" aca="1" ref="R80" ca="1">_xludf.XLOOKUP(D80,'KPS #48'!D:D,'KPS #48'!R:R,0)</f>
        <v>#NAME?</v>
      </c>
      <c r="S80" s="25" t="e">
        <f t="shared" ca="1" si="8"/>
        <v>#NAME?</v>
      </c>
      <c r="T80" s="26" t="e">
        <f t="array" aca="1" ref="T80" ca="1">_xludf.XLOOKUP(D80,'KPS #48'!D:D,'KPS #48'!T:T,0)</f>
        <v>#NAME?</v>
      </c>
      <c r="U80" s="25" t="e">
        <f t="shared" ca="1" si="9"/>
        <v>#NAME?</v>
      </c>
      <c r="V80" s="26" t="e">
        <f t="array" aca="1" ref="V80" ca="1">_xludf.XLOOKUP(D80,'KPS #48'!D:D,'KPS #48'!V:V,0)</f>
        <v>#NAME?</v>
      </c>
      <c r="W80" s="25" t="e">
        <f t="shared" ca="1" si="10"/>
        <v>#NAME?</v>
      </c>
      <c r="X80" s="27" t="e">
        <f t="shared" ref="X80:Y80" ca="1" si="90">SUM(V80,T80,R80,P80,N80,L80,J80)</f>
        <v>#NAME?</v>
      </c>
      <c r="Y80" s="28" t="e">
        <f t="shared" ca="1" si="90"/>
        <v>#NAME?</v>
      </c>
      <c r="Z80" s="22" t="s">
        <v>249</v>
      </c>
      <c r="AA80" s="29" t="e">
        <f ca="1">X80*IFERROR(VLOOKUP(D80,'Brand List'!$B:$D,3,0),0)</f>
        <v>#NAME?</v>
      </c>
      <c r="AB80" s="29" t="e">
        <f ca="1">H80*IFERROR(VLOOKUP(D80,'Brand List'!$B:$D,3,0),0)</f>
        <v>#NAME?</v>
      </c>
      <c r="AC80" s="29" t="e">
        <f t="shared" ca="1" si="12"/>
        <v>#NAME?</v>
      </c>
      <c r="AD80" s="2">
        <f>_xlfn.XLOOKUP(D80,[1]Summary!$E:$E,[1]Summary!$L:$L,0)</f>
        <v>0</v>
      </c>
      <c r="AE80" s="5" t="e">
        <f t="shared" ca="1" si="13"/>
        <v>#NAME?</v>
      </c>
    </row>
    <row r="81" spans="1:31" ht="14.25" customHeight="1">
      <c r="A81" s="20" t="str">
        <f t="shared" si="88"/>
        <v>DFI12</v>
      </c>
      <c r="B81" s="21" t="s">
        <v>222</v>
      </c>
      <c r="C81" s="22" t="s">
        <v>70</v>
      </c>
      <c r="D81" s="22" t="s">
        <v>250</v>
      </c>
      <c r="E81" s="21" t="s">
        <v>251</v>
      </c>
      <c r="F81" s="22" t="s">
        <v>226</v>
      </c>
      <c r="G81" s="23" t="e">
        <f t="array" aca="1" ref="G81" ca="1">_xludf.XLOOKUP(D81,'KPS #48'!D:D,'KPS #48'!G:G,0)</f>
        <v>#NAME?</v>
      </c>
      <c r="H81" s="22" t="e">
        <f t="array" aca="1" ref="H81" ca="1">_xludf.XLOOKUP(D81,'KPS #48'!D:D,'KPS #48'!H:H,0)</f>
        <v>#NAME?</v>
      </c>
      <c r="I81" s="22" t="e">
        <f t="shared" ca="1" si="3"/>
        <v>#NAME?</v>
      </c>
      <c r="J81" s="26" t="e">
        <f t="array" aca="1" ref="J81" ca="1">_xludf.XLOOKUP(D81,'KPS #48'!D:D,'KPS #48'!J:J,0)</f>
        <v>#NAME?</v>
      </c>
      <c r="K81" s="25" t="e">
        <f t="shared" ca="1" si="4"/>
        <v>#NAME?</v>
      </c>
      <c r="L81" s="24" t="e">
        <f t="array" aca="1" ref="L81" ca="1">_xludf.XLOOKUP(D81,'KPS #48'!D:D,'KPS #48'!L:L,0)</f>
        <v>#NAME?</v>
      </c>
      <c r="M81" s="25" t="e">
        <f t="shared" ca="1" si="5"/>
        <v>#NAME?</v>
      </c>
      <c r="N81" s="24" t="e">
        <f t="array" aca="1" ref="N81" ca="1">_xludf.XLOOKUP(D81,'KPS #48'!D:D,'KPS #48'!N:N,0)</f>
        <v>#NAME?</v>
      </c>
      <c r="O81" s="25" t="e">
        <f t="shared" ca="1" si="6"/>
        <v>#NAME?</v>
      </c>
      <c r="P81" s="26" t="e">
        <f t="array" aca="1" ref="P81" ca="1">_xludf.XLOOKUP(D81,'KPS #48'!D:D,'KPS #48'!P:P,0)</f>
        <v>#NAME?</v>
      </c>
      <c r="Q81" s="25" t="e">
        <f t="shared" ca="1" si="7"/>
        <v>#NAME?</v>
      </c>
      <c r="R81" s="26" t="e">
        <f t="array" aca="1" ref="R81" ca="1">_xludf.XLOOKUP(D81,'KPS #48'!D:D,'KPS #48'!R:R,0)</f>
        <v>#NAME?</v>
      </c>
      <c r="S81" s="25" t="e">
        <f t="shared" ca="1" si="8"/>
        <v>#NAME?</v>
      </c>
      <c r="T81" s="26" t="e">
        <f t="array" aca="1" ref="T81" ca="1">_xludf.XLOOKUP(D81,'KPS #48'!D:D,'KPS #48'!T:T,0)</f>
        <v>#NAME?</v>
      </c>
      <c r="U81" s="25" t="e">
        <f t="shared" ca="1" si="9"/>
        <v>#NAME?</v>
      </c>
      <c r="V81" s="26" t="e">
        <f t="array" aca="1" ref="V81" ca="1">_xludf.XLOOKUP(D81,'KPS #48'!D:D,'KPS #48'!V:V,0)</f>
        <v>#NAME?</v>
      </c>
      <c r="W81" s="25" t="e">
        <f t="shared" ca="1" si="10"/>
        <v>#NAME?</v>
      </c>
      <c r="X81" s="27" t="e">
        <f t="shared" ref="X81:Y81" ca="1" si="91">SUM(V81,T81,R81,P81,N81,L81,J81)</f>
        <v>#NAME?</v>
      </c>
      <c r="Y81" s="28" t="e">
        <f t="shared" ca="1" si="91"/>
        <v>#NAME?</v>
      </c>
      <c r="Z81" s="22"/>
      <c r="AA81" s="29" t="e">
        <f ca="1">X81*IFERROR(VLOOKUP(D81,'Brand List'!$B:$D,3,0),0)</f>
        <v>#NAME?</v>
      </c>
      <c r="AB81" s="29" t="e">
        <f ca="1">H81*IFERROR(VLOOKUP(D81,'Brand List'!$B:$D,3,0),0)</f>
        <v>#NAME?</v>
      </c>
      <c r="AC81" s="29" t="e">
        <f t="shared" ca="1" si="12"/>
        <v>#NAME?</v>
      </c>
      <c r="AD81" s="2">
        <f>_xlfn.XLOOKUP(D81,[1]Summary!$E:$E,[1]Summary!$L:$L,0)</f>
        <v>0</v>
      </c>
      <c r="AE81" s="5" t="e">
        <f t="shared" ca="1" si="13"/>
        <v>#NAME?</v>
      </c>
    </row>
    <row r="82" spans="1:31" ht="14.25" customHeight="1">
      <c r="A82" s="20" t="str">
        <f t="shared" si="88"/>
        <v>DFI16</v>
      </c>
      <c r="B82" s="21" t="s">
        <v>222</v>
      </c>
      <c r="C82" s="22" t="s">
        <v>76</v>
      </c>
      <c r="D82" s="22" t="s">
        <v>252</v>
      </c>
      <c r="E82" s="21" t="s">
        <v>253</v>
      </c>
      <c r="F82" s="22" t="s">
        <v>226</v>
      </c>
      <c r="G82" s="23" t="e">
        <f t="array" aca="1" ref="G82" ca="1">_xludf.XLOOKUP(D82,'KPS #48'!D:D,'KPS #48'!G:G,0)</f>
        <v>#NAME?</v>
      </c>
      <c r="H82" s="22" t="e">
        <f t="array" aca="1" ref="H82" ca="1">_xludf.XLOOKUP(D82,'KPS #48'!D:D,'KPS #48'!H:H,0)</f>
        <v>#NAME?</v>
      </c>
      <c r="I82" s="22" t="e">
        <f t="shared" ca="1" si="3"/>
        <v>#NAME?</v>
      </c>
      <c r="J82" s="26" t="e">
        <f t="array" aca="1" ref="J82" ca="1">_xludf.XLOOKUP(D82,'KPS #48'!D:D,'KPS #48'!J:J,0)</f>
        <v>#NAME?</v>
      </c>
      <c r="K82" s="25" t="e">
        <f t="shared" ca="1" si="4"/>
        <v>#NAME?</v>
      </c>
      <c r="L82" s="24" t="e">
        <f t="array" aca="1" ref="L82" ca="1">_xludf.XLOOKUP(D82,'KPS #48'!D:D,'KPS #48'!L:L,0)</f>
        <v>#NAME?</v>
      </c>
      <c r="M82" s="25" t="e">
        <f t="shared" ca="1" si="5"/>
        <v>#NAME?</v>
      </c>
      <c r="N82" s="24" t="e">
        <f t="array" aca="1" ref="N82" ca="1">_xludf.XLOOKUP(D82,'KPS #48'!D:D,'KPS #48'!N:N,0)</f>
        <v>#NAME?</v>
      </c>
      <c r="O82" s="25" t="e">
        <f t="shared" ca="1" si="6"/>
        <v>#NAME?</v>
      </c>
      <c r="P82" s="26" t="e">
        <f t="array" aca="1" ref="P82" ca="1">_xludf.XLOOKUP(D82,'KPS #48'!D:D,'KPS #48'!P:P,0)</f>
        <v>#NAME?</v>
      </c>
      <c r="Q82" s="25" t="e">
        <f t="shared" ca="1" si="7"/>
        <v>#NAME?</v>
      </c>
      <c r="R82" s="26" t="e">
        <f t="array" aca="1" ref="R82" ca="1">_xludf.XLOOKUP(D82,'KPS #48'!D:D,'KPS #48'!R:R,0)</f>
        <v>#NAME?</v>
      </c>
      <c r="S82" s="25" t="e">
        <f t="shared" ca="1" si="8"/>
        <v>#NAME?</v>
      </c>
      <c r="T82" s="26" t="e">
        <f t="array" aca="1" ref="T82" ca="1">_xludf.XLOOKUP(D82,'KPS #48'!D:D,'KPS #48'!T:T,0)</f>
        <v>#NAME?</v>
      </c>
      <c r="U82" s="25" t="e">
        <f t="shared" ca="1" si="9"/>
        <v>#NAME?</v>
      </c>
      <c r="V82" s="26" t="e">
        <f t="array" aca="1" ref="V82" ca="1">_xludf.XLOOKUP(D82,'KPS #48'!D:D,'KPS #48'!V:V,0)</f>
        <v>#NAME?</v>
      </c>
      <c r="W82" s="25" t="e">
        <f t="shared" ca="1" si="10"/>
        <v>#NAME?</v>
      </c>
      <c r="X82" s="27" t="e">
        <f t="shared" ref="X82:Y82" ca="1" si="92">SUM(V82,T82,R82,P82,N82,L82,J82)</f>
        <v>#NAME?</v>
      </c>
      <c r="Y82" s="28" t="e">
        <f t="shared" ca="1" si="92"/>
        <v>#NAME?</v>
      </c>
      <c r="Z82" s="22"/>
      <c r="AA82" s="29" t="e">
        <f ca="1">X82*IFERROR(VLOOKUP(D82,'Brand List'!$B:$D,3,0),0)</f>
        <v>#NAME?</v>
      </c>
      <c r="AB82" s="29" t="e">
        <f ca="1">H82*IFERROR(VLOOKUP(D82,'Brand List'!$B:$D,3,0),0)</f>
        <v>#NAME?</v>
      </c>
      <c r="AC82" s="29" t="e">
        <f t="shared" ca="1" si="12"/>
        <v>#NAME?</v>
      </c>
      <c r="AD82" s="2">
        <f>_xlfn.XLOOKUP(D82,[1]Summary!$E:$E,[1]Summary!$L:$L,0)</f>
        <v>0</v>
      </c>
      <c r="AE82" s="5" t="e">
        <f t="shared" ca="1" si="13"/>
        <v>#NAME?</v>
      </c>
    </row>
    <row r="83" spans="1:31" ht="14.25" customHeight="1">
      <c r="A83" s="20" t="str">
        <f t="shared" si="88"/>
        <v>VTX16</v>
      </c>
      <c r="B83" s="21" t="s">
        <v>222</v>
      </c>
      <c r="C83" s="22" t="s">
        <v>63</v>
      </c>
      <c r="D83" s="22" t="s">
        <v>254</v>
      </c>
      <c r="E83" s="21" t="s">
        <v>255</v>
      </c>
      <c r="F83" s="22" t="s">
        <v>226</v>
      </c>
      <c r="G83" s="23" t="e">
        <f t="array" aca="1" ref="G83" ca="1">_xludf.XLOOKUP(D83,'KPS #48'!D:D,'KPS #48'!G:G,0)</f>
        <v>#NAME?</v>
      </c>
      <c r="H83" s="22" t="e">
        <f t="array" aca="1" ref="H83" ca="1">_xludf.XLOOKUP(D83,'KPS #48'!D:D,'KPS #48'!H:H,0)</f>
        <v>#NAME?</v>
      </c>
      <c r="I83" s="22" t="e">
        <f t="shared" ca="1" si="3"/>
        <v>#NAME?</v>
      </c>
      <c r="J83" s="26" t="e">
        <f t="array" aca="1" ref="J83" ca="1">_xludf.XLOOKUP(D83,'KPS #48'!D:D,'KPS #48'!J:J,0)</f>
        <v>#NAME?</v>
      </c>
      <c r="K83" s="25" t="e">
        <f t="shared" ca="1" si="4"/>
        <v>#NAME?</v>
      </c>
      <c r="L83" s="24" t="e">
        <f t="array" aca="1" ref="L83" ca="1">_xludf.XLOOKUP(D83,'KPS #48'!D:D,'KPS #48'!L:L,0)</f>
        <v>#NAME?</v>
      </c>
      <c r="M83" s="25" t="e">
        <f t="shared" ca="1" si="5"/>
        <v>#NAME?</v>
      </c>
      <c r="N83" s="24" t="e">
        <f t="array" aca="1" ref="N83" ca="1">_xludf.XLOOKUP(D83,'KPS #48'!D:D,'KPS #48'!N:N,0)</f>
        <v>#NAME?</v>
      </c>
      <c r="O83" s="25" t="e">
        <f t="shared" ca="1" si="6"/>
        <v>#NAME?</v>
      </c>
      <c r="P83" s="26" t="e">
        <f t="array" aca="1" ref="P83" ca="1">_xludf.XLOOKUP(D83,'KPS #48'!D:D,'KPS #48'!P:P,0)</f>
        <v>#NAME?</v>
      </c>
      <c r="Q83" s="25" t="e">
        <f t="shared" ca="1" si="7"/>
        <v>#NAME?</v>
      </c>
      <c r="R83" s="26" t="e">
        <f t="array" aca="1" ref="R83" ca="1">_xludf.XLOOKUP(D83,'KPS #48'!D:D,'KPS #48'!R:R,0)</f>
        <v>#NAME?</v>
      </c>
      <c r="S83" s="25" t="e">
        <f t="shared" ca="1" si="8"/>
        <v>#NAME?</v>
      </c>
      <c r="T83" s="26" t="e">
        <f t="array" aca="1" ref="T83" ca="1">_xludf.XLOOKUP(D83,'KPS #48'!D:D,'KPS #48'!T:T,0)</f>
        <v>#NAME?</v>
      </c>
      <c r="U83" s="25" t="e">
        <f t="shared" ca="1" si="9"/>
        <v>#NAME?</v>
      </c>
      <c r="V83" s="26" t="e">
        <f t="array" aca="1" ref="V83" ca="1">_xludf.XLOOKUP(D83,'KPS #48'!D:D,'KPS #48'!V:V,0)</f>
        <v>#NAME?</v>
      </c>
      <c r="W83" s="25" t="e">
        <f t="shared" ca="1" si="10"/>
        <v>#NAME?</v>
      </c>
      <c r="X83" s="27" t="e">
        <f t="shared" ref="X83:Y83" ca="1" si="93">SUM(V83,T83,R83,P83,N83,L83,J83)</f>
        <v>#NAME?</v>
      </c>
      <c r="Y83" s="28" t="e">
        <f t="shared" ca="1" si="93"/>
        <v>#NAME?</v>
      </c>
      <c r="Z83" s="22"/>
      <c r="AA83" s="29" t="e">
        <f ca="1">X83*IFERROR(VLOOKUP(D83,'Brand List'!$B:$D,3,0),0)</f>
        <v>#NAME?</v>
      </c>
      <c r="AB83" s="29" t="e">
        <f ca="1">H83*IFERROR(VLOOKUP(D83,'Brand List'!$B:$D,3,0),0)</f>
        <v>#NAME?</v>
      </c>
      <c r="AC83" s="29" t="e">
        <f t="shared" ca="1" si="12"/>
        <v>#NAME?</v>
      </c>
      <c r="AD83" s="2">
        <f>_xlfn.XLOOKUP(D83,[1]Summary!$E:$E,[1]Summary!$L:$L,0)</f>
        <v>0</v>
      </c>
      <c r="AE83" s="5" t="e">
        <f t="shared" ca="1" si="13"/>
        <v>#NAME?</v>
      </c>
    </row>
    <row r="84" spans="1:31" ht="14.25" customHeight="1">
      <c r="A84" s="20" t="str">
        <f t="shared" si="88"/>
        <v>TEH12</v>
      </c>
      <c r="B84" s="21" t="s">
        <v>222</v>
      </c>
      <c r="C84" s="22" t="s">
        <v>24</v>
      </c>
      <c r="D84" s="22" t="s">
        <v>256</v>
      </c>
      <c r="E84" s="21" t="s">
        <v>257</v>
      </c>
      <c r="F84" s="22" t="s">
        <v>226</v>
      </c>
      <c r="G84" s="23" t="e">
        <f t="array" aca="1" ref="G84" ca="1">_xludf.XLOOKUP(D84,'KPS #48'!D:D,'KPS #48'!G:G,0)</f>
        <v>#NAME?</v>
      </c>
      <c r="H84" s="22" t="e">
        <f t="array" aca="1" ref="H84" ca="1">_xludf.XLOOKUP(D84,'KPS #48'!D:D,'KPS #48'!H:H,0)</f>
        <v>#NAME?</v>
      </c>
      <c r="I84" s="22" t="e">
        <f t="shared" ca="1" si="3"/>
        <v>#NAME?</v>
      </c>
      <c r="J84" s="26" t="e">
        <f t="array" aca="1" ref="J84" ca="1">_xludf.XLOOKUP(D84,'KPS #48'!D:D,'KPS #48'!J:J,0)</f>
        <v>#NAME?</v>
      </c>
      <c r="K84" s="25" t="e">
        <f t="shared" ca="1" si="4"/>
        <v>#NAME?</v>
      </c>
      <c r="L84" s="24" t="e">
        <f t="array" aca="1" ref="L84" ca="1">_xludf.XLOOKUP(D84,'KPS #48'!D:D,'KPS #48'!L:L,0)</f>
        <v>#NAME?</v>
      </c>
      <c r="M84" s="25" t="e">
        <f t="shared" ca="1" si="5"/>
        <v>#NAME?</v>
      </c>
      <c r="N84" s="24" t="e">
        <f t="array" aca="1" ref="N84" ca="1">_xludf.XLOOKUP(D84,'KPS #48'!D:D,'KPS #48'!N:N,0)</f>
        <v>#NAME?</v>
      </c>
      <c r="O84" s="25" t="e">
        <f t="shared" ca="1" si="6"/>
        <v>#NAME?</v>
      </c>
      <c r="P84" s="26" t="e">
        <f t="array" aca="1" ref="P84" ca="1">_xludf.XLOOKUP(D84,'KPS #48'!D:D,'KPS #48'!P:P,0)</f>
        <v>#NAME?</v>
      </c>
      <c r="Q84" s="25" t="e">
        <f t="shared" ca="1" si="7"/>
        <v>#NAME?</v>
      </c>
      <c r="R84" s="26" t="e">
        <f t="array" aca="1" ref="R84" ca="1">_xludf.XLOOKUP(D84,'KPS #48'!D:D,'KPS #48'!R:R,0)</f>
        <v>#NAME?</v>
      </c>
      <c r="S84" s="25" t="e">
        <f t="shared" ca="1" si="8"/>
        <v>#NAME?</v>
      </c>
      <c r="T84" s="26" t="e">
        <f t="array" aca="1" ref="T84" ca="1">_xludf.XLOOKUP(D84,'KPS #48'!D:D,'KPS #48'!T:T,0)</f>
        <v>#NAME?</v>
      </c>
      <c r="U84" s="25" t="e">
        <f t="shared" ca="1" si="9"/>
        <v>#NAME?</v>
      </c>
      <c r="V84" s="26" t="e">
        <f t="array" aca="1" ref="V84" ca="1">_xludf.XLOOKUP(D84,'KPS #48'!D:D,'KPS #48'!V:V,0)</f>
        <v>#NAME?</v>
      </c>
      <c r="W84" s="25" t="e">
        <f t="shared" ca="1" si="10"/>
        <v>#NAME?</v>
      </c>
      <c r="X84" s="27" t="e">
        <f t="shared" ref="X84:Y84" ca="1" si="94">SUM(V84,T84,R84,P84,N84,L84,J84)</f>
        <v>#NAME?</v>
      </c>
      <c r="Y84" s="28" t="e">
        <f t="shared" ca="1" si="94"/>
        <v>#NAME?</v>
      </c>
      <c r="Z84" s="22"/>
      <c r="AA84" s="29" t="e">
        <f ca="1">X84*IFERROR(VLOOKUP(D84,'Brand List'!$B:$D,3,0),0)</f>
        <v>#NAME?</v>
      </c>
      <c r="AB84" s="29" t="e">
        <f ca="1">H84*IFERROR(VLOOKUP(D84,'Brand List'!$B:$D,3,0),0)</f>
        <v>#NAME?</v>
      </c>
      <c r="AC84" s="29" t="e">
        <f t="shared" ca="1" si="12"/>
        <v>#NAME?</v>
      </c>
      <c r="AD84" s="2">
        <f>_xlfn.XLOOKUP(D84,[1]Summary!$E:$E,[1]Summary!$L:$L,0)</f>
        <v>0</v>
      </c>
      <c r="AE84" s="5" t="e">
        <f t="shared" ca="1" si="13"/>
        <v>#NAME?</v>
      </c>
    </row>
    <row r="85" spans="1:31" ht="14.25" customHeight="1">
      <c r="A85" s="20" t="str">
        <f t="shared" si="88"/>
        <v>TEK12</v>
      </c>
      <c r="B85" s="21" t="s">
        <v>222</v>
      </c>
      <c r="C85" s="22" t="s">
        <v>24</v>
      </c>
      <c r="D85" s="22" t="s">
        <v>258</v>
      </c>
      <c r="E85" s="21" t="s">
        <v>259</v>
      </c>
      <c r="F85" s="22" t="s">
        <v>226</v>
      </c>
      <c r="G85" s="23" t="e">
        <f t="array" aca="1" ref="G85" ca="1">_xludf.XLOOKUP(D85,'KPS #48'!D:D,'KPS #48'!G:G,0)</f>
        <v>#NAME?</v>
      </c>
      <c r="H85" s="22" t="e">
        <f t="array" aca="1" ref="H85" ca="1">_xludf.XLOOKUP(D85,'KPS #48'!D:D,'KPS #48'!H:H,0)</f>
        <v>#NAME?</v>
      </c>
      <c r="I85" s="22" t="e">
        <f t="shared" ca="1" si="3"/>
        <v>#NAME?</v>
      </c>
      <c r="J85" s="26" t="e">
        <f t="array" aca="1" ref="J85" ca="1">_xludf.XLOOKUP(D85,'KPS #48'!D:D,'KPS #48'!J:J,0)</f>
        <v>#NAME?</v>
      </c>
      <c r="K85" s="25" t="e">
        <f t="shared" ca="1" si="4"/>
        <v>#NAME?</v>
      </c>
      <c r="L85" s="24" t="e">
        <f t="array" aca="1" ref="L85" ca="1">_xludf.XLOOKUP(D85,'KPS #48'!D:D,'KPS #48'!L:L,0)</f>
        <v>#NAME?</v>
      </c>
      <c r="M85" s="25" t="e">
        <f t="shared" ca="1" si="5"/>
        <v>#NAME?</v>
      </c>
      <c r="N85" s="24" t="e">
        <f t="array" aca="1" ref="N85" ca="1">_xludf.XLOOKUP(D85,'KPS #48'!D:D,'KPS #48'!N:N,0)</f>
        <v>#NAME?</v>
      </c>
      <c r="O85" s="25" t="e">
        <f t="shared" ca="1" si="6"/>
        <v>#NAME?</v>
      </c>
      <c r="P85" s="26" t="e">
        <f t="array" aca="1" ref="P85" ca="1">_xludf.XLOOKUP(D85,'KPS #48'!D:D,'KPS #48'!P:P,0)</f>
        <v>#NAME?</v>
      </c>
      <c r="Q85" s="25" t="e">
        <f t="shared" ca="1" si="7"/>
        <v>#NAME?</v>
      </c>
      <c r="R85" s="26" t="e">
        <f t="array" aca="1" ref="R85" ca="1">_xludf.XLOOKUP(D85,'KPS #48'!D:D,'KPS #48'!R:R,0)</f>
        <v>#NAME?</v>
      </c>
      <c r="S85" s="25" t="e">
        <f t="shared" ca="1" si="8"/>
        <v>#NAME?</v>
      </c>
      <c r="T85" s="26" t="e">
        <f t="array" aca="1" ref="T85" ca="1">_xludf.XLOOKUP(D85,'KPS #48'!D:D,'KPS #48'!T:T,0)</f>
        <v>#NAME?</v>
      </c>
      <c r="U85" s="25" t="e">
        <f t="shared" ca="1" si="9"/>
        <v>#NAME?</v>
      </c>
      <c r="V85" s="26" t="e">
        <f t="array" aca="1" ref="V85" ca="1">_xludf.XLOOKUP(D85,'KPS #48'!D:D,'KPS #48'!V:V,0)</f>
        <v>#NAME?</v>
      </c>
      <c r="W85" s="25" t="e">
        <f t="shared" ca="1" si="10"/>
        <v>#NAME?</v>
      </c>
      <c r="X85" s="27" t="e">
        <f t="shared" ref="X85:Y85" ca="1" si="95">SUM(V85,T85,R85,P85,N85,L85,J85)</f>
        <v>#NAME?</v>
      </c>
      <c r="Y85" s="28" t="e">
        <f t="shared" ca="1" si="95"/>
        <v>#NAME?</v>
      </c>
      <c r="Z85" s="22"/>
      <c r="AA85" s="29" t="e">
        <f ca="1">X85*IFERROR(VLOOKUP(D85,'Brand List'!$B:$D,3,0),0)</f>
        <v>#NAME?</v>
      </c>
      <c r="AB85" s="29" t="e">
        <f ca="1">H85*IFERROR(VLOOKUP(D85,'Brand List'!$B:$D,3,0),0)</f>
        <v>#NAME?</v>
      </c>
      <c r="AC85" s="29" t="e">
        <f t="shared" ca="1" si="12"/>
        <v>#NAME?</v>
      </c>
      <c r="AD85" s="2">
        <f>_xlfn.XLOOKUP(D85,[1]Summary!$E:$E,[1]Summary!$L:$L,0)</f>
        <v>0</v>
      </c>
      <c r="AE85" s="5" t="e">
        <f t="shared" ca="1" si="13"/>
        <v>#NAME?</v>
      </c>
    </row>
    <row r="86" spans="1:31" ht="14.25" customHeight="1">
      <c r="A86" s="20" t="str">
        <f t="shared" si="88"/>
        <v>TEK16</v>
      </c>
      <c r="B86" s="21" t="s">
        <v>222</v>
      </c>
      <c r="C86" s="22" t="s">
        <v>95</v>
      </c>
      <c r="D86" s="22" t="s">
        <v>260</v>
      </c>
      <c r="E86" s="21" t="s">
        <v>261</v>
      </c>
      <c r="F86" s="22" t="s">
        <v>226</v>
      </c>
      <c r="G86" s="23" t="e">
        <f t="array" aca="1" ref="G86" ca="1">_xludf.XLOOKUP(D86,'KPS #48'!D:D,'KPS #48'!G:G,0)</f>
        <v>#NAME?</v>
      </c>
      <c r="H86" s="22" t="e">
        <f t="array" aca="1" ref="H86" ca="1">_xludf.XLOOKUP(D86,'KPS #48'!D:D,'KPS #48'!H:H,0)</f>
        <v>#NAME?</v>
      </c>
      <c r="I86" s="22" t="e">
        <f t="shared" ca="1" si="3"/>
        <v>#NAME?</v>
      </c>
      <c r="J86" s="26" t="e">
        <f t="array" aca="1" ref="J86" ca="1">_xludf.XLOOKUP(D86,'KPS #48'!D:D,'KPS #48'!J:J,0)</f>
        <v>#NAME?</v>
      </c>
      <c r="K86" s="25" t="e">
        <f t="shared" ca="1" si="4"/>
        <v>#NAME?</v>
      </c>
      <c r="L86" s="24" t="e">
        <f t="array" aca="1" ref="L86" ca="1">_xludf.XLOOKUP(D86,'KPS #48'!D:D,'KPS #48'!L:L,0)</f>
        <v>#NAME?</v>
      </c>
      <c r="M86" s="25" t="e">
        <f t="shared" ca="1" si="5"/>
        <v>#NAME?</v>
      </c>
      <c r="N86" s="24" t="e">
        <f t="array" aca="1" ref="N86" ca="1">_xludf.XLOOKUP(D86,'KPS #48'!D:D,'KPS #48'!N:N,0)</f>
        <v>#NAME?</v>
      </c>
      <c r="O86" s="25" t="e">
        <f t="shared" ca="1" si="6"/>
        <v>#NAME?</v>
      </c>
      <c r="P86" s="26" t="e">
        <f t="array" aca="1" ref="P86" ca="1">_xludf.XLOOKUP(D86,'KPS #48'!D:D,'KPS #48'!P:P,0)</f>
        <v>#NAME?</v>
      </c>
      <c r="Q86" s="25" t="e">
        <f t="shared" ca="1" si="7"/>
        <v>#NAME?</v>
      </c>
      <c r="R86" s="26" t="e">
        <f t="array" aca="1" ref="R86" ca="1">_xludf.XLOOKUP(D86,'KPS #48'!D:D,'KPS #48'!R:R,0)</f>
        <v>#NAME?</v>
      </c>
      <c r="S86" s="25" t="e">
        <f t="shared" ca="1" si="8"/>
        <v>#NAME?</v>
      </c>
      <c r="T86" s="26" t="e">
        <f t="array" aca="1" ref="T86" ca="1">_xludf.XLOOKUP(D86,'KPS #48'!D:D,'KPS #48'!T:T,0)</f>
        <v>#NAME?</v>
      </c>
      <c r="U86" s="25" t="e">
        <f t="shared" ca="1" si="9"/>
        <v>#NAME?</v>
      </c>
      <c r="V86" s="26" t="e">
        <f t="array" aca="1" ref="V86" ca="1">_xludf.XLOOKUP(D86,'KPS #48'!D:D,'KPS #48'!V:V,0)</f>
        <v>#NAME?</v>
      </c>
      <c r="W86" s="25" t="e">
        <f t="shared" ca="1" si="10"/>
        <v>#NAME?</v>
      </c>
      <c r="X86" s="27" t="e">
        <f t="shared" ref="X86:Y86" ca="1" si="96">SUM(V86,T86,R86,P86,N86,L86,J86)</f>
        <v>#NAME?</v>
      </c>
      <c r="Y86" s="28" t="e">
        <f t="shared" ca="1" si="96"/>
        <v>#NAME?</v>
      </c>
      <c r="Z86" s="22"/>
      <c r="AA86" s="29" t="e">
        <f ca="1">X86*IFERROR(VLOOKUP(D86,'Brand List'!$B:$D,3,0),0)</f>
        <v>#NAME?</v>
      </c>
      <c r="AB86" s="29" t="e">
        <f ca="1">H86*IFERROR(VLOOKUP(D86,'Brand List'!$B:$D,3,0),0)</f>
        <v>#NAME?</v>
      </c>
      <c r="AC86" s="29" t="e">
        <f t="shared" ca="1" si="12"/>
        <v>#NAME?</v>
      </c>
      <c r="AD86" s="2">
        <f>_xlfn.XLOOKUP(D86,[1]Summary!$E:$E,[1]Summary!$L:$L,0)</f>
        <v>0</v>
      </c>
      <c r="AE86" s="5" t="e">
        <f t="shared" ca="1" si="13"/>
        <v>#NAME?</v>
      </c>
    </row>
    <row r="87" spans="1:31" ht="14.25" customHeight="1">
      <c r="A87" s="20" t="str">
        <f t="shared" si="88"/>
        <v>TEM12</v>
      </c>
      <c r="B87" s="21" t="s">
        <v>222</v>
      </c>
      <c r="C87" s="22" t="s">
        <v>24</v>
      </c>
      <c r="D87" s="22" t="s">
        <v>262</v>
      </c>
      <c r="E87" s="21" t="s">
        <v>263</v>
      </c>
      <c r="F87" s="22" t="s">
        <v>226</v>
      </c>
      <c r="G87" s="23" t="e">
        <f t="array" aca="1" ref="G87" ca="1">_xludf.XLOOKUP(D87,'KPS #48'!D:D,'KPS #48'!G:G,0)</f>
        <v>#NAME?</v>
      </c>
      <c r="H87" s="22" t="e">
        <f t="array" aca="1" ref="H87" ca="1">_xludf.XLOOKUP(D87,'KPS #48'!D:D,'KPS #48'!H:H,0)</f>
        <v>#NAME?</v>
      </c>
      <c r="I87" s="22" t="e">
        <f t="shared" ca="1" si="3"/>
        <v>#NAME?</v>
      </c>
      <c r="J87" s="26" t="e">
        <f t="array" aca="1" ref="J87" ca="1">_xludf.XLOOKUP(D87,'KPS #48'!D:D,'KPS #48'!J:J,0)</f>
        <v>#NAME?</v>
      </c>
      <c r="K87" s="25" t="e">
        <f t="shared" ca="1" si="4"/>
        <v>#NAME?</v>
      </c>
      <c r="L87" s="24" t="e">
        <f t="array" aca="1" ref="L87" ca="1">_xludf.XLOOKUP(D87,'KPS #48'!D:D,'KPS #48'!L:L,0)</f>
        <v>#NAME?</v>
      </c>
      <c r="M87" s="25" t="e">
        <f t="shared" ca="1" si="5"/>
        <v>#NAME?</v>
      </c>
      <c r="N87" s="24" t="e">
        <f t="array" aca="1" ref="N87" ca="1">_xludf.XLOOKUP(D87,'KPS #48'!D:D,'KPS #48'!N:N,0)</f>
        <v>#NAME?</v>
      </c>
      <c r="O87" s="25" t="e">
        <f t="shared" ca="1" si="6"/>
        <v>#NAME?</v>
      </c>
      <c r="P87" s="26" t="e">
        <f t="array" aca="1" ref="P87" ca="1">_xludf.XLOOKUP(D87,'KPS #48'!D:D,'KPS #48'!P:P,0)</f>
        <v>#NAME?</v>
      </c>
      <c r="Q87" s="25" t="e">
        <f t="shared" ca="1" si="7"/>
        <v>#NAME?</v>
      </c>
      <c r="R87" s="26" t="e">
        <f t="array" aca="1" ref="R87" ca="1">_xludf.XLOOKUP(D87,'KPS #48'!D:D,'KPS #48'!R:R,0)</f>
        <v>#NAME?</v>
      </c>
      <c r="S87" s="25" t="e">
        <f t="shared" ca="1" si="8"/>
        <v>#NAME?</v>
      </c>
      <c r="T87" s="26" t="e">
        <f t="array" aca="1" ref="T87" ca="1">_xludf.XLOOKUP(D87,'KPS #48'!D:D,'KPS #48'!T:T,0)</f>
        <v>#NAME?</v>
      </c>
      <c r="U87" s="25" t="e">
        <f t="shared" ca="1" si="9"/>
        <v>#NAME?</v>
      </c>
      <c r="V87" s="26" t="e">
        <f t="array" aca="1" ref="V87" ca="1">_xludf.XLOOKUP(D87,'KPS #48'!D:D,'KPS #48'!V:V,0)</f>
        <v>#NAME?</v>
      </c>
      <c r="W87" s="25" t="e">
        <f t="shared" ca="1" si="10"/>
        <v>#NAME?</v>
      </c>
      <c r="X87" s="27" t="e">
        <f t="shared" ref="X87:Y87" ca="1" si="97">SUM(V87,T87,R87,P87,N87,L87,J87)</f>
        <v>#NAME?</v>
      </c>
      <c r="Y87" s="28" t="e">
        <f t="shared" ca="1" si="97"/>
        <v>#NAME?</v>
      </c>
      <c r="Z87" s="22"/>
      <c r="AA87" s="29" t="e">
        <f ca="1">X87*IFERROR(VLOOKUP(D87,'Brand List'!$B:$D,3,0),0)</f>
        <v>#NAME?</v>
      </c>
      <c r="AB87" s="29" t="e">
        <f ca="1">H87*IFERROR(VLOOKUP(D87,'Brand List'!$B:$D,3,0),0)</f>
        <v>#NAME?</v>
      </c>
      <c r="AC87" s="29" t="e">
        <f t="shared" ca="1" si="12"/>
        <v>#NAME?</v>
      </c>
      <c r="AD87" s="2">
        <f>_xlfn.XLOOKUP(D87,[1]Summary!$E:$E,[1]Summary!$L:$L,0)</f>
        <v>0</v>
      </c>
      <c r="AE87" s="5" t="e">
        <f t="shared" ca="1" si="13"/>
        <v>#NAME?</v>
      </c>
    </row>
    <row r="88" spans="1:31" ht="14.25" customHeight="1">
      <c r="A88" s="20" t="str">
        <f t="shared" si="88"/>
        <v>KIT12</v>
      </c>
      <c r="B88" s="21" t="s">
        <v>222</v>
      </c>
      <c r="C88" s="22" t="s">
        <v>24</v>
      </c>
      <c r="D88" s="22" t="s">
        <v>264</v>
      </c>
      <c r="E88" s="21" t="s">
        <v>265</v>
      </c>
      <c r="F88" s="22" t="s">
        <v>226</v>
      </c>
      <c r="G88" s="23" t="e">
        <f t="array" aca="1" ref="G88" ca="1">_xludf.XLOOKUP(D88,'KPS #48'!D:D,'KPS #48'!G:G,0)</f>
        <v>#NAME?</v>
      </c>
      <c r="H88" s="22" t="e">
        <f t="array" aca="1" ref="H88" ca="1">_xludf.XLOOKUP(D88,'KPS #48'!D:D,'KPS #48'!H:H,0)</f>
        <v>#NAME?</v>
      </c>
      <c r="I88" s="22" t="e">
        <f t="shared" ca="1" si="3"/>
        <v>#NAME?</v>
      </c>
      <c r="J88" s="26" t="e">
        <f t="array" aca="1" ref="J88" ca="1">_xludf.XLOOKUP(D88,'KPS #48'!D:D,'KPS #48'!J:J,0)</f>
        <v>#NAME?</v>
      </c>
      <c r="K88" s="25" t="e">
        <f t="shared" ca="1" si="4"/>
        <v>#NAME?</v>
      </c>
      <c r="L88" s="24" t="e">
        <f t="array" aca="1" ref="L88" ca="1">_xludf.XLOOKUP(D88,'KPS #48'!D:D,'KPS #48'!L:L,0)</f>
        <v>#NAME?</v>
      </c>
      <c r="M88" s="25" t="e">
        <f t="shared" ca="1" si="5"/>
        <v>#NAME?</v>
      </c>
      <c r="N88" s="24" t="e">
        <f t="array" aca="1" ref="N88" ca="1">_xludf.XLOOKUP(D88,'KPS #48'!D:D,'KPS #48'!N:N,0)</f>
        <v>#NAME?</v>
      </c>
      <c r="O88" s="25" t="e">
        <f t="shared" ca="1" si="6"/>
        <v>#NAME?</v>
      </c>
      <c r="P88" s="26" t="e">
        <f t="array" aca="1" ref="P88" ca="1">_xludf.XLOOKUP(D88,'KPS #48'!D:D,'KPS #48'!P:P,0)</f>
        <v>#NAME?</v>
      </c>
      <c r="Q88" s="25" t="e">
        <f t="shared" ca="1" si="7"/>
        <v>#NAME?</v>
      </c>
      <c r="R88" s="26" t="e">
        <f t="array" aca="1" ref="R88" ca="1">_xludf.XLOOKUP(D88,'KPS #48'!D:D,'KPS #48'!R:R,0)</f>
        <v>#NAME?</v>
      </c>
      <c r="S88" s="25" t="e">
        <f t="shared" ca="1" si="8"/>
        <v>#NAME?</v>
      </c>
      <c r="T88" s="26" t="e">
        <f t="array" aca="1" ref="T88" ca="1">_xludf.XLOOKUP(D88,'KPS #48'!D:D,'KPS #48'!T:T,0)</f>
        <v>#NAME?</v>
      </c>
      <c r="U88" s="25" t="e">
        <f t="shared" ca="1" si="9"/>
        <v>#NAME?</v>
      </c>
      <c r="V88" s="26" t="e">
        <f t="array" aca="1" ref="V88" ca="1">_xludf.XLOOKUP(D88,'KPS #48'!D:D,'KPS #48'!V:V,0)</f>
        <v>#NAME?</v>
      </c>
      <c r="W88" s="25" t="e">
        <f t="shared" ca="1" si="10"/>
        <v>#NAME?</v>
      </c>
      <c r="X88" s="27" t="e">
        <f t="shared" ref="X88:Y88" ca="1" si="98">SUM(V88,T88,R88,P88,N88,L88,J88)</f>
        <v>#NAME?</v>
      </c>
      <c r="Y88" s="28" t="e">
        <f t="shared" ca="1" si="98"/>
        <v>#NAME?</v>
      </c>
      <c r="Z88" s="22"/>
      <c r="AA88" s="29" t="e">
        <f ca="1">X88*IFERROR(VLOOKUP(D88,'Brand List'!$B:$D,3,0),0)</f>
        <v>#NAME?</v>
      </c>
      <c r="AB88" s="29" t="e">
        <f ca="1">H88*IFERROR(VLOOKUP(D88,'Brand List'!$B:$D,3,0),0)</f>
        <v>#NAME?</v>
      </c>
      <c r="AC88" s="29" t="e">
        <f t="shared" ca="1" si="12"/>
        <v>#NAME?</v>
      </c>
      <c r="AD88" s="2">
        <f>_xlfn.XLOOKUP(D88,[1]Summary!$E:$E,[1]Summary!$L:$L,0)</f>
        <v>0</v>
      </c>
      <c r="AE88" s="5" t="e">
        <f t="shared" ca="1" si="13"/>
        <v>#NAME?</v>
      </c>
    </row>
    <row r="89" spans="1:31" ht="14.25" customHeight="1">
      <c r="A89" s="20" t="str">
        <f t="shared" si="88"/>
        <v>KIT16</v>
      </c>
      <c r="B89" s="21" t="s">
        <v>222</v>
      </c>
      <c r="C89" s="22" t="s">
        <v>95</v>
      </c>
      <c r="D89" s="22" t="s">
        <v>266</v>
      </c>
      <c r="E89" s="21" t="s">
        <v>267</v>
      </c>
      <c r="F89" s="22" t="s">
        <v>226</v>
      </c>
      <c r="G89" s="23" t="e">
        <f t="array" aca="1" ref="G89" ca="1">_xludf.XLOOKUP(D89,'KPS #48'!D:D,'KPS #48'!G:G,0)</f>
        <v>#NAME?</v>
      </c>
      <c r="H89" s="22" t="e">
        <f t="array" aca="1" ref="H89" ca="1">_xludf.XLOOKUP(D89,'KPS #48'!D:D,'KPS #48'!H:H,0)</f>
        <v>#NAME?</v>
      </c>
      <c r="I89" s="22" t="e">
        <f t="shared" ca="1" si="3"/>
        <v>#NAME?</v>
      </c>
      <c r="J89" s="26" t="e">
        <f t="array" aca="1" ref="J89" ca="1">_xludf.XLOOKUP(D89,'KPS #48'!D:D,'KPS #48'!J:J,0)</f>
        <v>#NAME?</v>
      </c>
      <c r="K89" s="25" t="e">
        <f t="shared" ca="1" si="4"/>
        <v>#NAME?</v>
      </c>
      <c r="L89" s="24" t="e">
        <f t="array" aca="1" ref="L89" ca="1">_xludf.XLOOKUP(D89,'KPS #48'!D:D,'KPS #48'!L:L,0)</f>
        <v>#NAME?</v>
      </c>
      <c r="M89" s="25" t="e">
        <f t="shared" ca="1" si="5"/>
        <v>#NAME?</v>
      </c>
      <c r="N89" s="24" t="e">
        <f t="array" aca="1" ref="N89" ca="1">_xludf.XLOOKUP(D89,'KPS #48'!D:D,'KPS #48'!N:N,0)</f>
        <v>#NAME?</v>
      </c>
      <c r="O89" s="25" t="e">
        <f t="shared" ca="1" si="6"/>
        <v>#NAME?</v>
      </c>
      <c r="P89" s="26" t="e">
        <f t="array" aca="1" ref="P89" ca="1">_xludf.XLOOKUP(D89,'KPS #48'!D:D,'KPS #48'!P:P,0)</f>
        <v>#NAME?</v>
      </c>
      <c r="Q89" s="25" t="e">
        <f t="shared" ca="1" si="7"/>
        <v>#NAME?</v>
      </c>
      <c r="R89" s="26" t="e">
        <f t="array" aca="1" ref="R89" ca="1">_xludf.XLOOKUP(D89,'KPS #48'!D:D,'KPS #48'!R:R,0)</f>
        <v>#NAME?</v>
      </c>
      <c r="S89" s="25" t="e">
        <f t="shared" ca="1" si="8"/>
        <v>#NAME?</v>
      </c>
      <c r="T89" s="26" t="e">
        <f t="array" aca="1" ref="T89" ca="1">_xludf.XLOOKUP(D89,'KPS #48'!D:D,'KPS #48'!T:T,0)</f>
        <v>#NAME?</v>
      </c>
      <c r="U89" s="25" t="e">
        <f t="shared" ca="1" si="9"/>
        <v>#NAME?</v>
      </c>
      <c r="V89" s="26" t="e">
        <f t="array" aca="1" ref="V89" ca="1">_xludf.XLOOKUP(D89,'KPS #48'!D:D,'KPS #48'!V:V,0)</f>
        <v>#NAME?</v>
      </c>
      <c r="W89" s="25" t="e">
        <f t="shared" ca="1" si="10"/>
        <v>#NAME?</v>
      </c>
      <c r="X89" s="27" t="e">
        <f t="shared" ref="X89:Y89" ca="1" si="99">SUM(V89,T89,R89,P89,N89,L89,J89)</f>
        <v>#NAME?</v>
      </c>
      <c r="Y89" s="28" t="e">
        <f t="shared" ca="1" si="99"/>
        <v>#NAME?</v>
      </c>
      <c r="Z89" s="22"/>
      <c r="AA89" s="29" t="e">
        <f ca="1">X89*IFERROR(VLOOKUP(D89,'Brand List'!$B:$D,3,0),0)</f>
        <v>#NAME?</v>
      </c>
      <c r="AB89" s="29" t="e">
        <f ca="1">H89*IFERROR(VLOOKUP(D89,'Brand List'!$B:$D,3,0),0)</f>
        <v>#NAME?</v>
      </c>
      <c r="AC89" s="29" t="e">
        <f t="shared" ca="1" si="12"/>
        <v>#NAME?</v>
      </c>
      <c r="AD89" s="2">
        <f>_xlfn.XLOOKUP(D89,[1]Summary!$E:$E,[1]Summary!$L:$L,0)</f>
        <v>0</v>
      </c>
      <c r="AE89" s="5" t="e">
        <f t="shared" ca="1" si="13"/>
        <v>#NAME?</v>
      </c>
    </row>
    <row r="90" spans="1:31" ht="14.25" customHeight="1">
      <c r="A90" s="20" t="str">
        <f t="shared" si="88"/>
        <v>SOA12</v>
      </c>
      <c r="B90" s="21" t="s">
        <v>222</v>
      </c>
      <c r="C90" s="22" t="s">
        <v>24</v>
      </c>
      <c r="D90" s="22" t="s">
        <v>268</v>
      </c>
      <c r="E90" s="21" t="s">
        <v>269</v>
      </c>
      <c r="F90" s="22" t="s">
        <v>226</v>
      </c>
      <c r="G90" s="23" t="e">
        <f t="array" aca="1" ref="G90" ca="1">_xludf.XLOOKUP(D90,'KPS #48'!D:D,'KPS #48'!G:G,0)</f>
        <v>#NAME?</v>
      </c>
      <c r="H90" s="22" t="e">
        <f t="array" aca="1" ref="H90" ca="1">_xludf.XLOOKUP(D90,'KPS #48'!D:D,'KPS #48'!H:H,0)</f>
        <v>#NAME?</v>
      </c>
      <c r="I90" s="22" t="e">
        <f t="shared" ca="1" si="3"/>
        <v>#NAME?</v>
      </c>
      <c r="J90" s="26" t="e">
        <f t="array" aca="1" ref="J90" ca="1">_xludf.XLOOKUP(D90,'KPS #48'!D:D,'KPS #48'!J:J,0)</f>
        <v>#NAME?</v>
      </c>
      <c r="K90" s="25" t="e">
        <f t="shared" ca="1" si="4"/>
        <v>#NAME?</v>
      </c>
      <c r="L90" s="24" t="e">
        <f t="array" aca="1" ref="L90" ca="1">_xludf.XLOOKUP(D90,'KPS #48'!D:D,'KPS #48'!L:L,0)</f>
        <v>#NAME?</v>
      </c>
      <c r="M90" s="25" t="e">
        <f t="shared" ca="1" si="5"/>
        <v>#NAME?</v>
      </c>
      <c r="N90" s="24" t="e">
        <f t="array" aca="1" ref="N90" ca="1">_xludf.XLOOKUP(D90,'KPS #48'!D:D,'KPS #48'!N:N,0)</f>
        <v>#NAME?</v>
      </c>
      <c r="O90" s="25" t="e">
        <f t="shared" ca="1" si="6"/>
        <v>#NAME?</v>
      </c>
      <c r="P90" s="26" t="e">
        <f t="array" aca="1" ref="P90" ca="1">_xludf.XLOOKUP(D90,'KPS #48'!D:D,'KPS #48'!P:P,0)</f>
        <v>#NAME?</v>
      </c>
      <c r="Q90" s="25" t="e">
        <f t="shared" ca="1" si="7"/>
        <v>#NAME?</v>
      </c>
      <c r="R90" s="26" t="e">
        <f t="array" aca="1" ref="R90" ca="1">_xludf.XLOOKUP(D90,'KPS #48'!D:D,'KPS #48'!R:R,0)</f>
        <v>#NAME?</v>
      </c>
      <c r="S90" s="25" t="e">
        <f t="shared" ca="1" si="8"/>
        <v>#NAME?</v>
      </c>
      <c r="T90" s="26" t="e">
        <f t="array" aca="1" ref="T90" ca="1">_xludf.XLOOKUP(D90,'KPS #48'!D:D,'KPS #48'!T:T,0)</f>
        <v>#NAME?</v>
      </c>
      <c r="U90" s="25" t="e">
        <f t="shared" ca="1" si="9"/>
        <v>#NAME?</v>
      </c>
      <c r="V90" s="26" t="e">
        <f t="array" aca="1" ref="V90" ca="1">_xludf.XLOOKUP(D90,'KPS #48'!D:D,'KPS #48'!V:V,0)</f>
        <v>#NAME?</v>
      </c>
      <c r="W90" s="25" t="e">
        <f t="shared" ca="1" si="10"/>
        <v>#NAME?</v>
      </c>
      <c r="X90" s="27" t="e">
        <f t="shared" ref="X90:Y90" ca="1" si="100">SUM(V90,T90,R90,P90,N90,L90,J90)</f>
        <v>#NAME?</v>
      </c>
      <c r="Y90" s="28" t="e">
        <f t="shared" ca="1" si="100"/>
        <v>#NAME?</v>
      </c>
      <c r="Z90" s="22"/>
      <c r="AA90" s="29" t="e">
        <f ca="1">X90*IFERROR(VLOOKUP(D90,'Brand List'!$B:$D,3,0),0)</f>
        <v>#NAME?</v>
      </c>
      <c r="AB90" s="29" t="e">
        <f ca="1">H90*IFERROR(VLOOKUP(D90,'Brand List'!$B:$D,3,0),0)</f>
        <v>#NAME?</v>
      </c>
      <c r="AC90" s="29" t="e">
        <f t="shared" ca="1" si="12"/>
        <v>#NAME?</v>
      </c>
      <c r="AD90" s="2">
        <f>_xlfn.XLOOKUP(D90,[1]Summary!$E:$E,[1]Summary!$L:$L,0)</f>
        <v>0</v>
      </c>
      <c r="AE90" s="5" t="e">
        <f t="shared" ca="1" si="13"/>
        <v>#NAME?</v>
      </c>
    </row>
    <row r="91" spans="1:31" ht="14.25" customHeight="1">
      <c r="A91" s="20" t="str">
        <f t="shared" si="88"/>
        <v>DFH12</v>
      </c>
      <c r="B91" s="21" t="s">
        <v>222</v>
      </c>
      <c r="C91" s="22" t="s">
        <v>24</v>
      </c>
      <c r="D91" s="22" t="s">
        <v>270</v>
      </c>
      <c r="E91" s="21" t="s">
        <v>271</v>
      </c>
      <c r="F91" s="22" t="s">
        <v>226</v>
      </c>
      <c r="G91" s="23" t="e">
        <f t="array" aca="1" ref="G91" ca="1">_xludf.XLOOKUP(D91,'KPS #48'!D:D,'KPS #48'!G:G,0)</f>
        <v>#NAME?</v>
      </c>
      <c r="H91" s="22" t="e">
        <f t="array" aca="1" ref="H91" ca="1">_xludf.XLOOKUP(D91,'KPS #48'!D:D,'KPS #48'!H:H,0)</f>
        <v>#NAME?</v>
      </c>
      <c r="I91" s="22" t="e">
        <f t="shared" ca="1" si="3"/>
        <v>#NAME?</v>
      </c>
      <c r="J91" s="26" t="e">
        <f t="array" aca="1" ref="J91" ca="1">_xludf.XLOOKUP(D91,'KPS #48'!D:D,'KPS #48'!J:J,0)</f>
        <v>#NAME?</v>
      </c>
      <c r="K91" s="25" t="e">
        <f t="shared" ca="1" si="4"/>
        <v>#NAME?</v>
      </c>
      <c r="L91" s="24" t="e">
        <f t="array" aca="1" ref="L91" ca="1">_xludf.XLOOKUP(D91,'KPS #48'!D:D,'KPS #48'!L:L,0)</f>
        <v>#NAME?</v>
      </c>
      <c r="M91" s="25" t="e">
        <f t="shared" ca="1" si="5"/>
        <v>#NAME?</v>
      </c>
      <c r="N91" s="24" t="e">
        <f t="array" aca="1" ref="N91" ca="1">_xludf.XLOOKUP(D91,'KPS #48'!D:D,'KPS #48'!N:N,0)</f>
        <v>#NAME?</v>
      </c>
      <c r="O91" s="25" t="e">
        <f t="shared" ca="1" si="6"/>
        <v>#NAME?</v>
      </c>
      <c r="P91" s="26" t="e">
        <f t="array" aca="1" ref="P91" ca="1">_xludf.XLOOKUP(D91,'KPS #48'!D:D,'KPS #48'!P:P,0)</f>
        <v>#NAME?</v>
      </c>
      <c r="Q91" s="25" t="e">
        <f t="shared" ca="1" si="7"/>
        <v>#NAME?</v>
      </c>
      <c r="R91" s="26" t="e">
        <f t="array" aca="1" ref="R91" ca="1">_xludf.XLOOKUP(D91,'KPS #48'!D:D,'KPS #48'!R:R,0)</f>
        <v>#NAME?</v>
      </c>
      <c r="S91" s="25" t="e">
        <f t="shared" ca="1" si="8"/>
        <v>#NAME?</v>
      </c>
      <c r="T91" s="26" t="e">
        <f t="array" aca="1" ref="T91" ca="1">_xludf.XLOOKUP(D91,'KPS #48'!D:D,'KPS #48'!T:T,0)</f>
        <v>#NAME?</v>
      </c>
      <c r="U91" s="25" t="e">
        <f t="shared" ca="1" si="9"/>
        <v>#NAME?</v>
      </c>
      <c r="V91" s="26" t="e">
        <f t="array" aca="1" ref="V91" ca="1">_xludf.XLOOKUP(D91,'KPS #48'!D:D,'KPS #48'!V:V,0)</f>
        <v>#NAME?</v>
      </c>
      <c r="W91" s="25" t="e">
        <f t="shared" ca="1" si="10"/>
        <v>#NAME?</v>
      </c>
      <c r="X91" s="27" t="e">
        <f t="shared" ref="X91:Y91" ca="1" si="101">SUM(V91,T91,R91,P91,N91,L91,J91)</f>
        <v>#NAME?</v>
      </c>
      <c r="Y91" s="28" t="e">
        <f t="shared" ca="1" si="101"/>
        <v>#NAME?</v>
      </c>
      <c r="Z91" s="22"/>
      <c r="AA91" s="29" t="e">
        <f ca="1">X91*IFERROR(VLOOKUP(D91,'Brand List'!$B:$D,3,0),0)</f>
        <v>#NAME?</v>
      </c>
      <c r="AB91" s="29" t="e">
        <f ca="1">H91*IFERROR(VLOOKUP(D91,'Brand List'!$B:$D,3,0),0)</f>
        <v>#NAME?</v>
      </c>
      <c r="AC91" s="29" t="e">
        <f t="shared" ca="1" si="12"/>
        <v>#NAME?</v>
      </c>
      <c r="AD91" s="2">
        <f>_xlfn.XLOOKUP(D91,[1]Summary!$E:$E,[1]Summary!$L:$L,0)</f>
        <v>0</v>
      </c>
      <c r="AE91" s="5" t="e">
        <f t="shared" ca="1" si="13"/>
        <v>#NAME?</v>
      </c>
    </row>
    <row r="92" spans="1:31" ht="14.25" customHeight="1">
      <c r="A92" s="20" t="str">
        <f t="shared" si="88"/>
        <v>APB12</v>
      </c>
      <c r="B92" s="30" t="s">
        <v>272</v>
      </c>
      <c r="C92" s="32" t="s">
        <v>70</v>
      </c>
      <c r="D92" s="32" t="s">
        <v>273</v>
      </c>
      <c r="E92" s="33" t="s">
        <v>274</v>
      </c>
      <c r="F92" s="31" t="s">
        <v>27</v>
      </c>
      <c r="G92" s="34" t="e">
        <f t="array" aca="1" ref="G92" ca="1">_xludf.XLOOKUP(D92,'KPS #48'!D:D,'KPS #48'!G:G,0)</f>
        <v>#NAME?</v>
      </c>
      <c r="H92" s="31" t="e">
        <f t="array" aca="1" ref="H92" ca="1">_xludf.XLOOKUP(D92,'KPS #48'!D:D,'KPS #48'!H:H,0)</f>
        <v>#NAME?</v>
      </c>
      <c r="I92" s="31" t="e">
        <f t="shared" ca="1" si="3"/>
        <v>#NAME?</v>
      </c>
      <c r="J92" s="42" t="e">
        <f t="array" aca="1" ref="J92" ca="1">_xludf.XLOOKUP(D92,'KPS #48'!D:D,'KPS #48'!J:J,0)</f>
        <v>#NAME?</v>
      </c>
      <c r="K92" s="38" t="e">
        <f t="shared" ca="1" si="4"/>
        <v>#NAME?</v>
      </c>
      <c r="L92" s="39" t="e">
        <f t="array" aca="1" ref="L92" ca="1">_xludf.XLOOKUP(D92,'KPS #48'!D:D,'KPS #48'!L:L,0)</f>
        <v>#NAME?</v>
      </c>
      <c r="M92" s="36" t="e">
        <f t="shared" ca="1" si="5"/>
        <v>#NAME?</v>
      </c>
      <c r="N92" s="37" t="e">
        <f t="array" aca="1" ref="N92" ca="1">_xludf.XLOOKUP(D92,'KPS #48'!D:D,'KPS #48'!N:N,0)</f>
        <v>#NAME?</v>
      </c>
      <c r="O92" s="38" t="e">
        <f t="shared" ca="1" si="6"/>
        <v>#NAME?</v>
      </c>
      <c r="P92" s="35" t="e">
        <f t="array" aca="1" ref="P92" ca="1">_xludf.XLOOKUP(D92,'KPS #48'!D:D,'KPS #48'!P:P,0)</f>
        <v>#NAME?</v>
      </c>
      <c r="Q92" s="36" t="e">
        <f t="shared" ca="1" si="7"/>
        <v>#NAME?</v>
      </c>
      <c r="R92" s="35" t="e">
        <f t="array" aca="1" ref="R92" ca="1">_xludf.XLOOKUP(D92,'KPS #48'!D:D,'KPS #48'!R:R,0)</f>
        <v>#NAME?</v>
      </c>
      <c r="S92" s="36" t="e">
        <f t="shared" ca="1" si="8"/>
        <v>#NAME?</v>
      </c>
      <c r="T92" s="35" t="e">
        <f t="array" aca="1" ref="T92" ca="1">_xludf.XLOOKUP(D92,'KPS #48'!D:D,'KPS #48'!T:T,0)</f>
        <v>#NAME?</v>
      </c>
      <c r="U92" s="36" t="e">
        <f t="shared" ca="1" si="9"/>
        <v>#NAME?</v>
      </c>
      <c r="V92" s="35" t="e">
        <f t="array" aca="1" ref="V92" ca="1">_xludf.XLOOKUP(D92,'KPS #48'!D:D,'KPS #48'!V:V,0)</f>
        <v>#NAME?</v>
      </c>
      <c r="W92" s="36" t="e">
        <f t="shared" ca="1" si="10"/>
        <v>#NAME?</v>
      </c>
      <c r="X92" s="40" t="e">
        <f t="shared" ref="X92:Y92" ca="1" si="102">SUM(V92,T92,R92,P92,N92,L92,J92)</f>
        <v>#NAME?</v>
      </c>
      <c r="Y92" s="41" t="e">
        <f t="shared" ca="1" si="102"/>
        <v>#NAME?</v>
      </c>
      <c r="Z92" s="32"/>
      <c r="AA92" s="29" t="e">
        <f ca="1">X92*IFERROR(VLOOKUP(D92,'Brand List'!$B:$D,3,0),0)</f>
        <v>#NAME?</v>
      </c>
      <c r="AB92" s="29" t="e">
        <f ca="1">H92*IFERROR(VLOOKUP(D92,'Brand List'!$B:$D,3,0),0)</f>
        <v>#NAME?</v>
      </c>
      <c r="AC92" s="29" t="e">
        <f t="shared" ca="1" si="12"/>
        <v>#NAME?</v>
      </c>
      <c r="AD92" s="2">
        <f>_xlfn.XLOOKUP(D92,[1]Summary!$E:$E,[1]Summary!$L:$L,0)</f>
        <v>0</v>
      </c>
      <c r="AE92" s="5" t="e">
        <f t="shared" ca="1" si="13"/>
        <v>#NAME?</v>
      </c>
    </row>
    <row r="93" spans="1:31" ht="14.25" customHeight="1">
      <c r="A93" s="20" t="str">
        <f t="shared" si="88"/>
        <v>APB20</v>
      </c>
      <c r="B93" s="30" t="s">
        <v>272</v>
      </c>
      <c r="C93" s="32" t="s">
        <v>56</v>
      </c>
      <c r="D93" s="32" t="s">
        <v>275</v>
      </c>
      <c r="E93" s="33" t="s">
        <v>276</v>
      </c>
      <c r="F93" s="31" t="s">
        <v>27</v>
      </c>
      <c r="G93" s="34" t="e">
        <f t="array" aca="1" ref="G93" ca="1">_xludf.XLOOKUP(D93,'KPS #48'!D:D,'KPS #48'!G:G,0)</f>
        <v>#NAME?</v>
      </c>
      <c r="H93" s="31" t="e">
        <f t="array" aca="1" ref="H93" ca="1">_xludf.XLOOKUP(D93,'KPS #48'!D:D,'KPS #48'!H:H,0)</f>
        <v>#NAME?</v>
      </c>
      <c r="I93" s="31" t="e">
        <f t="shared" ca="1" si="3"/>
        <v>#NAME?</v>
      </c>
      <c r="J93" s="42" t="e">
        <f t="array" aca="1" ref="J93" ca="1">_xludf.XLOOKUP(D93,'KPS #48'!D:D,'KPS #48'!J:J,0)</f>
        <v>#NAME?</v>
      </c>
      <c r="K93" s="38" t="e">
        <f t="shared" ca="1" si="4"/>
        <v>#NAME?</v>
      </c>
      <c r="L93" s="37" t="e">
        <f t="array" aca="1" ref="L93" ca="1">_xludf.XLOOKUP(D93,'KPS #48'!D:D,'KPS #48'!L:L,0)</f>
        <v>#NAME?</v>
      </c>
      <c r="M93" s="38" t="e">
        <f t="shared" ca="1" si="5"/>
        <v>#NAME?</v>
      </c>
      <c r="N93" s="37" t="e">
        <f t="array" aca="1" ref="N93" ca="1">_xludf.XLOOKUP(D93,'KPS #48'!D:D,'KPS #48'!N:N,0)</f>
        <v>#NAME?</v>
      </c>
      <c r="O93" s="38" t="e">
        <f t="shared" ca="1" si="6"/>
        <v>#NAME?</v>
      </c>
      <c r="P93" s="35" t="e">
        <f t="array" aca="1" ref="P93" ca="1">_xludf.XLOOKUP(D93,'KPS #48'!D:D,'KPS #48'!P:P,0)</f>
        <v>#NAME?</v>
      </c>
      <c r="Q93" s="36" t="e">
        <f t="shared" ca="1" si="7"/>
        <v>#NAME?</v>
      </c>
      <c r="R93" s="35" t="e">
        <f t="array" aca="1" ref="R93" ca="1">_xludf.XLOOKUP(D93,'KPS #48'!D:D,'KPS #48'!R:R,0)</f>
        <v>#NAME?</v>
      </c>
      <c r="S93" s="36" t="e">
        <f t="shared" ca="1" si="8"/>
        <v>#NAME?</v>
      </c>
      <c r="T93" s="35" t="e">
        <f t="array" aca="1" ref="T93" ca="1">_xludf.XLOOKUP(D93,'KPS #48'!D:D,'KPS #48'!T:T,0)</f>
        <v>#NAME?</v>
      </c>
      <c r="U93" s="36" t="e">
        <f t="shared" ca="1" si="9"/>
        <v>#NAME?</v>
      </c>
      <c r="V93" s="35" t="e">
        <f t="array" aca="1" ref="V93" ca="1">_xludf.XLOOKUP(D93,'KPS #48'!D:D,'KPS #48'!V:V,0)</f>
        <v>#NAME?</v>
      </c>
      <c r="W93" s="36" t="e">
        <f t="shared" ca="1" si="10"/>
        <v>#NAME?</v>
      </c>
      <c r="X93" s="40" t="e">
        <f t="shared" ref="X93:Y93" ca="1" si="103">SUM(V93,T93,R93,P93,N93,L93,J93)</f>
        <v>#NAME?</v>
      </c>
      <c r="Y93" s="41" t="e">
        <f t="shared" ca="1" si="103"/>
        <v>#NAME?</v>
      </c>
      <c r="Z93" s="32"/>
      <c r="AA93" s="29" t="e">
        <f ca="1">X93*IFERROR(VLOOKUP(D93,'Brand List'!$B:$D,3,0),0)</f>
        <v>#NAME?</v>
      </c>
      <c r="AB93" s="29" t="e">
        <f ca="1">H93*IFERROR(VLOOKUP(D93,'Brand List'!$B:$D,3,0),0)</f>
        <v>#NAME?</v>
      </c>
      <c r="AC93" s="29" t="e">
        <f t="shared" ca="1" si="12"/>
        <v>#NAME?</v>
      </c>
      <c r="AD93" s="2">
        <f>_xlfn.XLOOKUP(D93,[1]Summary!$E:$E,[1]Summary!$L:$L,0)</f>
        <v>0</v>
      </c>
      <c r="AE93" s="5" t="e">
        <f t="shared" ca="1" si="13"/>
        <v>#NAME?</v>
      </c>
    </row>
    <row r="94" spans="1:31" ht="14.25" customHeight="1">
      <c r="A94" s="20" t="str">
        <f t="shared" si="88"/>
        <v>APR20</v>
      </c>
      <c r="B94" s="30" t="s">
        <v>272</v>
      </c>
      <c r="C94" s="32" t="s">
        <v>56</v>
      </c>
      <c r="D94" s="52" t="s">
        <v>277</v>
      </c>
      <c r="E94" s="33" t="s">
        <v>278</v>
      </c>
      <c r="F94" s="31" t="s">
        <v>27</v>
      </c>
      <c r="G94" s="34" t="e">
        <f t="array" aca="1" ref="G94" ca="1">_xludf.XLOOKUP(D94,'KPS #48'!D:D,'KPS #48'!G:G,0)</f>
        <v>#NAME?</v>
      </c>
      <c r="H94" s="31" t="e">
        <f t="array" aca="1" ref="H94" ca="1">_xludf.XLOOKUP(D94,'KPS #48'!D:D,'KPS #48'!H:H,0)</f>
        <v>#NAME?</v>
      </c>
      <c r="I94" s="31" t="e">
        <f t="shared" ca="1" si="3"/>
        <v>#NAME?</v>
      </c>
      <c r="J94" s="42" t="e">
        <f t="array" aca="1" ref="J94" ca="1">_xludf.XLOOKUP(D94,'KPS #48'!D:D,'KPS #48'!J:J,0)</f>
        <v>#NAME?</v>
      </c>
      <c r="K94" s="38" t="e">
        <f t="shared" ca="1" si="4"/>
        <v>#NAME?</v>
      </c>
      <c r="L94" s="37" t="e">
        <f t="array" aca="1" ref="L94" ca="1">_xludf.XLOOKUP(D94,'KPS #48'!D:D,'KPS #48'!L:L,0)</f>
        <v>#NAME?</v>
      </c>
      <c r="M94" s="38" t="e">
        <f t="shared" ca="1" si="5"/>
        <v>#NAME?</v>
      </c>
      <c r="N94" s="37" t="e">
        <f t="array" aca="1" ref="N94" ca="1">_xludf.XLOOKUP(D94,'KPS #48'!D:D,'KPS #48'!N:N,0)</f>
        <v>#NAME?</v>
      </c>
      <c r="O94" s="38" t="e">
        <f t="shared" ca="1" si="6"/>
        <v>#NAME?</v>
      </c>
      <c r="P94" s="35" t="e">
        <f t="array" aca="1" ref="P94" ca="1">_xludf.XLOOKUP(D94,'KPS #48'!D:D,'KPS #48'!P:P,0)</f>
        <v>#NAME?</v>
      </c>
      <c r="Q94" s="36" t="e">
        <f t="shared" ca="1" si="7"/>
        <v>#NAME?</v>
      </c>
      <c r="R94" s="35" t="e">
        <f t="array" aca="1" ref="R94" ca="1">_xludf.XLOOKUP(D94,'KPS #48'!D:D,'KPS #48'!R:R,0)</f>
        <v>#NAME?</v>
      </c>
      <c r="S94" s="36" t="e">
        <f t="shared" ca="1" si="8"/>
        <v>#NAME?</v>
      </c>
      <c r="T94" s="35" t="e">
        <f t="array" aca="1" ref="T94" ca="1">_xludf.XLOOKUP(D94,'KPS #48'!D:D,'KPS #48'!T:T,0)</f>
        <v>#NAME?</v>
      </c>
      <c r="U94" s="36" t="e">
        <f t="shared" ca="1" si="9"/>
        <v>#NAME?</v>
      </c>
      <c r="V94" s="35" t="e">
        <f t="array" aca="1" ref="V94" ca="1">_xludf.XLOOKUP(D94,'KPS #48'!D:D,'KPS #48'!V:V,0)</f>
        <v>#NAME?</v>
      </c>
      <c r="W94" s="36" t="e">
        <f t="shared" ca="1" si="10"/>
        <v>#NAME?</v>
      </c>
      <c r="X94" s="40" t="e">
        <f t="shared" ref="X94:Y94" ca="1" si="104">SUM(V94,T94,R94,P94,N94,L94,J94)</f>
        <v>#NAME?</v>
      </c>
      <c r="Y94" s="41" t="e">
        <f t="shared" ca="1" si="104"/>
        <v>#NAME?</v>
      </c>
      <c r="Z94" s="32"/>
      <c r="AA94" s="29" t="e">
        <f ca="1">X94*IFERROR(VLOOKUP(D94,'Brand List'!$B:$D,3,0),0)</f>
        <v>#NAME?</v>
      </c>
      <c r="AB94" s="29" t="e">
        <f ca="1">H94*IFERROR(VLOOKUP(D94,'Brand List'!$B:$D,3,0),0)</f>
        <v>#NAME?</v>
      </c>
      <c r="AC94" s="29" t="e">
        <f t="shared" ca="1" si="12"/>
        <v>#NAME?</v>
      </c>
      <c r="AD94" s="2">
        <f>_xlfn.XLOOKUP(D94,[1]Summary!$E:$E,[1]Summary!$L:$L,0)</f>
        <v>0</v>
      </c>
      <c r="AE94" s="5" t="e">
        <f t="shared" ca="1" si="13"/>
        <v>#NAME?</v>
      </c>
    </row>
    <row r="95" spans="1:31" ht="14.25" customHeight="1">
      <c r="A95" s="20" t="str">
        <f t="shared" si="88"/>
        <v>API12</v>
      </c>
      <c r="B95" s="30" t="s">
        <v>272</v>
      </c>
      <c r="C95" s="32" t="s">
        <v>70</v>
      </c>
      <c r="D95" s="32" t="s">
        <v>279</v>
      </c>
      <c r="E95" s="33" t="s">
        <v>280</v>
      </c>
      <c r="F95" s="31" t="s">
        <v>27</v>
      </c>
      <c r="G95" s="34" t="e">
        <f t="array" aca="1" ref="G95" ca="1">_xludf.XLOOKUP(D95,'KPS #48'!D:D,'KPS #48'!G:G,0)</f>
        <v>#NAME?</v>
      </c>
      <c r="H95" s="31" t="e">
        <f t="array" aca="1" ref="H95" ca="1">_xludf.XLOOKUP(D95,'KPS #48'!D:D,'KPS #48'!H:H,0)</f>
        <v>#NAME?</v>
      </c>
      <c r="I95" s="31" t="e">
        <f t="shared" ca="1" si="3"/>
        <v>#NAME?</v>
      </c>
      <c r="J95" s="42" t="e">
        <f t="array" aca="1" ref="J95" ca="1">_xludf.XLOOKUP(D95,'KPS #48'!D:D,'KPS #48'!J:J,0)</f>
        <v>#NAME?</v>
      </c>
      <c r="K95" s="38" t="e">
        <f t="shared" ca="1" si="4"/>
        <v>#NAME?</v>
      </c>
      <c r="L95" s="37" t="e">
        <f t="array" aca="1" ref="L95" ca="1">_xludf.XLOOKUP(D95,'KPS #48'!D:D,'KPS #48'!L:L,0)</f>
        <v>#NAME?</v>
      </c>
      <c r="M95" s="38" t="e">
        <f t="shared" ca="1" si="5"/>
        <v>#NAME?</v>
      </c>
      <c r="N95" s="37" t="e">
        <f t="array" aca="1" ref="N95" ca="1">_xludf.XLOOKUP(D95,'KPS #48'!D:D,'KPS #48'!N:N,0)</f>
        <v>#NAME?</v>
      </c>
      <c r="O95" s="38" t="e">
        <f t="shared" ca="1" si="6"/>
        <v>#NAME?</v>
      </c>
      <c r="P95" s="35" t="e">
        <f t="array" aca="1" ref="P95" ca="1">_xludf.XLOOKUP(D95,'KPS #48'!D:D,'KPS #48'!P:P,0)</f>
        <v>#NAME?</v>
      </c>
      <c r="Q95" s="36" t="e">
        <f t="shared" ca="1" si="7"/>
        <v>#NAME?</v>
      </c>
      <c r="R95" s="35" t="e">
        <f t="array" aca="1" ref="R95" ca="1">_xludf.XLOOKUP(D95,'KPS #48'!D:D,'KPS #48'!R:R,0)</f>
        <v>#NAME?</v>
      </c>
      <c r="S95" s="36" t="e">
        <f t="shared" ca="1" si="8"/>
        <v>#NAME?</v>
      </c>
      <c r="T95" s="35" t="e">
        <f t="array" aca="1" ref="T95" ca="1">_xludf.XLOOKUP(D95,'KPS #48'!D:D,'KPS #48'!T:T,0)</f>
        <v>#NAME?</v>
      </c>
      <c r="U95" s="36" t="e">
        <f t="shared" ca="1" si="9"/>
        <v>#NAME?</v>
      </c>
      <c r="V95" s="35" t="e">
        <f t="array" aca="1" ref="V95" ca="1">_xludf.XLOOKUP(D95,'KPS #48'!D:D,'KPS #48'!V:V,0)</f>
        <v>#NAME?</v>
      </c>
      <c r="W95" s="36" t="e">
        <f t="shared" ca="1" si="10"/>
        <v>#NAME?</v>
      </c>
      <c r="X95" s="40" t="e">
        <f t="shared" ref="X95:Y95" ca="1" si="105">SUM(V95,T95,R95,P95,N95,L95,J95)</f>
        <v>#NAME?</v>
      </c>
      <c r="Y95" s="41" t="e">
        <f t="shared" ca="1" si="105"/>
        <v>#NAME?</v>
      </c>
      <c r="Z95" s="32"/>
      <c r="AA95" s="29" t="e">
        <f ca="1">X95*IFERROR(VLOOKUP(D95,'Brand List'!$B:$D,3,0),0)</f>
        <v>#NAME?</v>
      </c>
      <c r="AB95" s="29" t="e">
        <f ca="1">H95*IFERROR(VLOOKUP(D95,'Brand List'!$B:$D,3,0),0)</f>
        <v>#NAME?</v>
      </c>
      <c r="AC95" s="29" t="e">
        <f t="shared" ca="1" si="12"/>
        <v>#NAME?</v>
      </c>
      <c r="AD95" s="2">
        <f>_xlfn.XLOOKUP(D95,[1]Summary!$E:$E,[1]Summary!$L:$L,0)</f>
        <v>0</v>
      </c>
      <c r="AE95" s="5" t="e">
        <f t="shared" ca="1" si="13"/>
        <v>#NAME?</v>
      </c>
    </row>
    <row r="96" spans="1:31" ht="14.25" customHeight="1">
      <c r="A96" s="20" t="str">
        <f t="shared" si="88"/>
        <v>API16</v>
      </c>
      <c r="B96" s="30" t="s">
        <v>272</v>
      </c>
      <c r="C96" s="32" t="s">
        <v>76</v>
      </c>
      <c r="D96" s="32" t="s">
        <v>281</v>
      </c>
      <c r="E96" s="33" t="s">
        <v>282</v>
      </c>
      <c r="F96" s="31" t="s">
        <v>27</v>
      </c>
      <c r="G96" s="34" t="e">
        <f t="array" aca="1" ref="G96" ca="1">_xludf.XLOOKUP(D96,'KPS #48'!D:D,'KPS #48'!G:G,0)</f>
        <v>#NAME?</v>
      </c>
      <c r="H96" s="31" t="e">
        <f t="array" aca="1" ref="H96" ca="1">_xludf.XLOOKUP(D96,'KPS #48'!D:D,'KPS #48'!H:H,0)</f>
        <v>#NAME?</v>
      </c>
      <c r="I96" s="31" t="e">
        <f t="shared" ca="1" si="3"/>
        <v>#NAME?</v>
      </c>
      <c r="J96" s="42" t="e">
        <f t="array" aca="1" ref="J96" ca="1">_xludf.XLOOKUP(D96,'KPS #48'!D:D,'KPS #48'!J:J,0)</f>
        <v>#NAME?</v>
      </c>
      <c r="K96" s="38" t="e">
        <f t="shared" ca="1" si="4"/>
        <v>#NAME?</v>
      </c>
      <c r="L96" s="37" t="e">
        <f t="array" aca="1" ref="L96" ca="1">_xludf.XLOOKUP(D96,'KPS #48'!D:D,'KPS #48'!L:L,0)</f>
        <v>#NAME?</v>
      </c>
      <c r="M96" s="38" t="e">
        <f t="shared" ca="1" si="5"/>
        <v>#NAME?</v>
      </c>
      <c r="N96" s="37" t="e">
        <f t="array" aca="1" ref="N96" ca="1">_xludf.XLOOKUP(D96,'KPS #48'!D:D,'KPS #48'!N:N,0)</f>
        <v>#NAME?</v>
      </c>
      <c r="O96" s="38" t="e">
        <f t="shared" ca="1" si="6"/>
        <v>#NAME?</v>
      </c>
      <c r="P96" s="35" t="e">
        <f t="array" aca="1" ref="P96" ca="1">_xludf.XLOOKUP(D96,'KPS #48'!D:D,'KPS #48'!P:P,0)</f>
        <v>#NAME?</v>
      </c>
      <c r="Q96" s="36" t="e">
        <f t="shared" ca="1" si="7"/>
        <v>#NAME?</v>
      </c>
      <c r="R96" s="35" t="e">
        <f t="array" aca="1" ref="R96" ca="1">_xludf.XLOOKUP(D96,'KPS #48'!D:D,'KPS #48'!R:R,0)</f>
        <v>#NAME?</v>
      </c>
      <c r="S96" s="36" t="e">
        <f t="shared" ca="1" si="8"/>
        <v>#NAME?</v>
      </c>
      <c r="T96" s="35" t="e">
        <f t="array" aca="1" ref="T96" ca="1">_xludf.XLOOKUP(D96,'KPS #48'!D:D,'KPS #48'!T:T,0)</f>
        <v>#NAME?</v>
      </c>
      <c r="U96" s="36" t="e">
        <f t="shared" ca="1" si="9"/>
        <v>#NAME?</v>
      </c>
      <c r="V96" s="35" t="e">
        <f t="array" aca="1" ref="V96" ca="1">_xludf.XLOOKUP(D96,'KPS #48'!D:D,'KPS #48'!V:V,0)</f>
        <v>#NAME?</v>
      </c>
      <c r="W96" s="36" t="e">
        <f t="shared" ca="1" si="10"/>
        <v>#NAME?</v>
      </c>
      <c r="X96" s="40" t="e">
        <f t="shared" ref="X96:Y96" ca="1" si="106">SUM(V96,T96,R96,P96,N96,L96,J96)</f>
        <v>#NAME?</v>
      </c>
      <c r="Y96" s="41" t="e">
        <f t="shared" ca="1" si="106"/>
        <v>#NAME?</v>
      </c>
      <c r="Z96" s="32"/>
      <c r="AA96" s="29" t="e">
        <f ca="1">X96*IFERROR(VLOOKUP(D96,'Brand List'!$B:$D,3,0),0)</f>
        <v>#NAME?</v>
      </c>
      <c r="AB96" s="29" t="e">
        <f ca="1">H96*IFERROR(VLOOKUP(D96,'Brand List'!$B:$D,3,0),0)</f>
        <v>#NAME?</v>
      </c>
      <c r="AC96" s="29" t="e">
        <f t="shared" ca="1" si="12"/>
        <v>#NAME?</v>
      </c>
      <c r="AD96" s="2">
        <f>_xlfn.XLOOKUP(D96,[1]Summary!$E:$E,[1]Summary!$L:$L,0)</f>
        <v>0</v>
      </c>
      <c r="AE96" s="5" t="e">
        <f t="shared" ca="1" si="13"/>
        <v>#NAME?</v>
      </c>
    </row>
    <row r="97" spans="1:31" ht="14.25" customHeight="1">
      <c r="A97" s="20" t="str">
        <f t="shared" si="88"/>
        <v>DFR20</v>
      </c>
      <c r="B97" s="21" t="s">
        <v>283</v>
      </c>
      <c r="C97" s="22" t="s">
        <v>56</v>
      </c>
      <c r="D97" s="22" t="s">
        <v>284</v>
      </c>
      <c r="E97" s="21" t="s">
        <v>285</v>
      </c>
      <c r="F97" s="22" t="s">
        <v>226</v>
      </c>
      <c r="G97" s="23" t="e">
        <f t="array" aca="1" ref="G97" ca="1">_xludf.XLOOKUP(D97,'KPS #48'!D:D,'KPS #48'!G:G,0)</f>
        <v>#NAME?</v>
      </c>
      <c r="H97" s="22" t="e">
        <f t="array" aca="1" ref="H97" ca="1">_xludf.XLOOKUP(D97,'KPS #48'!D:D,'KPS #48'!H:H,0)</f>
        <v>#NAME?</v>
      </c>
      <c r="I97" s="22" t="e">
        <f t="shared" ca="1" si="3"/>
        <v>#NAME?</v>
      </c>
      <c r="J97" s="26" t="e">
        <f t="array" aca="1" ref="J97" ca="1">_xludf.XLOOKUP(D97,'KPS #48'!D:D,'KPS #48'!J:J,0)</f>
        <v>#NAME?</v>
      </c>
      <c r="K97" s="25" t="e">
        <f t="shared" ca="1" si="4"/>
        <v>#NAME?</v>
      </c>
      <c r="L97" s="48" t="e">
        <f t="array" aca="1" ref="L97" ca="1">_xludf.XLOOKUP(D97,'KPS #48'!D:D,'KPS #48'!L:L,0)</f>
        <v>#NAME?</v>
      </c>
      <c r="M97" s="47" t="e">
        <f t="shared" ca="1" si="5"/>
        <v>#NAME?</v>
      </c>
      <c r="N97" s="24" t="e">
        <f t="array" aca="1" ref="N97" ca="1">_xludf.XLOOKUP(D97,'KPS #48'!D:D,'KPS #48'!N:N,0)</f>
        <v>#NAME?</v>
      </c>
      <c r="O97" s="47" t="e">
        <f t="shared" ca="1" si="6"/>
        <v>#NAME?</v>
      </c>
      <c r="P97" s="26" t="e">
        <f t="array" aca="1" ref="P97" ca="1">_xludf.XLOOKUP(D97,'KPS #48'!D:D,'KPS #48'!P:P,0)</f>
        <v>#NAME?</v>
      </c>
      <c r="Q97" s="25" t="e">
        <f t="shared" ca="1" si="7"/>
        <v>#NAME?</v>
      </c>
      <c r="R97" s="26" t="e">
        <f t="array" aca="1" ref="R97" ca="1">_xludf.XLOOKUP(D97,'KPS #48'!D:D,'KPS #48'!R:R,0)</f>
        <v>#NAME?</v>
      </c>
      <c r="S97" s="25" t="e">
        <f t="shared" ca="1" si="8"/>
        <v>#NAME?</v>
      </c>
      <c r="T97" s="26" t="e">
        <f t="array" aca="1" ref="T97" ca="1">_xludf.XLOOKUP(D97,'KPS #48'!D:D,'KPS #48'!T:T,0)</f>
        <v>#NAME?</v>
      </c>
      <c r="U97" s="25" t="e">
        <f t="shared" ca="1" si="9"/>
        <v>#NAME?</v>
      </c>
      <c r="V97" s="26" t="e">
        <f t="array" aca="1" ref="V97" ca="1">_xludf.XLOOKUP(D97,'KPS #48'!D:D,'KPS #48'!V:V,0)</f>
        <v>#NAME?</v>
      </c>
      <c r="W97" s="25" t="e">
        <f t="shared" ca="1" si="10"/>
        <v>#NAME?</v>
      </c>
      <c r="X97" s="27" t="e">
        <f t="shared" ref="X97:Y97" ca="1" si="107">SUM(V97,T97,R97,P97,N97,L97,J97)</f>
        <v>#NAME?</v>
      </c>
      <c r="Y97" s="28" t="e">
        <f t="shared" ca="1" si="107"/>
        <v>#NAME?</v>
      </c>
      <c r="Z97" s="22" t="s">
        <v>69</v>
      </c>
      <c r="AA97" s="29" t="e">
        <f ca="1">X97*IFERROR(VLOOKUP(D97,'Brand List'!$B:$D,3,0),0)</f>
        <v>#NAME?</v>
      </c>
      <c r="AB97" s="29" t="e">
        <f ca="1">H97*IFERROR(VLOOKUP(D97,'Brand List'!$B:$D,3,0),0)</f>
        <v>#NAME?</v>
      </c>
      <c r="AC97" s="29" t="e">
        <f t="shared" ca="1" si="12"/>
        <v>#NAME?</v>
      </c>
      <c r="AD97" s="2">
        <f>_xlfn.XLOOKUP(D97,[1]Summary!$E:$E,[1]Summary!$L:$L,0)</f>
        <v>0</v>
      </c>
      <c r="AE97" s="5" t="e">
        <f t="shared" ca="1" si="13"/>
        <v>#NAME?</v>
      </c>
    </row>
    <row r="98" spans="1:31" ht="14.25" customHeight="1">
      <c r="A98" s="20" t="str">
        <f t="shared" si="88"/>
        <v>GLP16</v>
      </c>
      <c r="B98" s="21" t="s">
        <v>283</v>
      </c>
      <c r="C98" s="22" t="s">
        <v>76</v>
      </c>
      <c r="D98" s="22" t="s">
        <v>286</v>
      </c>
      <c r="E98" s="21" t="s">
        <v>287</v>
      </c>
      <c r="F98" s="22" t="s">
        <v>226</v>
      </c>
      <c r="G98" s="23" t="e">
        <f t="array" aca="1" ref="G98" ca="1">_xludf.XLOOKUP(D98,'KPS #48'!D:D,'KPS #48'!G:G,0)</f>
        <v>#NAME?</v>
      </c>
      <c r="H98" s="22" t="e">
        <f t="array" aca="1" ref="H98" ca="1">_xludf.XLOOKUP(D98,'KPS #48'!D:D,'KPS #48'!H:H,0)</f>
        <v>#NAME?</v>
      </c>
      <c r="I98" s="22" t="e">
        <f t="shared" ca="1" si="3"/>
        <v>#NAME?</v>
      </c>
      <c r="J98" s="26" t="e">
        <f t="array" aca="1" ref="J98" ca="1">_xludf.XLOOKUP(D98,'KPS #48'!D:D,'KPS #48'!J:J,0)</f>
        <v>#NAME?</v>
      </c>
      <c r="K98" s="25" t="e">
        <f t="shared" ca="1" si="4"/>
        <v>#NAME?</v>
      </c>
      <c r="L98" s="24" t="e">
        <f t="array" aca="1" ref="L98" ca="1">_xludf.XLOOKUP(D98,'KPS #48'!D:D,'KPS #48'!L:L,0)</f>
        <v>#NAME?</v>
      </c>
      <c r="M98" s="25" t="e">
        <f t="shared" ca="1" si="5"/>
        <v>#NAME?</v>
      </c>
      <c r="N98" s="24" t="e">
        <f t="array" aca="1" ref="N98" ca="1">_xludf.XLOOKUP(D98,'KPS #48'!D:D,'KPS #48'!N:N,0)</f>
        <v>#NAME?</v>
      </c>
      <c r="O98" s="25" t="e">
        <f t="shared" ca="1" si="6"/>
        <v>#NAME?</v>
      </c>
      <c r="P98" s="26" t="e">
        <f t="array" aca="1" ref="P98" ca="1">_xludf.XLOOKUP(D98,'KPS #48'!D:D,'KPS #48'!P:P,0)</f>
        <v>#NAME?</v>
      </c>
      <c r="Q98" s="25" t="e">
        <f t="shared" ca="1" si="7"/>
        <v>#NAME?</v>
      </c>
      <c r="R98" s="26" t="e">
        <f t="array" aca="1" ref="R98" ca="1">_xludf.XLOOKUP(D98,'KPS #48'!D:D,'KPS #48'!R:R,0)</f>
        <v>#NAME?</v>
      </c>
      <c r="S98" s="25" t="e">
        <f t="shared" ca="1" si="8"/>
        <v>#NAME?</v>
      </c>
      <c r="T98" s="26" t="e">
        <f t="array" aca="1" ref="T98" ca="1">_xludf.XLOOKUP(D98,'KPS #48'!D:D,'KPS #48'!T:T,0)</f>
        <v>#NAME?</v>
      </c>
      <c r="U98" s="25" t="e">
        <f t="shared" ca="1" si="9"/>
        <v>#NAME?</v>
      </c>
      <c r="V98" s="26" t="e">
        <f t="array" aca="1" ref="V98" ca="1">_xludf.XLOOKUP(D98,'KPS #48'!D:D,'KPS #48'!V:V,0)</f>
        <v>#NAME?</v>
      </c>
      <c r="W98" s="25" t="e">
        <f t="shared" ca="1" si="10"/>
        <v>#NAME?</v>
      </c>
      <c r="X98" s="27" t="e">
        <f t="shared" ref="X98:Y98" ca="1" si="108">SUM(V98,T98,R98,P98,N98,L98,J98)</f>
        <v>#NAME?</v>
      </c>
      <c r="Y98" s="28" t="e">
        <f t="shared" ca="1" si="108"/>
        <v>#NAME?</v>
      </c>
      <c r="Z98" s="22"/>
      <c r="AA98" s="29" t="e">
        <f ca="1">X98*IFERROR(VLOOKUP(D98,'Brand List'!$B:$D,3,0),0)</f>
        <v>#NAME?</v>
      </c>
      <c r="AB98" s="29" t="e">
        <f ca="1">H98*IFERROR(VLOOKUP(D98,'Brand List'!$B:$D,3,0),0)</f>
        <v>#NAME?</v>
      </c>
      <c r="AC98" s="29" t="e">
        <f t="shared" ca="1" si="12"/>
        <v>#NAME?</v>
      </c>
      <c r="AD98" s="2">
        <f>_xlfn.XLOOKUP(D98,[1]Summary!$E:$E,[1]Summary!$L:$L,0)</f>
        <v>0</v>
      </c>
      <c r="AE98" s="5" t="e">
        <f t="shared" ca="1" si="13"/>
        <v>#NAME?</v>
      </c>
    </row>
    <row r="99" spans="1:31" ht="14.25" customHeight="1">
      <c r="A99" s="20" t="str">
        <f t="shared" si="88"/>
        <v>GLY16</v>
      </c>
      <c r="B99" s="21" t="s">
        <v>283</v>
      </c>
      <c r="C99" s="22" t="s">
        <v>76</v>
      </c>
      <c r="D99" s="22" t="s">
        <v>288</v>
      </c>
      <c r="E99" s="21" t="s">
        <v>289</v>
      </c>
      <c r="F99" s="22" t="s">
        <v>226</v>
      </c>
      <c r="G99" s="23" t="e">
        <f t="array" aca="1" ref="G99" ca="1">_xludf.XLOOKUP(D99,'KPS #48'!D:D,'KPS #48'!G:G,0)</f>
        <v>#NAME?</v>
      </c>
      <c r="H99" s="22" t="e">
        <f t="array" aca="1" ref="H99" ca="1">_xludf.XLOOKUP(D99,'KPS #48'!D:D,'KPS #48'!H:H,0)</f>
        <v>#NAME?</v>
      </c>
      <c r="I99" s="22" t="e">
        <f t="shared" ca="1" si="3"/>
        <v>#NAME?</v>
      </c>
      <c r="J99" s="26" t="e">
        <f t="array" aca="1" ref="J99" ca="1">_xludf.XLOOKUP(D99,'KPS #48'!D:D,'KPS #48'!J:J,0)</f>
        <v>#NAME?</v>
      </c>
      <c r="K99" s="25" t="e">
        <f t="shared" ca="1" si="4"/>
        <v>#NAME?</v>
      </c>
      <c r="L99" s="24" t="e">
        <f t="array" aca="1" ref="L99" ca="1">_xludf.XLOOKUP(D99,'KPS #48'!D:D,'KPS #48'!L:L,0)</f>
        <v>#NAME?</v>
      </c>
      <c r="M99" s="25" t="e">
        <f t="shared" ca="1" si="5"/>
        <v>#NAME?</v>
      </c>
      <c r="N99" s="24" t="e">
        <f t="array" aca="1" ref="N99" ca="1">_xludf.XLOOKUP(D99,'KPS #48'!D:D,'KPS #48'!N:N,0)</f>
        <v>#NAME?</v>
      </c>
      <c r="O99" s="25" t="e">
        <f t="shared" ca="1" si="6"/>
        <v>#NAME?</v>
      </c>
      <c r="P99" s="26" t="e">
        <f t="array" aca="1" ref="P99" ca="1">_xludf.XLOOKUP(D99,'KPS #48'!D:D,'KPS #48'!P:P,0)</f>
        <v>#NAME?</v>
      </c>
      <c r="Q99" s="25" t="e">
        <f t="shared" ca="1" si="7"/>
        <v>#NAME?</v>
      </c>
      <c r="R99" s="26" t="e">
        <f t="array" aca="1" ref="R99" ca="1">_xludf.XLOOKUP(D99,'KPS #48'!D:D,'KPS #48'!R:R,0)</f>
        <v>#NAME?</v>
      </c>
      <c r="S99" s="25" t="e">
        <f t="shared" ca="1" si="8"/>
        <v>#NAME?</v>
      </c>
      <c r="T99" s="26" t="e">
        <f t="array" aca="1" ref="T99" ca="1">_xludf.XLOOKUP(D99,'KPS #48'!D:D,'KPS #48'!T:T,0)</f>
        <v>#NAME?</v>
      </c>
      <c r="U99" s="25" t="e">
        <f t="shared" ca="1" si="9"/>
        <v>#NAME?</v>
      </c>
      <c r="V99" s="26" t="e">
        <f t="array" aca="1" ref="V99" ca="1">_xludf.XLOOKUP(D99,'KPS #48'!D:D,'KPS #48'!V:V,0)</f>
        <v>#NAME?</v>
      </c>
      <c r="W99" s="25" t="e">
        <f t="shared" ca="1" si="10"/>
        <v>#NAME?</v>
      </c>
      <c r="X99" s="27" t="e">
        <f t="shared" ref="X99:Y99" ca="1" si="109">SUM(V99,T99,R99,P99,N99,L99,J99)</f>
        <v>#NAME?</v>
      </c>
      <c r="Y99" s="28" t="e">
        <f t="shared" ca="1" si="109"/>
        <v>#NAME?</v>
      </c>
      <c r="Z99" s="22"/>
      <c r="AA99" s="29" t="e">
        <f ca="1">X99*IFERROR(VLOOKUP(D99,'Brand List'!$B:$D,3,0),0)</f>
        <v>#NAME?</v>
      </c>
      <c r="AB99" s="29" t="e">
        <f ca="1">H99*IFERROR(VLOOKUP(D99,'Brand List'!$B:$D,3,0),0)</f>
        <v>#NAME?</v>
      </c>
      <c r="AC99" s="29" t="e">
        <f t="shared" ca="1" si="12"/>
        <v>#NAME?</v>
      </c>
      <c r="AD99" s="2">
        <f>_xlfn.XLOOKUP(D99,[1]Summary!$E:$E,[1]Summary!$L:$L,0)</f>
        <v>0</v>
      </c>
      <c r="AE99" s="5" t="e">
        <f t="shared" ca="1" si="13"/>
        <v>#NAME?</v>
      </c>
    </row>
    <row r="100" spans="1:31" ht="14.25" customHeight="1">
      <c r="A100" s="2"/>
      <c r="B100" s="12"/>
      <c r="C100" s="12"/>
      <c r="D100" s="12"/>
      <c r="E100" s="12"/>
      <c r="F100" s="12"/>
      <c r="G100" s="53" t="e">
        <f t="shared" ref="G100:H100" ca="1" si="110">SUM(G6:G99)</f>
        <v>#NAME?</v>
      </c>
      <c r="H100" s="53" t="e">
        <f t="shared" ca="1" si="110"/>
        <v>#NAME?</v>
      </c>
      <c r="I100" s="12"/>
      <c r="J100" s="53" t="e">
        <f t="shared" ref="J100:Y100" ca="1" si="111">SUM(J6:J99)</f>
        <v>#NAME?</v>
      </c>
      <c r="K100" s="54" t="e">
        <f t="shared" ca="1" si="111"/>
        <v>#NAME?</v>
      </c>
      <c r="L100" s="55" t="e">
        <f t="shared" ca="1" si="111"/>
        <v>#NAME?</v>
      </c>
      <c r="M100" s="54" t="e">
        <f t="shared" ca="1" si="111"/>
        <v>#NAME?</v>
      </c>
      <c r="N100" s="55" t="e">
        <f t="shared" ca="1" si="111"/>
        <v>#NAME?</v>
      </c>
      <c r="O100" s="54" t="e">
        <f t="shared" ca="1" si="111"/>
        <v>#NAME?</v>
      </c>
      <c r="P100" s="53" t="e">
        <f t="shared" ca="1" si="111"/>
        <v>#NAME?</v>
      </c>
      <c r="Q100" s="54" t="e">
        <f t="shared" ca="1" si="111"/>
        <v>#NAME?</v>
      </c>
      <c r="R100" s="53" t="e">
        <f t="shared" ca="1" si="111"/>
        <v>#NAME?</v>
      </c>
      <c r="S100" s="54" t="e">
        <f t="shared" ca="1" si="111"/>
        <v>#NAME?</v>
      </c>
      <c r="T100" s="53" t="e">
        <f t="shared" ca="1" si="111"/>
        <v>#NAME?</v>
      </c>
      <c r="U100" s="54" t="e">
        <f t="shared" ca="1" si="111"/>
        <v>#NAME?</v>
      </c>
      <c r="V100" s="53" t="e">
        <f t="shared" ca="1" si="111"/>
        <v>#NAME?</v>
      </c>
      <c r="W100" s="54" t="e">
        <f t="shared" ca="1" si="111"/>
        <v>#NAME?</v>
      </c>
      <c r="X100" s="53" t="e">
        <f t="shared" ca="1" si="111"/>
        <v>#NAME?</v>
      </c>
      <c r="Y100" s="53" t="e">
        <f t="shared" ca="1" si="111"/>
        <v>#NAME?</v>
      </c>
      <c r="Z100" s="56"/>
      <c r="AA100" s="29" t="e">
        <f t="shared" ref="AA100:AC100" ca="1" si="112">SUM(AA6:AA99)</f>
        <v>#NAME?</v>
      </c>
      <c r="AB100" s="29" t="e">
        <f t="shared" ca="1" si="112"/>
        <v>#NAME?</v>
      </c>
      <c r="AC100" s="29" t="e">
        <f t="shared" ca="1" si="112"/>
        <v>#NAME?</v>
      </c>
      <c r="AD100" s="5">
        <f>_xlfn.XLOOKUP(D100,[1]Summary!$E:$E,[1]Summary!$L:$L,0)</f>
        <v>0</v>
      </c>
      <c r="AE100" s="5" t="e">
        <f ca="1">SUM(AE6:AE99)</f>
        <v>#NAME?</v>
      </c>
    </row>
    <row r="101" spans="1:31" ht="14.25" customHeight="1">
      <c r="A101" s="2"/>
      <c r="B101" s="57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2"/>
      <c r="AA101" s="4"/>
      <c r="AB101" s="4"/>
      <c r="AC101" s="4"/>
      <c r="AD101" s="2"/>
      <c r="AE101" s="5"/>
    </row>
    <row r="102" spans="1:31" ht="14.25" customHeight="1">
      <c r="A102" s="2"/>
      <c r="B102" s="57"/>
      <c r="C102" s="58"/>
      <c r="D102" s="58"/>
      <c r="E102" s="58"/>
      <c r="F102" s="58"/>
      <c r="G102" s="58"/>
      <c r="H102" s="58"/>
      <c r="I102" s="2"/>
      <c r="J102" s="10"/>
      <c r="K102" s="10"/>
      <c r="L102" s="10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"/>
      <c r="AB102" s="4"/>
      <c r="AC102" s="4"/>
      <c r="AD102" s="2"/>
      <c r="AE102" s="5"/>
    </row>
    <row r="103" spans="1:31" ht="14.25" customHeight="1">
      <c r="A103" s="2"/>
      <c r="B103" s="57"/>
      <c r="C103" s="58"/>
      <c r="D103" s="58"/>
      <c r="E103" s="59"/>
      <c r="F103" s="58"/>
      <c r="G103" s="58"/>
      <c r="H103" s="58"/>
      <c r="I103" s="2"/>
      <c r="J103" s="10"/>
      <c r="K103" s="10"/>
      <c r="L103" s="2"/>
      <c r="M103" s="2"/>
      <c r="N103" s="10"/>
      <c r="O103" s="2"/>
      <c r="P103" s="10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"/>
      <c r="AB103" s="4"/>
      <c r="AC103" s="4"/>
      <c r="AD103" s="2"/>
      <c r="AE103" s="5"/>
    </row>
    <row r="104" spans="1:31" ht="14.25" customHeight="1">
      <c r="A104" s="2"/>
      <c r="B104" s="57"/>
      <c r="C104" s="58"/>
      <c r="D104" s="58"/>
      <c r="E104" s="58"/>
      <c r="F104" s="58"/>
      <c r="G104" s="58"/>
      <c r="H104" s="58"/>
      <c r="I104" s="2"/>
      <c r="J104" s="10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"/>
      <c r="AB104" s="4"/>
      <c r="AC104" s="4"/>
      <c r="AD104" s="2"/>
      <c r="AE104" s="5"/>
    </row>
    <row r="105" spans="1:31" ht="14.25" customHeight="1">
      <c r="A105" s="2"/>
      <c r="B105" s="57"/>
      <c r="C105" s="58"/>
      <c r="D105" s="58"/>
      <c r="E105" s="58"/>
      <c r="F105" s="58"/>
      <c r="G105" s="58"/>
      <c r="H105" s="58"/>
      <c r="I105" s="2"/>
      <c r="J105" s="2"/>
      <c r="K105" s="2"/>
      <c r="L105" s="2"/>
      <c r="M105" s="2"/>
      <c r="N105" s="2"/>
      <c r="O105" s="2"/>
      <c r="P105" s="2"/>
      <c r="Q105" s="60"/>
      <c r="R105" s="60"/>
      <c r="S105" s="60"/>
      <c r="T105" s="60"/>
      <c r="U105" s="60"/>
      <c r="V105" s="60"/>
      <c r="W105" s="2"/>
      <c r="X105" s="2"/>
      <c r="Y105" s="2"/>
      <c r="Z105" s="2"/>
      <c r="AA105" s="4"/>
      <c r="AB105" s="4"/>
      <c r="AC105" s="4"/>
      <c r="AD105" s="2"/>
      <c r="AE105" s="5"/>
    </row>
    <row r="106" spans="1:31" ht="14.25" customHeight="1">
      <c r="A106" s="2"/>
      <c r="B106" s="57"/>
      <c r="C106" s="58"/>
      <c r="D106" s="58"/>
      <c r="E106" s="58"/>
      <c r="F106" s="58"/>
      <c r="G106" s="58"/>
      <c r="H106" s="58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"/>
      <c r="AB106" s="4"/>
      <c r="AC106" s="4"/>
      <c r="AD106" s="2"/>
      <c r="AE106" s="5"/>
    </row>
    <row r="107" spans="1:31" ht="14.25" customHeight="1">
      <c r="A107" s="2"/>
      <c r="B107" s="57"/>
      <c r="C107" s="58"/>
      <c r="D107" s="58"/>
      <c r="E107" s="58"/>
      <c r="F107" s="58"/>
      <c r="G107" s="58"/>
      <c r="H107" s="58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"/>
      <c r="AB107" s="4"/>
      <c r="AC107" s="4"/>
      <c r="AD107" s="2"/>
      <c r="AE107" s="5"/>
    </row>
    <row r="108" spans="1:31" ht="14.25" customHeight="1">
      <c r="A108" s="2"/>
      <c r="B108" s="57"/>
      <c r="C108" s="58"/>
      <c r="D108" s="58"/>
      <c r="E108" s="58"/>
      <c r="F108" s="58"/>
      <c r="G108" s="58"/>
      <c r="H108" s="58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"/>
      <c r="AB108" s="4"/>
      <c r="AC108" s="4"/>
      <c r="AD108" s="2"/>
      <c r="AE108" s="5"/>
    </row>
    <row r="109" spans="1:31" ht="14.25" customHeight="1">
      <c r="A109" s="2"/>
      <c r="B109" s="57"/>
      <c r="C109" s="58"/>
      <c r="D109" s="58"/>
      <c r="E109" s="58"/>
      <c r="F109" s="58"/>
      <c r="G109" s="58"/>
      <c r="H109" s="58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"/>
      <c r="AB109" s="4"/>
      <c r="AC109" s="4"/>
      <c r="AD109" s="2"/>
      <c r="AE109" s="5"/>
    </row>
    <row r="110" spans="1:31" ht="14.25" customHeight="1">
      <c r="A110" s="2"/>
      <c r="B110" s="57"/>
      <c r="C110" s="58"/>
      <c r="D110" s="58"/>
      <c r="E110" s="58"/>
      <c r="F110" s="58"/>
      <c r="G110" s="58"/>
      <c r="H110" s="5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"/>
      <c r="AB110" s="4"/>
      <c r="AC110" s="4"/>
      <c r="AD110" s="2"/>
      <c r="AE110" s="5"/>
    </row>
    <row r="111" spans="1:31" ht="14.25" customHeight="1">
      <c r="A111" s="2"/>
      <c r="B111" s="57"/>
      <c r="C111" s="58"/>
      <c r="D111" s="58"/>
      <c r="E111" s="58"/>
      <c r="F111" s="58"/>
      <c r="G111" s="58"/>
      <c r="H111" s="5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"/>
      <c r="AB111" s="4"/>
      <c r="AC111" s="4"/>
      <c r="AD111" s="2"/>
      <c r="AE111" s="5"/>
    </row>
    <row r="112" spans="1:31" ht="14.25" customHeight="1">
      <c r="A112" s="2"/>
      <c r="B112" s="57"/>
      <c r="C112" s="58"/>
      <c r="D112" s="58"/>
      <c r="E112" s="58"/>
      <c r="F112" s="58"/>
      <c r="G112" s="58"/>
      <c r="H112" s="5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"/>
      <c r="AB112" s="4"/>
      <c r="AC112" s="4"/>
      <c r="AD112" s="2"/>
      <c r="AE112" s="5"/>
    </row>
    <row r="113" spans="1:31" ht="14.25" customHeight="1">
      <c r="A113" s="2"/>
      <c r="B113" s="57"/>
      <c r="C113" s="58"/>
      <c r="D113" s="58"/>
      <c r="E113" s="58"/>
      <c r="F113" s="58"/>
      <c r="G113" s="58"/>
      <c r="H113" s="58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"/>
      <c r="AB113" s="4"/>
      <c r="AC113" s="4"/>
      <c r="AD113" s="2"/>
      <c r="AE113" s="5"/>
    </row>
    <row r="114" spans="1:31" ht="14.25" customHeight="1">
      <c r="A114" s="2"/>
      <c r="B114" s="57"/>
      <c r="C114" s="58"/>
      <c r="D114" s="58"/>
      <c r="E114" s="58"/>
      <c r="F114" s="58"/>
      <c r="G114" s="58"/>
      <c r="H114" s="58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"/>
      <c r="AB114" s="4"/>
      <c r="AC114" s="4"/>
      <c r="AD114" s="2"/>
      <c r="AE114" s="5"/>
    </row>
    <row r="115" spans="1:31" ht="14.25" customHeight="1">
      <c r="A115" s="2"/>
      <c r="B115" s="57"/>
      <c r="C115" s="58"/>
      <c r="D115" s="58"/>
      <c r="E115" s="58"/>
      <c r="F115" s="58"/>
      <c r="G115" s="58"/>
      <c r="H115" s="58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"/>
      <c r="AB115" s="4"/>
      <c r="AC115" s="4"/>
      <c r="AD115" s="2"/>
      <c r="AE115" s="5"/>
    </row>
    <row r="116" spans="1:31" ht="14.25" customHeight="1">
      <c r="A116" s="2"/>
      <c r="B116" s="57"/>
      <c r="C116" s="58"/>
      <c r="D116" s="58"/>
      <c r="E116" s="58"/>
      <c r="F116" s="58"/>
      <c r="G116" s="58"/>
      <c r="H116" s="58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"/>
      <c r="AB116" s="4"/>
      <c r="AC116" s="4"/>
      <c r="AD116" s="2"/>
      <c r="AE116" s="5"/>
    </row>
    <row r="117" spans="1:31" ht="14.25" customHeight="1">
      <c r="A117" s="2"/>
      <c r="B117" s="57"/>
      <c r="C117" s="58"/>
      <c r="D117" s="58"/>
      <c r="E117" s="58"/>
      <c r="F117" s="58"/>
      <c r="G117" s="58"/>
      <c r="H117" s="58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"/>
      <c r="AB117" s="4"/>
      <c r="AC117" s="4"/>
      <c r="AD117" s="2"/>
      <c r="AE117" s="5"/>
    </row>
    <row r="118" spans="1:31" ht="14.25" customHeight="1">
      <c r="A118" s="2"/>
      <c r="B118" s="57"/>
      <c r="C118" s="58"/>
      <c r="D118" s="58"/>
      <c r="E118" s="58"/>
      <c r="F118" s="58"/>
      <c r="G118" s="58"/>
      <c r="H118" s="58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"/>
      <c r="AB118" s="4"/>
      <c r="AC118" s="4"/>
      <c r="AD118" s="2"/>
      <c r="AE118" s="5"/>
    </row>
    <row r="119" spans="1:31" ht="14.25" customHeight="1">
      <c r="A119" s="2"/>
      <c r="B119" s="57"/>
      <c r="C119" s="58"/>
      <c r="D119" s="58"/>
      <c r="E119" s="58"/>
      <c r="F119" s="61"/>
      <c r="G119" s="61"/>
      <c r="H119" s="6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"/>
      <c r="AB119" s="4"/>
      <c r="AC119" s="4"/>
      <c r="AD119" s="2"/>
      <c r="AE119" s="5"/>
    </row>
    <row r="120" spans="1:31" ht="14.25" customHeight="1">
      <c r="A120" s="2"/>
      <c r="B120" s="57"/>
      <c r="C120" s="58"/>
      <c r="D120" s="58"/>
      <c r="E120" s="58"/>
      <c r="F120" s="61"/>
      <c r="G120" s="61"/>
      <c r="H120" s="6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"/>
      <c r="AB120" s="4"/>
      <c r="AC120" s="4"/>
      <c r="AD120" s="2"/>
      <c r="AE120" s="5"/>
    </row>
    <row r="121" spans="1:31" ht="14.25" customHeight="1">
      <c r="A121" s="2"/>
      <c r="B121" s="57"/>
      <c r="C121" s="58"/>
      <c r="D121" s="58"/>
      <c r="E121" s="58"/>
      <c r="F121" s="58"/>
      <c r="G121" s="58"/>
      <c r="H121" s="58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"/>
      <c r="AB121" s="4"/>
      <c r="AC121" s="4"/>
      <c r="AD121" s="2"/>
      <c r="AE121" s="5"/>
    </row>
    <row r="122" spans="1:31" ht="14.25" customHeight="1">
      <c r="A122" s="2"/>
      <c r="B122" s="57"/>
      <c r="C122" s="58"/>
      <c r="D122" s="58"/>
      <c r="E122" s="58"/>
      <c r="F122" s="58"/>
      <c r="G122" s="58"/>
      <c r="H122" s="58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"/>
      <c r="AB122" s="4"/>
      <c r="AC122" s="4"/>
      <c r="AD122" s="2"/>
      <c r="AE122" s="5"/>
    </row>
    <row r="123" spans="1:31" ht="14.25" customHeight="1">
      <c r="A123" s="2"/>
      <c r="B123" s="57"/>
      <c r="C123" s="58"/>
      <c r="D123" s="58"/>
      <c r="E123" s="58"/>
      <c r="F123" s="58"/>
      <c r="G123" s="58"/>
      <c r="H123" s="58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"/>
      <c r="AB123" s="4"/>
      <c r="AC123" s="4"/>
      <c r="AD123" s="2"/>
      <c r="AE123" s="5"/>
    </row>
    <row r="124" spans="1:31" ht="14.25" customHeight="1">
      <c r="A124" s="2"/>
      <c r="B124" s="57"/>
      <c r="C124" s="58"/>
      <c r="D124" s="58"/>
      <c r="E124" s="58"/>
      <c r="F124" s="58"/>
      <c r="G124" s="58"/>
      <c r="H124" s="58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"/>
      <c r="AB124" s="4"/>
      <c r="AC124" s="4"/>
      <c r="AD124" s="2"/>
      <c r="AE124" s="5"/>
    </row>
    <row r="125" spans="1:31" ht="14.25" customHeight="1">
      <c r="A125" s="2"/>
      <c r="B125" s="57"/>
      <c r="C125" s="58"/>
      <c r="D125" s="58"/>
      <c r="E125" s="58"/>
      <c r="F125" s="58"/>
      <c r="G125" s="58"/>
      <c r="H125" s="58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"/>
      <c r="AB125" s="4"/>
      <c r="AC125" s="4"/>
      <c r="AD125" s="2"/>
      <c r="AE125" s="5"/>
    </row>
    <row r="126" spans="1:31" ht="14.25" customHeight="1">
      <c r="A126" s="2"/>
      <c r="B126" s="57"/>
      <c r="C126" s="58"/>
      <c r="D126" s="58"/>
      <c r="E126" s="58"/>
      <c r="F126" s="58"/>
      <c r="G126" s="58"/>
      <c r="H126" s="58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"/>
      <c r="AB126" s="4"/>
      <c r="AC126" s="4"/>
      <c r="AD126" s="2"/>
      <c r="AE126" s="5"/>
    </row>
    <row r="127" spans="1:31" ht="14.25" customHeight="1">
      <c r="A127" s="2"/>
      <c r="B127" s="57"/>
      <c r="C127" s="58"/>
      <c r="D127" s="58"/>
      <c r="E127" s="58"/>
      <c r="F127" s="61"/>
      <c r="G127" s="61"/>
      <c r="H127" s="6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"/>
      <c r="AB127" s="4"/>
      <c r="AC127" s="4"/>
      <c r="AD127" s="2"/>
      <c r="AE127" s="5"/>
    </row>
    <row r="128" spans="1:31" ht="14.25" customHeight="1">
      <c r="A128" s="2"/>
      <c r="B128" s="57"/>
      <c r="C128" s="58"/>
      <c r="D128" s="58"/>
      <c r="E128" s="58"/>
      <c r="F128" s="58"/>
      <c r="G128" s="58"/>
      <c r="H128" s="58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"/>
      <c r="AB128" s="4"/>
      <c r="AC128" s="4"/>
      <c r="AD128" s="2"/>
      <c r="AE128" s="5"/>
    </row>
    <row r="129" spans="1:31" ht="14.25" customHeight="1">
      <c r="A129" s="2"/>
      <c r="B129" s="57"/>
      <c r="C129" s="58"/>
      <c r="D129" s="58"/>
      <c r="E129" s="58"/>
      <c r="F129" s="58"/>
      <c r="G129" s="58"/>
      <c r="H129" s="58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"/>
      <c r="AB129" s="4"/>
      <c r="AC129" s="4"/>
      <c r="AD129" s="2"/>
      <c r="AE129" s="5"/>
    </row>
    <row r="130" spans="1:31" ht="14.25" customHeight="1">
      <c r="A130" s="2"/>
      <c r="B130" s="57"/>
      <c r="C130" s="58"/>
      <c r="D130" s="58"/>
      <c r="E130" s="58"/>
      <c r="F130" s="61"/>
      <c r="G130" s="61"/>
      <c r="H130" s="6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"/>
      <c r="AB130" s="4"/>
      <c r="AC130" s="4"/>
      <c r="AD130" s="2"/>
      <c r="AE130" s="5"/>
    </row>
    <row r="131" spans="1:31" ht="14.25" customHeight="1">
      <c r="A131" s="2"/>
      <c r="B131" s="57"/>
      <c r="C131" s="58"/>
      <c r="D131" s="58"/>
      <c r="E131" s="58"/>
      <c r="F131" s="58"/>
      <c r="G131" s="58"/>
      <c r="H131" s="58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"/>
      <c r="AB131" s="4"/>
      <c r="AC131" s="4"/>
      <c r="AD131" s="2"/>
      <c r="AE131" s="5"/>
    </row>
    <row r="132" spans="1:31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"/>
      <c r="AB132" s="4"/>
      <c r="AC132" s="4"/>
      <c r="AD132" s="2"/>
      <c r="AE132" s="5"/>
    </row>
    <row r="133" spans="1:31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"/>
      <c r="AB133" s="4"/>
      <c r="AC133" s="4"/>
      <c r="AD133" s="2"/>
      <c r="AE133" s="5"/>
    </row>
    <row r="134" spans="1:31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"/>
      <c r="AB134" s="4"/>
      <c r="AC134" s="4"/>
      <c r="AD134" s="2"/>
      <c r="AE134" s="5"/>
    </row>
    <row r="135" spans="1:31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"/>
      <c r="AB135" s="4"/>
      <c r="AC135" s="4"/>
      <c r="AD135" s="2"/>
      <c r="AE135" s="5"/>
    </row>
    <row r="136" spans="1:31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"/>
      <c r="AB136" s="4"/>
      <c r="AC136" s="4"/>
      <c r="AD136" s="2"/>
      <c r="AE136" s="5"/>
    </row>
    <row r="137" spans="1:31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"/>
      <c r="AB137" s="4"/>
      <c r="AC137" s="4"/>
      <c r="AD137" s="2"/>
      <c r="AE137" s="5"/>
    </row>
    <row r="138" spans="1:31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"/>
      <c r="AB138" s="4"/>
      <c r="AC138" s="4"/>
      <c r="AD138" s="2"/>
      <c r="AE138" s="5"/>
    </row>
    <row r="139" spans="1:31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"/>
      <c r="AB139" s="4"/>
      <c r="AC139" s="4"/>
      <c r="AD139" s="2"/>
      <c r="AE139" s="5"/>
    </row>
    <row r="140" spans="1:31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"/>
      <c r="AB140" s="4"/>
      <c r="AC140" s="4"/>
      <c r="AD140" s="2"/>
      <c r="AE140" s="5"/>
    </row>
    <row r="141" spans="1:3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"/>
      <c r="AB141" s="4"/>
      <c r="AC141" s="4"/>
      <c r="AD141" s="2"/>
      <c r="AE141" s="5"/>
    </row>
    <row r="142" spans="1:31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"/>
      <c r="AB142" s="4"/>
      <c r="AC142" s="4"/>
      <c r="AD142" s="2"/>
      <c r="AE142" s="5"/>
    </row>
    <row r="143" spans="1:31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"/>
      <c r="AB143" s="4"/>
      <c r="AC143" s="4"/>
      <c r="AD143" s="2"/>
      <c r="AE143" s="5"/>
    </row>
    <row r="144" spans="1:31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"/>
      <c r="AB144" s="4"/>
      <c r="AC144" s="4"/>
      <c r="AD144" s="2"/>
      <c r="AE144" s="5"/>
    </row>
    <row r="145" spans="1:31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"/>
      <c r="AB145" s="4"/>
      <c r="AC145" s="4"/>
      <c r="AD145" s="2"/>
      <c r="AE145" s="5"/>
    </row>
    <row r="146" spans="1:31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"/>
      <c r="AB146" s="4"/>
      <c r="AC146" s="4"/>
      <c r="AD146" s="2"/>
      <c r="AE146" s="5"/>
    </row>
    <row r="147" spans="1:31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"/>
      <c r="AB147" s="4"/>
      <c r="AC147" s="4"/>
      <c r="AD147" s="2"/>
      <c r="AE147" s="5"/>
    </row>
    <row r="148" spans="1:31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"/>
      <c r="AB148" s="4"/>
      <c r="AC148" s="4"/>
      <c r="AD148" s="2"/>
      <c r="AE148" s="5"/>
    </row>
    <row r="149" spans="1:31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"/>
      <c r="AB149" s="4"/>
      <c r="AC149" s="4"/>
      <c r="AD149" s="2"/>
      <c r="AE149" s="5"/>
    </row>
    <row r="150" spans="1:31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"/>
      <c r="AB150" s="4"/>
      <c r="AC150" s="4"/>
      <c r="AD150" s="2"/>
      <c r="AE150" s="5"/>
    </row>
    <row r="151" spans="1:3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"/>
      <c r="AB151" s="4"/>
      <c r="AC151" s="4"/>
      <c r="AD151" s="2"/>
      <c r="AE151" s="5"/>
    </row>
    <row r="152" spans="1:31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"/>
      <c r="AB152" s="4"/>
      <c r="AC152" s="4"/>
      <c r="AD152" s="2"/>
      <c r="AE152" s="5"/>
    </row>
    <row r="153" spans="1:31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"/>
      <c r="AB153" s="4"/>
      <c r="AC153" s="4"/>
      <c r="AD153" s="2"/>
      <c r="AE153" s="5"/>
    </row>
    <row r="154" spans="1:31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"/>
      <c r="AB154" s="4"/>
      <c r="AC154" s="4"/>
      <c r="AD154" s="2"/>
      <c r="AE154" s="5"/>
    </row>
    <row r="155" spans="1:31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"/>
      <c r="AB155" s="4"/>
      <c r="AC155" s="4"/>
      <c r="AD155" s="2"/>
      <c r="AE155" s="5"/>
    </row>
    <row r="156" spans="1:31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"/>
      <c r="AB156" s="4"/>
      <c r="AC156" s="4"/>
      <c r="AD156" s="2"/>
      <c r="AE156" s="5"/>
    </row>
    <row r="157" spans="1:31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"/>
      <c r="AB157" s="4"/>
      <c r="AC157" s="4"/>
      <c r="AD157" s="2"/>
      <c r="AE157" s="5"/>
    </row>
    <row r="158" spans="1:31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"/>
      <c r="AB158" s="4"/>
      <c r="AC158" s="4"/>
      <c r="AD158" s="2"/>
      <c r="AE158" s="5"/>
    </row>
    <row r="159" spans="1:31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"/>
      <c r="AB159" s="4"/>
      <c r="AC159" s="4"/>
      <c r="AD159" s="2"/>
      <c r="AE159" s="5"/>
    </row>
    <row r="160" spans="1:31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"/>
      <c r="AB160" s="4"/>
      <c r="AC160" s="4"/>
      <c r="AD160" s="2"/>
      <c r="AE160" s="5"/>
    </row>
    <row r="161" spans="1:3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"/>
      <c r="AB161" s="4"/>
      <c r="AC161" s="4"/>
      <c r="AD161" s="2"/>
      <c r="AE161" s="5"/>
    </row>
    <row r="162" spans="1:31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"/>
      <c r="AB162" s="4"/>
      <c r="AC162" s="4"/>
      <c r="AD162" s="2"/>
      <c r="AE162" s="5"/>
    </row>
    <row r="163" spans="1:31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"/>
      <c r="AB163" s="4"/>
      <c r="AC163" s="4"/>
      <c r="AD163" s="2"/>
      <c r="AE163" s="5"/>
    </row>
    <row r="164" spans="1:31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"/>
      <c r="AB164" s="4"/>
      <c r="AC164" s="4"/>
      <c r="AD164" s="2"/>
      <c r="AE164" s="5"/>
    </row>
    <row r="165" spans="1:31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"/>
      <c r="AB165" s="4"/>
      <c r="AC165" s="4"/>
      <c r="AD165" s="2"/>
      <c r="AE165" s="5"/>
    </row>
    <row r="166" spans="1:31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"/>
      <c r="AB166" s="4"/>
      <c r="AC166" s="4"/>
      <c r="AD166" s="2"/>
      <c r="AE166" s="5"/>
    </row>
    <row r="167" spans="1:31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"/>
      <c r="AB167" s="4"/>
      <c r="AC167" s="4"/>
      <c r="AD167" s="2"/>
      <c r="AE167" s="5"/>
    </row>
    <row r="168" spans="1:31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"/>
      <c r="AB168" s="4"/>
      <c r="AC168" s="4"/>
      <c r="AD168" s="2"/>
      <c r="AE168" s="5"/>
    </row>
    <row r="169" spans="1:31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"/>
      <c r="AB169" s="4"/>
      <c r="AC169" s="4"/>
      <c r="AD169" s="2"/>
      <c r="AE169" s="5"/>
    </row>
    <row r="170" spans="1:31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"/>
      <c r="AB170" s="4"/>
      <c r="AC170" s="4"/>
      <c r="AD170" s="2"/>
      <c r="AE170" s="5"/>
    </row>
    <row r="171" spans="1:3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"/>
      <c r="AB171" s="4"/>
      <c r="AC171" s="4"/>
      <c r="AD171" s="2"/>
      <c r="AE171" s="5"/>
    </row>
    <row r="172" spans="1:31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"/>
      <c r="AB172" s="4"/>
      <c r="AC172" s="4"/>
      <c r="AD172" s="2"/>
      <c r="AE172" s="5"/>
    </row>
    <row r="173" spans="1:31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"/>
      <c r="AB173" s="4"/>
      <c r="AC173" s="4"/>
      <c r="AD173" s="2"/>
      <c r="AE173" s="5"/>
    </row>
    <row r="174" spans="1:31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"/>
      <c r="AB174" s="4"/>
      <c r="AC174" s="4"/>
      <c r="AD174" s="2"/>
      <c r="AE174" s="5"/>
    </row>
    <row r="175" spans="1:31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"/>
      <c r="AB175" s="4"/>
      <c r="AC175" s="4"/>
      <c r="AD175" s="2"/>
      <c r="AE175" s="5"/>
    </row>
    <row r="176" spans="1:31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"/>
      <c r="AB176" s="4"/>
      <c r="AC176" s="4"/>
      <c r="AD176" s="2"/>
      <c r="AE176" s="5"/>
    </row>
    <row r="177" spans="1:31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"/>
      <c r="AB177" s="4"/>
      <c r="AC177" s="4"/>
      <c r="AD177" s="2"/>
      <c r="AE177" s="5"/>
    </row>
    <row r="178" spans="1:31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"/>
      <c r="AB178" s="4"/>
      <c r="AC178" s="4"/>
      <c r="AD178" s="2"/>
      <c r="AE178" s="5"/>
    </row>
    <row r="179" spans="1:31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"/>
      <c r="AB179" s="4"/>
      <c r="AC179" s="4"/>
      <c r="AD179" s="2"/>
      <c r="AE179" s="5"/>
    </row>
    <row r="180" spans="1:31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"/>
      <c r="AB180" s="4"/>
      <c r="AC180" s="4"/>
      <c r="AD180" s="2"/>
      <c r="AE180" s="5"/>
    </row>
    <row r="181" spans="1:3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"/>
      <c r="AB181" s="4"/>
      <c r="AC181" s="4"/>
      <c r="AD181" s="2"/>
      <c r="AE181" s="5"/>
    </row>
    <row r="182" spans="1:31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"/>
      <c r="AB182" s="4"/>
      <c r="AC182" s="4"/>
      <c r="AD182" s="2"/>
      <c r="AE182" s="5"/>
    </row>
    <row r="183" spans="1:31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"/>
      <c r="AB183" s="4"/>
      <c r="AC183" s="4"/>
      <c r="AD183" s="2"/>
      <c r="AE183" s="5"/>
    </row>
    <row r="184" spans="1:31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"/>
      <c r="AB184" s="4"/>
      <c r="AC184" s="4"/>
      <c r="AD184" s="2"/>
      <c r="AE184" s="5"/>
    </row>
    <row r="185" spans="1:31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"/>
      <c r="AB185" s="4"/>
      <c r="AC185" s="4"/>
      <c r="AD185" s="2"/>
      <c r="AE185" s="5"/>
    </row>
    <row r="186" spans="1:31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"/>
      <c r="AB186" s="4"/>
      <c r="AC186" s="4"/>
      <c r="AD186" s="2"/>
      <c r="AE186" s="5"/>
    </row>
    <row r="187" spans="1:31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"/>
      <c r="AB187" s="4"/>
      <c r="AC187" s="4"/>
      <c r="AD187" s="2"/>
      <c r="AE187" s="5"/>
    </row>
    <row r="188" spans="1:31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"/>
      <c r="AB188" s="4"/>
      <c r="AC188" s="4"/>
      <c r="AD188" s="2"/>
      <c r="AE188" s="5"/>
    </row>
    <row r="189" spans="1:31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"/>
      <c r="AB189" s="4"/>
      <c r="AC189" s="4"/>
      <c r="AD189" s="2"/>
      <c r="AE189" s="5"/>
    </row>
    <row r="190" spans="1:31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"/>
      <c r="AB190" s="4"/>
      <c r="AC190" s="4"/>
      <c r="AD190" s="2"/>
      <c r="AE190" s="5"/>
    </row>
    <row r="191" spans="1:3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"/>
      <c r="AB191" s="4"/>
      <c r="AC191" s="4"/>
      <c r="AD191" s="2"/>
      <c r="AE191" s="5"/>
    </row>
    <row r="192" spans="1:31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"/>
      <c r="AB192" s="4"/>
      <c r="AC192" s="4"/>
      <c r="AD192" s="2"/>
      <c r="AE192" s="5"/>
    </row>
    <row r="193" spans="1:31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"/>
      <c r="AB193" s="4"/>
      <c r="AC193" s="4"/>
      <c r="AD193" s="2"/>
      <c r="AE193" s="5"/>
    </row>
    <row r="194" spans="1:31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"/>
      <c r="AB194" s="4"/>
      <c r="AC194" s="4"/>
      <c r="AD194" s="2"/>
      <c r="AE194" s="5"/>
    </row>
    <row r="195" spans="1:31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"/>
      <c r="AB195" s="4"/>
      <c r="AC195" s="4"/>
      <c r="AD195" s="2"/>
      <c r="AE195" s="5"/>
    </row>
    <row r="196" spans="1:31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"/>
      <c r="AB196" s="4"/>
      <c r="AC196" s="4"/>
      <c r="AD196" s="2"/>
      <c r="AE196" s="5"/>
    </row>
    <row r="197" spans="1:31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"/>
      <c r="AB197" s="4"/>
      <c r="AC197" s="4"/>
      <c r="AD197" s="2"/>
      <c r="AE197" s="5"/>
    </row>
    <row r="198" spans="1:31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"/>
      <c r="AB198" s="4"/>
      <c r="AC198" s="4"/>
      <c r="AD198" s="2"/>
      <c r="AE198" s="5"/>
    </row>
    <row r="199" spans="1:31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"/>
      <c r="AB199" s="4"/>
      <c r="AC199" s="4"/>
      <c r="AD199" s="2"/>
      <c r="AE199" s="5"/>
    </row>
    <row r="200" spans="1:31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"/>
      <c r="AB200" s="4"/>
      <c r="AC200" s="4"/>
      <c r="AD200" s="2"/>
      <c r="AE200" s="5"/>
    </row>
    <row r="201" spans="1:3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"/>
      <c r="AB201" s="4"/>
      <c r="AC201" s="4"/>
      <c r="AD201" s="2"/>
      <c r="AE201" s="5"/>
    </row>
    <row r="202" spans="1:31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"/>
      <c r="AB202" s="4"/>
      <c r="AC202" s="4"/>
      <c r="AD202" s="2"/>
      <c r="AE202" s="5"/>
    </row>
    <row r="203" spans="1:31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"/>
      <c r="AB203" s="4"/>
      <c r="AC203" s="4"/>
      <c r="AD203" s="2"/>
      <c r="AE203" s="5"/>
    </row>
    <row r="204" spans="1:31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"/>
      <c r="AB204" s="4"/>
      <c r="AC204" s="4"/>
      <c r="AD204" s="2"/>
      <c r="AE204" s="5"/>
    </row>
    <row r="205" spans="1:31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"/>
      <c r="AB205" s="4"/>
      <c r="AC205" s="4"/>
      <c r="AD205" s="2"/>
      <c r="AE205" s="5"/>
    </row>
    <row r="206" spans="1:31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"/>
      <c r="AB206" s="4"/>
      <c r="AC206" s="4"/>
      <c r="AD206" s="2"/>
      <c r="AE206" s="5"/>
    </row>
    <row r="207" spans="1:31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"/>
      <c r="AB207" s="4"/>
      <c r="AC207" s="4"/>
      <c r="AD207" s="2"/>
      <c r="AE207" s="5"/>
    </row>
    <row r="208" spans="1:31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"/>
      <c r="AB208" s="4"/>
      <c r="AC208" s="4"/>
      <c r="AD208" s="2"/>
      <c r="AE208" s="5"/>
    </row>
    <row r="209" spans="1:31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"/>
      <c r="AB209" s="4"/>
      <c r="AC209" s="4"/>
      <c r="AD209" s="2"/>
      <c r="AE209" s="5"/>
    </row>
    <row r="210" spans="1:31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"/>
      <c r="AB210" s="4"/>
      <c r="AC210" s="4"/>
      <c r="AD210" s="2"/>
      <c r="AE210" s="5"/>
    </row>
    <row r="211" spans="1:3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"/>
      <c r="AB211" s="4"/>
      <c r="AC211" s="4"/>
      <c r="AD211" s="2"/>
      <c r="AE211" s="5"/>
    </row>
    <row r="212" spans="1:31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"/>
      <c r="AB212" s="4"/>
      <c r="AC212" s="4"/>
      <c r="AD212" s="2"/>
      <c r="AE212" s="5"/>
    </row>
    <row r="213" spans="1:31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"/>
      <c r="AB213" s="4"/>
      <c r="AC213" s="4"/>
      <c r="AD213" s="2"/>
      <c r="AE213" s="5"/>
    </row>
    <row r="214" spans="1:31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"/>
      <c r="AB214" s="4"/>
      <c r="AC214" s="4"/>
      <c r="AD214" s="2"/>
      <c r="AE214" s="5"/>
    </row>
    <row r="215" spans="1:31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"/>
      <c r="AB215" s="4"/>
      <c r="AC215" s="4"/>
      <c r="AD215" s="2"/>
      <c r="AE215" s="5"/>
    </row>
    <row r="216" spans="1:31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"/>
      <c r="AB216" s="4"/>
      <c r="AC216" s="4"/>
      <c r="AD216" s="2"/>
      <c r="AE216" s="5"/>
    </row>
    <row r="217" spans="1:31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"/>
      <c r="AB217" s="4"/>
      <c r="AC217" s="4"/>
      <c r="AD217" s="2"/>
      <c r="AE217" s="5"/>
    </row>
    <row r="218" spans="1:31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"/>
      <c r="AB218" s="4"/>
      <c r="AC218" s="4"/>
      <c r="AD218" s="2"/>
      <c r="AE218" s="5"/>
    </row>
    <row r="219" spans="1:31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"/>
      <c r="AB219" s="4"/>
      <c r="AC219" s="4"/>
      <c r="AD219" s="2"/>
      <c r="AE219" s="5"/>
    </row>
    <row r="220" spans="1:31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"/>
      <c r="AB220" s="4"/>
      <c r="AC220" s="4"/>
      <c r="AD220" s="2"/>
      <c r="AE220" s="5"/>
    </row>
    <row r="221" spans="1:3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"/>
      <c r="AB221" s="4"/>
      <c r="AC221" s="4"/>
      <c r="AD221" s="2"/>
      <c r="AE221" s="5"/>
    </row>
    <row r="222" spans="1:31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"/>
      <c r="AB222" s="4"/>
      <c r="AC222" s="4"/>
      <c r="AD222" s="2"/>
      <c r="AE222" s="5"/>
    </row>
    <row r="223" spans="1:31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"/>
      <c r="AB223" s="4"/>
      <c r="AC223" s="4"/>
      <c r="AD223" s="2"/>
      <c r="AE223" s="5"/>
    </row>
    <row r="224" spans="1:31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"/>
      <c r="AB224" s="4"/>
      <c r="AC224" s="4"/>
      <c r="AD224" s="2"/>
      <c r="AE224" s="5"/>
    </row>
    <row r="225" spans="1:31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"/>
      <c r="AB225" s="4"/>
      <c r="AC225" s="4"/>
      <c r="AD225" s="2"/>
      <c r="AE225" s="5"/>
    </row>
    <row r="226" spans="1:31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"/>
      <c r="AB226" s="4"/>
      <c r="AC226" s="4"/>
      <c r="AD226" s="2"/>
      <c r="AE226" s="5"/>
    </row>
    <row r="227" spans="1:31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"/>
      <c r="AB227" s="4"/>
      <c r="AC227" s="4"/>
      <c r="AD227" s="2"/>
      <c r="AE227" s="5"/>
    </row>
    <row r="228" spans="1:31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"/>
      <c r="AB228" s="4"/>
      <c r="AC228" s="4"/>
      <c r="AD228" s="2"/>
      <c r="AE228" s="5"/>
    </row>
    <row r="229" spans="1:31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"/>
      <c r="AB229" s="4"/>
      <c r="AC229" s="4"/>
      <c r="AD229" s="2"/>
      <c r="AE229" s="5"/>
    </row>
    <row r="230" spans="1:31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"/>
      <c r="AB230" s="4"/>
      <c r="AC230" s="4"/>
      <c r="AD230" s="2"/>
      <c r="AE230" s="5"/>
    </row>
    <row r="231" spans="1: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"/>
      <c r="AB231" s="4"/>
      <c r="AC231" s="4"/>
      <c r="AD231" s="2"/>
      <c r="AE231" s="5"/>
    </row>
    <row r="232" spans="1:31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"/>
      <c r="AB232" s="4"/>
      <c r="AC232" s="4"/>
      <c r="AD232" s="2"/>
      <c r="AE232" s="5"/>
    </row>
    <row r="233" spans="1:31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"/>
      <c r="AB233" s="4"/>
      <c r="AC233" s="4"/>
      <c r="AD233" s="2"/>
      <c r="AE233" s="5"/>
    </row>
    <row r="234" spans="1:31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"/>
      <c r="AB234" s="4"/>
      <c r="AC234" s="4"/>
      <c r="AD234" s="2"/>
      <c r="AE234" s="5"/>
    </row>
    <row r="235" spans="1:31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"/>
      <c r="AB235" s="4"/>
      <c r="AC235" s="4"/>
      <c r="AD235" s="2"/>
      <c r="AE235" s="5"/>
    </row>
    <row r="236" spans="1:31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"/>
      <c r="AB236" s="4"/>
      <c r="AC236" s="4"/>
      <c r="AD236" s="2"/>
      <c r="AE236" s="5"/>
    </row>
    <row r="237" spans="1:31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"/>
      <c r="AB237" s="4"/>
      <c r="AC237" s="4"/>
      <c r="AD237" s="2"/>
      <c r="AE237" s="5"/>
    </row>
    <row r="238" spans="1:31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"/>
      <c r="AB238" s="4"/>
      <c r="AC238" s="4"/>
      <c r="AD238" s="2"/>
      <c r="AE238" s="5"/>
    </row>
    <row r="239" spans="1:31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"/>
      <c r="AB239" s="4"/>
      <c r="AC239" s="4"/>
      <c r="AD239" s="2"/>
      <c r="AE239" s="5"/>
    </row>
    <row r="240" spans="1:31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"/>
      <c r="AB240" s="4"/>
      <c r="AC240" s="4"/>
      <c r="AD240" s="2"/>
      <c r="AE240" s="5"/>
    </row>
    <row r="241" spans="1:3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"/>
      <c r="AB241" s="4"/>
      <c r="AC241" s="4"/>
      <c r="AD241" s="2"/>
      <c r="AE241" s="5"/>
    </row>
    <row r="242" spans="1:31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"/>
      <c r="AB242" s="4"/>
      <c r="AC242" s="4"/>
      <c r="AD242" s="2"/>
      <c r="AE242" s="5"/>
    </row>
    <row r="243" spans="1:31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"/>
      <c r="AB243" s="4"/>
      <c r="AC243" s="4"/>
      <c r="AD243" s="2"/>
      <c r="AE243" s="5"/>
    </row>
    <row r="244" spans="1:31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"/>
      <c r="AB244" s="4"/>
      <c r="AC244" s="4"/>
      <c r="AD244" s="2"/>
      <c r="AE244" s="5"/>
    </row>
    <row r="245" spans="1:31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"/>
      <c r="AB245" s="4"/>
      <c r="AC245" s="4"/>
      <c r="AD245" s="2"/>
      <c r="AE245" s="5"/>
    </row>
    <row r="246" spans="1:31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"/>
      <c r="AB246" s="4"/>
      <c r="AC246" s="4"/>
      <c r="AD246" s="2"/>
      <c r="AE246" s="5"/>
    </row>
    <row r="247" spans="1:31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"/>
      <c r="AB247" s="4"/>
      <c r="AC247" s="4"/>
      <c r="AD247" s="2"/>
      <c r="AE247" s="5"/>
    </row>
    <row r="248" spans="1:31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"/>
      <c r="AB248" s="4"/>
      <c r="AC248" s="4"/>
      <c r="AD248" s="2"/>
      <c r="AE248" s="5"/>
    </row>
    <row r="249" spans="1:31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"/>
      <c r="AB249" s="4"/>
      <c r="AC249" s="4"/>
      <c r="AD249" s="2"/>
      <c r="AE249" s="5"/>
    </row>
    <row r="250" spans="1:31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"/>
      <c r="AB250" s="4"/>
      <c r="AC250" s="4"/>
      <c r="AD250" s="2"/>
      <c r="AE250" s="5"/>
    </row>
    <row r="251" spans="1:3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"/>
      <c r="AB251" s="4"/>
      <c r="AC251" s="4"/>
      <c r="AD251" s="2"/>
      <c r="AE251" s="5"/>
    </row>
    <row r="252" spans="1:31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"/>
      <c r="AB252" s="4"/>
      <c r="AC252" s="4"/>
      <c r="AD252" s="2"/>
      <c r="AE252" s="5"/>
    </row>
    <row r="253" spans="1:31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"/>
      <c r="AB253" s="4"/>
      <c r="AC253" s="4"/>
      <c r="AD253" s="2"/>
      <c r="AE253" s="5"/>
    </row>
    <row r="254" spans="1:31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"/>
      <c r="AB254" s="4"/>
      <c r="AC254" s="4"/>
      <c r="AD254" s="2"/>
      <c r="AE254" s="5"/>
    </row>
    <row r="255" spans="1:31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"/>
      <c r="AB255" s="4"/>
      <c r="AC255" s="4"/>
      <c r="AD255" s="2"/>
      <c r="AE255" s="5"/>
    </row>
    <row r="256" spans="1:31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"/>
      <c r="AB256" s="4"/>
      <c r="AC256" s="4"/>
      <c r="AD256" s="2"/>
      <c r="AE256" s="5"/>
    </row>
    <row r="257" spans="1:31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"/>
      <c r="AB257" s="4"/>
      <c r="AC257" s="4"/>
      <c r="AD257" s="2"/>
      <c r="AE257" s="5"/>
    </row>
    <row r="258" spans="1:31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"/>
      <c r="AB258" s="4"/>
      <c r="AC258" s="4"/>
      <c r="AD258" s="2"/>
      <c r="AE258" s="5"/>
    </row>
    <row r="259" spans="1:31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"/>
      <c r="AB259" s="4"/>
      <c r="AC259" s="4"/>
      <c r="AD259" s="2"/>
      <c r="AE259" s="5"/>
    </row>
    <row r="260" spans="1:31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"/>
      <c r="AB260" s="4"/>
      <c r="AC260" s="4"/>
      <c r="AD260" s="2"/>
      <c r="AE260" s="5"/>
    </row>
    <row r="261" spans="1:3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"/>
      <c r="AB261" s="4"/>
      <c r="AC261" s="4"/>
      <c r="AD261" s="2"/>
      <c r="AE261" s="5"/>
    </row>
    <row r="262" spans="1:31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"/>
      <c r="AB262" s="4"/>
      <c r="AC262" s="4"/>
      <c r="AD262" s="2"/>
      <c r="AE262" s="5"/>
    </row>
    <row r="263" spans="1:31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"/>
      <c r="AB263" s="4"/>
      <c r="AC263" s="4"/>
      <c r="AD263" s="2"/>
      <c r="AE263" s="5"/>
    </row>
    <row r="264" spans="1:31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"/>
      <c r="AB264" s="4"/>
      <c r="AC264" s="4"/>
      <c r="AD264" s="2"/>
      <c r="AE264" s="5"/>
    </row>
    <row r="265" spans="1:31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"/>
      <c r="AB265" s="4"/>
      <c r="AC265" s="4"/>
      <c r="AD265" s="2"/>
      <c r="AE265" s="5"/>
    </row>
    <row r="266" spans="1:31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"/>
      <c r="AB266" s="4"/>
      <c r="AC266" s="4"/>
      <c r="AD266" s="2"/>
      <c r="AE266" s="5"/>
    </row>
    <row r="267" spans="1:31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"/>
      <c r="AB267" s="4"/>
      <c r="AC267" s="4"/>
      <c r="AD267" s="2"/>
      <c r="AE267" s="5"/>
    </row>
    <row r="268" spans="1:31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"/>
      <c r="AB268" s="4"/>
      <c r="AC268" s="4"/>
      <c r="AD268" s="2"/>
      <c r="AE268" s="5"/>
    </row>
    <row r="269" spans="1:31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"/>
      <c r="AB269" s="4"/>
      <c r="AC269" s="4"/>
      <c r="AD269" s="2"/>
      <c r="AE269" s="5"/>
    </row>
    <row r="270" spans="1:31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"/>
      <c r="AB270" s="4"/>
      <c r="AC270" s="4"/>
      <c r="AD270" s="2"/>
      <c r="AE270" s="5"/>
    </row>
    <row r="271" spans="1:3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"/>
      <c r="AB271" s="4"/>
      <c r="AC271" s="4"/>
      <c r="AD271" s="2"/>
      <c r="AE271" s="5"/>
    </row>
    <row r="272" spans="1:31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"/>
      <c r="AB272" s="4"/>
      <c r="AC272" s="4"/>
      <c r="AD272" s="2"/>
      <c r="AE272" s="5"/>
    </row>
    <row r="273" spans="1:31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"/>
      <c r="AB273" s="4"/>
      <c r="AC273" s="4"/>
      <c r="AD273" s="2"/>
      <c r="AE273" s="5"/>
    </row>
    <row r="274" spans="1:31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"/>
      <c r="AB274" s="4"/>
      <c r="AC274" s="4"/>
      <c r="AD274" s="2"/>
      <c r="AE274" s="5"/>
    </row>
    <row r="275" spans="1:31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"/>
      <c r="AB275" s="4"/>
      <c r="AC275" s="4"/>
      <c r="AD275" s="2"/>
      <c r="AE275" s="5"/>
    </row>
    <row r="276" spans="1:31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"/>
      <c r="AB276" s="4"/>
      <c r="AC276" s="4"/>
      <c r="AD276" s="2"/>
      <c r="AE276" s="5"/>
    </row>
    <row r="277" spans="1:31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"/>
      <c r="AB277" s="4"/>
      <c r="AC277" s="4"/>
      <c r="AD277" s="2"/>
      <c r="AE277" s="5"/>
    </row>
    <row r="278" spans="1:31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"/>
      <c r="AB278" s="4"/>
      <c r="AC278" s="4"/>
      <c r="AD278" s="2"/>
      <c r="AE278" s="5"/>
    </row>
    <row r="279" spans="1:31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"/>
      <c r="AB279" s="4"/>
      <c r="AC279" s="4"/>
      <c r="AD279" s="2"/>
      <c r="AE279" s="5"/>
    </row>
    <row r="280" spans="1:31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"/>
      <c r="AB280" s="4"/>
      <c r="AC280" s="4"/>
      <c r="AD280" s="2"/>
      <c r="AE280" s="5"/>
    </row>
    <row r="281" spans="1:3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"/>
      <c r="AB281" s="4"/>
      <c r="AC281" s="4"/>
      <c r="AD281" s="2"/>
      <c r="AE281" s="5"/>
    </row>
    <row r="282" spans="1:31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"/>
      <c r="AB282" s="4"/>
      <c r="AC282" s="4"/>
      <c r="AD282" s="2"/>
      <c r="AE282" s="5"/>
    </row>
    <row r="283" spans="1:31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"/>
      <c r="AB283" s="4"/>
      <c r="AC283" s="4"/>
      <c r="AD283" s="2"/>
      <c r="AE283" s="5"/>
    </row>
    <row r="284" spans="1:31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"/>
      <c r="AB284" s="4"/>
      <c r="AC284" s="4"/>
      <c r="AD284" s="2"/>
      <c r="AE284" s="5"/>
    </row>
    <row r="285" spans="1:31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"/>
      <c r="AB285" s="4"/>
      <c r="AC285" s="4"/>
      <c r="AD285" s="2"/>
      <c r="AE285" s="5"/>
    </row>
    <row r="286" spans="1:31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"/>
      <c r="AB286" s="4"/>
      <c r="AC286" s="4"/>
      <c r="AD286" s="2"/>
      <c r="AE286" s="5"/>
    </row>
    <row r="287" spans="1:31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"/>
      <c r="AB287" s="4"/>
      <c r="AC287" s="4"/>
      <c r="AD287" s="2"/>
      <c r="AE287" s="5"/>
    </row>
    <row r="288" spans="1:31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"/>
      <c r="AB288" s="4"/>
      <c r="AC288" s="4"/>
      <c r="AD288" s="2"/>
      <c r="AE288" s="5"/>
    </row>
    <row r="289" spans="1:31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"/>
      <c r="AB289" s="4"/>
      <c r="AC289" s="4"/>
      <c r="AD289" s="2"/>
      <c r="AE289" s="5"/>
    </row>
    <row r="290" spans="1:31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"/>
      <c r="AB290" s="4"/>
      <c r="AC290" s="4"/>
      <c r="AD290" s="2"/>
      <c r="AE290" s="5"/>
    </row>
    <row r="291" spans="1:3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"/>
      <c r="AB291" s="4"/>
      <c r="AC291" s="4"/>
      <c r="AD291" s="2"/>
      <c r="AE291" s="5"/>
    </row>
    <row r="292" spans="1:31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"/>
      <c r="AB292" s="4"/>
      <c r="AC292" s="4"/>
      <c r="AD292" s="2"/>
      <c r="AE292" s="5"/>
    </row>
    <row r="293" spans="1:31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"/>
      <c r="AB293" s="4"/>
      <c r="AC293" s="4"/>
      <c r="AD293" s="2"/>
      <c r="AE293" s="5"/>
    </row>
    <row r="294" spans="1:31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"/>
      <c r="AB294" s="4"/>
      <c r="AC294" s="4"/>
      <c r="AD294" s="2"/>
      <c r="AE294" s="5"/>
    </row>
    <row r="295" spans="1:31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"/>
      <c r="AB295" s="4"/>
      <c r="AC295" s="4"/>
      <c r="AD295" s="2"/>
      <c r="AE295" s="5"/>
    </row>
    <row r="296" spans="1:31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"/>
      <c r="AB296" s="4"/>
      <c r="AC296" s="4"/>
      <c r="AD296" s="2"/>
      <c r="AE296" s="5"/>
    </row>
    <row r="297" spans="1:31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"/>
      <c r="AB297" s="4"/>
      <c r="AC297" s="4"/>
      <c r="AD297" s="2"/>
      <c r="AE297" s="5"/>
    </row>
    <row r="298" spans="1:31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"/>
      <c r="AB298" s="4"/>
      <c r="AC298" s="4"/>
      <c r="AD298" s="2"/>
      <c r="AE298" s="5"/>
    </row>
    <row r="299" spans="1:31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"/>
      <c r="AB299" s="4"/>
      <c r="AC299" s="4"/>
      <c r="AD299" s="2"/>
      <c r="AE299" s="5"/>
    </row>
    <row r="300" spans="1:31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"/>
      <c r="AB300" s="4"/>
      <c r="AC300" s="4"/>
      <c r="AD300" s="2"/>
      <c r="AE300" s="5"/>
    </row>
    <row r="301" spans="1:3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"/>
      <c r="AB301" s="4"/>
      <c r="AC301" s="4"/>
      <c r="AD301" s="2"/>
      <c r="AE301" s="5"/>
    </row>
    <row r="302" spans="1:31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"/>
      <c r="AB302" s="4"/>
      <c r="AC302" s="4"/>
      <c r="AD302" s="2"/>
      <c r="AE302" s="5"/>
    </row>
    <row r="303" spans="1:31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"/>
      <c r="AB303" s="4"/>
      <c r="AC303" s="4"/>
      <c r="AD303" s="2"/>
      <c r="AE303" s="5"/>
    </row>
    <row r="304" spans="1:31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"/>
      <c r="AB304" s="4"/>
      <c r="AC304" s="4"/>
      <c r="AD304" s="2"/>
      <c r="AE304" s="5"/>
    </row>
    <row r="305" spans="1:31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"/>
      <c r="AB305" s="4"/>
      <c r="AC305" s="4"/>
      <c r="AD305" s="2"/>
      <c r="AE305" s="5"/>
    </row>
    <row r="306" spans="1:31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"/>
      <c r="AB306" s="4"/>
      <c r="AC306" s="4"/>
      <c r="AD306" s="2"/>
      <c r="AE306" s="5"/>
    </row>
    <row r="307" spans="1:31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"/>
      <c r="AB307" s="4"/>
      <c r="AC307" s="4"/>
      <c r="AD307" s="2"/>
      <c r="AE307" s="5"/>
    </row>
    <row r="308" spans="1:31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"/>
      <c r="AB308" s="4"/>
      <c r="AC308" s="4"/>
      <c r="AD308" s="2"/>
      <c r="AE308" s="5"/>
    </row>
    <row r="309" spans="1:31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"/>
      <c r="AB309" s="4"/>
      <c r="AC309" s="4"/>
      <c r="AD309" s="2"/>
      <c r="AE309" s="5"/>
    </row>
    <row r="310" spans="1:31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"/>
      <c r="AB310" s="4"/>
      <c r="AC310" s="4"/>
      <c r="AD310" s="2"/>
      <c r="AE310" s="5"/>
    </row>
    <row r="311" spans="1:3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"/>
      <c r="AB311" s="4"/>
      <c r="AC311" s="4"/>
      <c r="AD311" s="2"/>
      <c r="AE311" s="5"/>
    </row>
    <row r="312" spans="1:31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"/>
      <c r="AB312" s="4"/>
      <c r="AC312" s="4"/>
      <c r="AD312" s="2"/>
      <c r="AE312" s="5"/>
    </row>
    <row r="313" spans="1:31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"/>
      <c r="AB313" s="4"/>
      <c r="AC313" s="4"/>
      <c r="AD313" s="2"/>
      <c r="AE313" s="5"/>
    </row>
    <row r="314" spans="1:31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"/>
      <c r="AB314" s="4"/>
      <c r="AC314" s="4"/>
      <c r="AD314" s="2"/>
      <c r="AE314" s="5"/>
    </row>
    <row r="315" spans="1:31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"/>
      <c r="AB315" s="4"/>
      <c r="AC315" s="4"/>
      <c r="AD315" s="2"/>
      <c r="AE315" s="5"/>
    </row>
    <row r="316" spans="1:31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"/>
      <c r="AB316" s="4"/>
      <c r="AC316" s="4"/>
      <c r="AD316" s="2"/>
      <c r="AE316" s="5"/>
    </row>
    <row r="317" spans="1:31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"/>
      <c r="AB317" s="4"/>
      <c r="AC317" s="4"/>
      <c r="AD317" s="2"/>
      <c r="AE317" s="5"/>
    </row>
    <row r="318" spans="1:31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"/>
      <c r="AB318" s="4"/>
      <c r="AC318" s="4"/>
      <c r="AD318" s="2"/>
      <c r="AE318" s="5"/>
    </row>
    <row r="319" spans="1:31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"/>
      <c r="AB319" s="4"/>
      <c r="AC319" s="4"/>
      <c r="AD319" s="2"/>
      <c r="AE319" s="5"/>
    </row>
    <row r="320" spans="1:31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"/>
      <c r="AB320" s="4"/>
      <c r="AC320" s="4"/>
      <c r="AD320" s="2"/>
      <c r="AE320" s="5"/>
    </row>
    <row r="321" spans="1:3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"/>
      <c r="AB321" s="4"/>
      <c r="AC321" s="4"/>
      <c r="AD321" s="2"/>
      <c r="AE321" s="5"/>
    </row>
    <row r="322" spans="1:31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"/>
      <c r="AB322" s="4"/>
      <c r="AC322" s="4"/>
      <c r="AD322" s="2"/>
      <c r="AE322" s="5"/>
    </row>
    <row r="323" spans="1:31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"/>
      <c r="AB323" s="4"/>
      <c r="AC323" s="4"/>
      <c r="AD323" s="2"/>
      <c r="AE323" s="5"/>
    </row>
    <row r="324" spans="1:31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"/>
      <c r="AB324" s="4"/>
      <c r="AC324" s="4"/>
      <c r="AD324" s="2"/>
      <c r="AE324" s="5"/>
    </row>
    <row r="325" spans="1:31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"/>
      <c r="AB325" s="4"/>
      <c r="AC325" s="4"/>
      <c r="AD325" s="2"/>
      <c r="AE325" s="5"/>
    </row>
    <row r="326" spans="1:31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"/>
      <c r="AB326" s="4"/>
      <c r="AC326" s="4"/>
      <c r="AD326" s="2"/>
      <c r="AE326" s="5"/>
    </row>
    <row r="327" spans="1:31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"/>
      <c r="AB327" s="4"/>
      <c r="AC327" s="4"/>
      <c r="AD327" s="2"/>
      <c r="AE327" s="5"/>
    </row>
    <row r="328" spans="1:31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"/>
      <c r="AB328" s="4"/>
      <c r="AC328" s="4"/>
      <c r="AD328" s="2"/>
      <c r="AE328" s="5"/>
    </row>
    <row r="329" spans="1:31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"/>
      <c r="AB329" s="4"/>
      <c r="AC329" s="4"/>
      <c r="AD329" s="2"/>
      <c r="AE329" s="5"/>
    </row>
    <row r="330" spans="1:31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"/>
      <c r="AB330" s="4"/>
      <c r="AC330" s="4"/>
      <c r="AD330" s="2"/>
      <c r="AE330" s="5"/>
    </row>
    <row r="331" spans="1: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"/>
      <c r="AB331" s="4"/>
      <c r="AC331" s="4"/>
      <c r="AD331" s="2"/>
      <c r="AE331" s="5"/>
    </row>
    <row r="332" spans="1:31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"/>
      <c r="AB332" s="4"/>
      <c r="AC332" s="4"/>
      <c r="AD332" s="2"/>
      <c r="AE332" s="5"/>
    </row>
    <row r="333" spans="1:31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"/>
      <c r="AB333" s="4"/>
      <c r="AC333" s="4"/>
      <c r="AD333" s="2"/>
      <c r="AE333" s="5"/>
    </row>
    <row r="334" spans="1:31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"/>
      <c r="AB334" s="4"/>
      <c r="AC334" s="4"/>
      <c r="AD334" s="2"/>
      <c r="AE334" s="5"/>
    </row>
    <row r="335" spans="1:31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"/>
      <c r="AB335" s="4"/>
      <c r="AC335" s="4"/>
      <c r="AD335" s="2"/>
      <c r="AE335" s="5"/>
    </row>
    <row r="336" spans="1:31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"/>
      <c r="AB336" s="4"/>
      <c r="AC336" s="4"/>
      <c r="AD336" s="2"/>
      <c r="AE336" s="5"/>
    </row>
    <row r="337" spans="1:31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"/>
      <c r="AB337" s="4"/>
      <c r="AC337" s="4"/>
      <c r="AD337" s="2"/>
      <c r="AE337" s="5"/>
    </row>
    <row r="338" spans="1:31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"/>
      <c r="AB338" s="4"/>
      <c r="AC338" s="4"/>
      <c r="AD338" s="2"/>
      <c r="AE338" s="5"/>
    </row>
    <row r="339" spans="1:31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"/>
      <c r="AB339" s="4"/>
      <c r="AC339" s="4"/>
      <c r="AD339" s="2"/>
      <c r="AE339" s="5"/>
    </row>
    <row r="340" spans="1:31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"/>
      <c r="AB340" s="4"/>
      <c r="AC340" s="4"/>
      <c r="AD340" s="2"/>
      <c r="AE340" s="5"/>
    </row>
    <row r="341" spans="1:3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"/>
      <c r="AB341" s="4"/>
      <c r="AC341" s="4"/>
      <c r="AD341" s="2"/>
      <c r="AE341" s="5"/>
    </row>
    <row r="342" spans="1:31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"/>
      <c r="AB342" s="4"/>
      <c r="AC342" s="4"/>
      <c r="AD342" s="2"/>
      <c r="AE342" s="5"/>
    </row>
    <row r="343" spans="1:31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"/>
      <c r="AB343" s="4"/>
      <c r="AC343" s="4"/>
      <c r="AD343" s="2"/>
      <c r="AE343" s="5"/>
    </row>
    <row r="344" spans="1:31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"/>
      <c r="AB344" s="4"/>
      <c r="AC344" s="4"/>
      <c r="AD344" s="2"/>
      <c r="AE344" s="5"/>
    </row>
    <row r="345" spans="1:31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"/>
      <c r="AB345" s="4"/>
      <c r="AC345" s="4"/>
      <c r="AD345" s="2"/>
      <c r="AE345" s="5"/>
    </row>
    <row r="346" spans="1:31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"/>
      <c r="AB346" s="4"/>
      <c r="AC346" s="4"/>
      <c r="AD346" s="2"/>
      <c r="AE346" s="5"/>
    </row>
    <row r="347" spans="1:31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"/>
      <c r="AB347" s="4"/>
      <c r="AC347" s="4"/>
      <c r="AD347" s="2"/>
      <c r="AE347" s="5"/>
    </row>
    <row r="348" spans="1:31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"/>
      <c r="AB348" s="4"/>
      <c r="AC348" s="4"/>
      <c r="AD348" s="2"/>
      <c r="AE348" s="5"/>
    </row>
    <row r="349" spans="1:31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"/>
      <c r="AB349" s="4"/>
      <c r="AC349" s="4"/>
      <c r="AD349" s="2"/>
      <c r="AE349" s="5"/>
    </row>
    <row r="350" spans="1:31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"/>
      <c r="AB350" s="4"/>
      <c r="AC350" s="4"/>
      <c r="AD350" s="2"/>
      <c r="AE350" s="5"/>
    </row>
    <row r="351" spans="1:3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"/>
      <c r="AB351" s="4"/>
      <c r="AC351" s="4"/>
      <c r="AD351" s="2"/>
      <c r="AE351" s="5"/>
    </row>
    <row r="352" spans="1:31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"/>
      <c r="AB352" s="4"/>
      <c r="AC352" s="4"/>
      <c r="AD352" s="2"/>
      <c r="AE352" s="5"/>
    </row>
    <row r="353" spans="1:31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"/>
      <c r="AB353" s="4"/>
      <c r="AC353" s="4"/>
      <c r="AD353" s="2"/>
      <c r="AE353" s="5"/>
    </row>
    <row r="354" spans="1:31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"/>
      <c r="AB354" s="4"/>
      <c r="AC354" s="4"/>
      <c r="AD354" s="2"/>
      <c r="AE354" s="5"/>
    </row>
    <row r="355" spans="1:31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"/>
      <c r="AB355" s="4"/>
      <c r="AC355" s="4"/>
      <c r="AD355" s="2"/>
      <c r="AE355" s="5"/>
    </row>
    <row r="356" spans="1:31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"/>
      <c r="AB356" s="4"/>
      <c r="AC356" s="4"/>
      <c r="AD356" s="2"/>
      <c r="AE356" s="5"/>
    </row>
    <row r="357" spans="1:31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"/>
      <c r="AB357" s="4"/>
      <c r="AC357" s="4"/>
      <c r="AD357" s="2"/>
      <c r="AE357" s="5"/>
    </row>
    <row r="358" spans="1:31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"/>
      <c r="AB358" s="4"/>
      <c r="AC358" s="4"/>
      <c r="AD358" s="2"/>
      <c r="AE358" s="5"/>
    </row>
    <row r="359" spans="1:31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"/>
      <c r="AB359" s="4"/>
      <c r="AC359" s="4"/>
      <c r="AD359" s="2"/>
      <c r="AE359" s="5"/>
    </row>
    <row r="360" spans="1:31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"/>
      <c r="AB360" s="4"/>
      <c r="AC360" s="4"/>
      <c r="AD360" s="2"/>
      <c r="AE360" s="5"/>
    </row>
    <row r="361" spans="1:3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"/>
      <c r="AB361" s="4"/>
      <c r="AC361" s="4"/>
      <c r="AD361" s="2"/>
      <c r="AE361" s="5"/>
    </row>
    <row r="362" spans="1:31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"/>
      <c r="AB362" s="4"/>
      <c r="AC362" s="4"/>
      <c r="AD362" s="2"/>
      <c r="AE362" s="5"/>
    </row>
    <row r="363" spans="1:31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"/>
      <c r="AB363" s="4"/>
      <c r="AC363" s="4"/>
      <c r="AD363" s="2"/>
      <c r="AE363" s="5"/>
    </row>
    <row r="364" spans="1:31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"/>
      <c r="AB364" s="4"/>
      <c r="AC364" s="4"/>
      <c r="AD364" s="2"/>
      <c r="AE364" s="5"/>
    </row>
    <row r="365" spans="1:31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"/>
      <c r="AB365" s="4"/>
      <c r="AC365" s="4"/>
      <c r="AD365" s="2"/>
      <c r="AE365" s="5"/>
    </row>
    <row r="366" spans="1:31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"/>
      <c r="AB366" s="4"/>
      <c r="AC366" s="4"/>
      <c r="AD366" s="2"/>
      <c r="AE366" s="5"/>
    </row>
    <row r="367" spans="1:31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"/>
      <c r="AB367" s="4"/>
      <c r="AC367" s="4"/>
      <c r="AD367" s="2"/>
      <c r="AE367" s="5"/>
    </row>
    <row r="368" spans="1:31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"/>
      <c r="AB368" s="4"/>
      <c r="AC368" s="4"/>
      <c r="AD368" s="2"/>
      <c r="AE368" s="5"/>
    </row>
    <row r="369" spans="1:31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"/>
      <c r="AB369" s="4"/>
      <c r="AC369" s="4"/>
      <c r="AD369" s="2"/>
      <c r="AE369" s="5"/>
    </row>
    <row r="370" spans="1:31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"/>
      <c r="AB370" s="4"/>
      <c r="AC370" s="4"/>
      <c r="AD370" s="2"/>
      <c r="AE370" s="5"/>
    </row>
    <row r="371" spans="1:3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"/>
      <c r="AB371" s="4"/>
      <c r="AC371" s="4"/>
      <c r="AD371" s="2"/>
      <c r="AE371" s="5"/>
    </row>
    <row r="372" spans="1:31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"/>
      <c r="AB372" s="4"/>
      <c r="AC372" s="4"/>
      <c r="AD372" s="2"/>
      <c r="AE372" s="5"/>
    </row>
    <row r="373" spans="1:31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"/>
      <c r="AB373" s="4"/>
      <c r="AC373" s="4"/>
      <c r="AD373" s="2"/>
      <c r="AE373" s="5"/>
    </row>
    <row r="374" spans="1:31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"/>
      <c r="AB374" s="4"/>
      <c r="AC374" s="4"/>
      <c r="AD374" s="2"/>
      <c r="AE374" s="5"/>
    </row>
    <row r="375" spans="1:31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"/>
      <c r="AB375" s="4"/>
      <c r="AC375" s="4"/>
      <c r="AD375" s="2"/>
      <c r="AE375" s="5"/>
    </row>
    <row r="376" spans="1:31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"/>
      <c r="AB376" s="4"/>
      <c r="AC376" s="4"/>
      <c r="AD376" s="2"/>
      <c r="AE376" s="5"/>
    </row>
    <row r="377" spans="1:31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"/>
      <c r="AB377" s="4"/>
      <c r="AC377" s="4"/>
      <c r="AD377" s="2"/>
      <c r="AE377" s="5"/>
    </row>
    <row r="378" spans="1:31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"/>
      <c r="AB378" s="4"/>
      <c r="AC378" s="4"/>
      <c r="AD378" s="2"/>
      <c r="AE378" s="5"/>
    </row>
    <row r="379" spans="1:31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"/>
      <c r="AB379" s="4"/>
      <c r="AC379" s="4"/>
      <c r="AD379" s="2"/>
      <c r="AE379" s="5"/>
    </row>
    <row r="380" spans="1:31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"/>
      <c r="AB380" s="4"/>
      <c r="AC380" s="4"/>
      <c r="AD380" s="2"/>
      <c r="AE380" s="5"/>
    </row>
    <row r="381" spans="1:3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"/>
      <c r="AB381" s="4"/>
      <c r="AC381" s="4"/>
      <c r="AD381" s="2"/>
      <c r="AE381" s="5"/>
    </row>
    <row r="382" spans="1:31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"/>
      <c r="AB382" s="4"/>
      <c r="AC382" s="4"/>
      <c r="AD382" s="2"/>
      <c r="AE382" s="5"/>
    </row>
    <row r="383" spans="1:31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"/>
      <c r="AB383" s="4"/>
      <c r="AC383" s="4"/>
      <c r="AD383" s="2"/>
      <c r="AE383" s="5"/>
    </row>
    <row r="384" spans="1:31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"/>
      <c r="AB384" s="4"/>
      <c r="AC384" s="4"/>
      <c r="AD384" s="2"/>
      <c r="AE384" s="5"/>
    </row>
    <row r="385" spans="1:31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"/>
      <c r="AB385" s="4"/>
      <c r="AC385" s="4"/>
      <c r="AD385" s="2"/>
      <c r="AE385" s="5"/>
    </row>
    <row r="386" spans="1:31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"/>
      <c r="AB386" s="4"/>
      <c r="AC386" s="4"/>
      <c r="AD386" s="2"/>
      <c r="AE386" s="5"/>
    </row>
    <row r="387" spans="1:31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"/>
      <c r="AB387" s="4"/>
      <c r="AC387" s="4"/>
      <c r="AD387" s="2"/>
      <c r="AE387" s="5"/>
    </row>
    <row r="388" spans="1:31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"/>
      <c r="AB388" s="4"/>
      <c r="AC388" s="4"/>
      <c r="AD388" s="2"/>
      <c r="AE388" s="5"/>
    </row>
    <row r="389" spans="1:31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"/>
      <c r="AB389" s="4"/>
      <c r="AC389" s="4"/>
      <c r="AD389" s="2"/>
      <c r="AE389" s="5"/>
    </row>
    <row r="390" spans="1:31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"/>
      <c r="AB390" s="4"/>
      <c r="AC390" s="4"/>
      <c r="AD390" s="2"/>
      <c r="AE390" s="5"/>
    </row>
    <row r="391" spans="1:3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"/>
      <c r="AB391" s="4"/>
      <c r="AC391" s="4"/>
      <c r="AD391" s="2"/>
      <c r="AE391" s="5"/>
    </row>
    <row r="392" spans="1:31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"/>
      <c r="AB392" s="4"/>
      <c r="AC392" s="4"/>
      <c r="AD392" s="2"/>
      <c r="AE392" s="5"/>
    </row>
    <row r="393" spans="1:31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"/>
      <c r="AB393" s="4"/>
      <c r="AC393" s="4"/>
      <c r="AD393" s="2"/>
      <c r="AE393" s="5"/>
    </row>
    <row r="394" spans="1:31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"/>
      <c r="AB394" s="4"/>
      <c r="AC394" s="4"/>
      <c r="AD394" s="2"/>
      <c r="AE394" s="5"/>
    </row>
    <row r="395" spans="1:31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"/>
      <c r="AB395" s="4"/>
      <c r="AC395" s="4"/>
      <c r="AD395" s="2"/>
      <c r="AE395" s="5"/>
    </row>
    <row r="396" spans="1:31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"/>
      <c r="AB396" s="4"/>
      <c r="AC396" s="4"/>
      <c r="AD396" s="2"/>
      <c r="AE396" s="5"/>
    </row>
    <row r="397" spans="1:31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"/>
      <c r="AB397" s="4"/>
      <c r="AC397" s="4"/>
      <c r="AD397" s="2"/>
      <c r="AE397" s="5"/>
    </row>
    <row r="398" spans="1:31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"/>
      <c r="AB398" s="4"/>
      <c r="AC398" s="4"/>
      <c r="AD398" s="2"/>
      <c r="AE398" s="5"/>
    </row>
    <row r="399" spans="1:31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"/>
      <c r="AB399" s="4"/>
      <c r="AC399" s="4"/>
      <c r="AD399" s="2"/>
      <c r="AE399" s="5"/>
    </row>
    <row r="400" spans="1:31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"/>
      <c r="AB400" s="4"/>
      <c r="AC400" s="4"/>
      <c r="AD400" s="2"/>
      <c r="AE400" s="5"/>
    </row>
    <row r="401" spans="1:3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"/>
      <c r="AB401" s="4"/>
      <c r="AC401" s="4"/>
      <c r="AD401" s="2"/>
      <c r="AE401" s="5"/>
    </row>
    <row r="402" spans="1:31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"/>
      <c r="AB402" s="4"/>
      <c r="AC402" s="4"/>
      <c r="AD402" s="2"/>
      <c r="AE402" s="5"/>
    </row>
    <row r="403" spans="1:31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"/>
      <c r="AB403" s="4"/>
      <c r="AC403" s="4"/>
      <c r="AD403" s="2"/>
      <c r="AE403" s="5"/>
    </row>
    <row r="404" spans="1:31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"/>
      <c r="AB404" s="4"/>
      <c r="AC404" s="4"/>
      <c r="AD404" s="2"/>
      <c r="AE404" s="5"/>
    </row>
    <row r="405" spans="1:31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"/>
      <c r="AB405" s="4"/>
      <c r="AC405" s="4"/>
      <c r="AD405" s="2"/>
      <c r="AE405" s="5"/>
    </row>
    <row r="406" spans="1:31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"/>
      <c r="AB406" s="4"/>
      <c r="AC406" s="4"/>
      <c r="AD406" s="2"/>
      <c r="AE406" s="5"/>
    </row>
    <row r="407" spans="1:31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"/>
      <c r="AB407" s="4"/>
      <c r="AC407" s="4"/>
      <c r="AD407" s="2"/>
      <c r="AE407" s="5"/>
    </row>
    <row r="408" spans="1:31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"/>
      <c r="AB408" s="4"/>
      <c r="AC408" s="4"/>
      <c r="AD408" s="2"/>
      <c r="AE408" s="5"/>
    </row>
    <row r="409" spans="1:31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"/>
      <c r="AB409" s="4"/>
      <c r="AC409" s="4"/>
      <c r="AD409" s="2"/>
      <c r="AE409" s="5"/>
    </row>
    <row r="410" spans="1:31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"/>
      <c r="AB410" s="4"/>
      <c r="AC410" s="4"/>
      <c r="AD410" s="2"/>
      <c r="AE410" s="5"/>
    </row>
    <row r="411" spans="1:3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"/>
      <c r="AB411" s="4"/>
      <c r="AC411" s="4"/>
      <c r="AD411" s="2"/>
      <c r="AE411" s="5"/>
    </row>
    <row r="412" spans="1:31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"/>
      <c r="AB412" s="4"/>
      <c r="AC412" s="4"/>
      <c r="AD412" s="2"/>
      <c r="AE412" s="5"/>
    </row>
    <row r="413" spans="1:31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"/>
      <c r="AB413" s="4"/>
      <c r="AC413" s="4"/>
      <c r="AD413" s="2"/>
      <c r="AE413" s="5"/>
    </row>
    <row r="414" spans="1:31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"/>
      <c r="AB414" s="4"/>
      <c r="AC414" s="4"/>
      <c r="AD414" s="2"/>
      <c r="AE414" s="5"/>
    </row>
    <row r="415" spans="1:31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"/>
      <c r="AB415" s="4"/>
      <c r="AC415" s="4"/>
      <c r="AD415" s="2"/>
      <c r="AE415" s="5"/>
    </row>
    <row r="416" spans="1:31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"/>
      <c r="AB416" s="4"/>
      <c r="AC416" s="4"/>
      <c r="AD416" s="2"/>
      <c r="AE416" s="5"/>
    </row>
    <row r="417" spans="1:31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"/>
      <c r="AB417" s="4"/>
      <c r="AC417" s="4"/>
      <c r="AD417" s="2"/>
      <c r="AE417" s="5"/>
    </row>
    <row r="418" spans="1:31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"/>
      <c r="AB418" s="4"/>
      <c r="AC418" s="4"/>
      <c r="AD418" s="2"/>
      <c r="AE418" s="5"/>
    </row>
    <row r="419" spans="1:31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"/>
      <c r="AB419" s="4"/>
      <c r="AC419" s="4"/>
      <c r="AD419" s="2"/>
      <c r="AE419" s="5"/>
    </row>
    <row r="420" spans="1:31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"/>
      <c r="AB420" s="4"/>
      <c r="AC420" s="4"/>
      <c r="AD420" s="2"/>
      <c r="AE420" s="5"/>
    </row>
    <row r="421" spans="1:3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"/>
      <c r="AB421" s="4"/>
      <c r="AC421" s="4"/>
      <c r="AD421" s="2"/>
      <c r="AE421" s="5"/>
    </row>
    <row r="422" spans="1:31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"/>
      <c r="AB422" s="4"/>
      <c r="AC422" s="4"/>
      <c r="AD422" s="2"/>
      <c r="AE422" s="5"/>
    </row>
    <row r="423" spans="1:31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"/>
      <c r="AB423" s="4"/>
      <c r="AC423" s="4"/>
      <c r="AD423" s="2"/>
      <c r="AE423" s="5"/>
    </row>
    <row r="424" spans="1:31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"/>
      <c r="AB424" s="4"/>
      <c r="AC424" s="4"/>
      <c r="AD424" s="2"/>
      <c r="AE424" s="5"/>
    </row>
    <row r="425" spans="1:31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"/>
      <c r="AB425" s="4"/>
      <c r="AC425" s="4"/>
      <c r="AD425" s="2"/>
      <c r="AE425" s="5"/>
    </row>
    <row r="426" spans="1:31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"/>
      <c r="AB426" s="4"/>
      <c r="AC426" s="4"/>
      <c r="AD426" s="2"/>
      <c r="AE426" s="5"/>
    </row>
    <row r="427" spans="1:31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"/>
      <c r="AB427" s="4"/>
      <c r="AC427" s="4"/>
      <c r="AD427" s="2"/>
      <c r="AE427" s="5"/>
    </row>
    <row r="428" spans="1:31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"/>
      <c r="AB428" s="4"/>
      <c r="AC428" s="4"/>
      <c r="AD428" s="2"/>
      <c r="AE428" s="5"/>
    </row>
    <row r="429" spans="1:31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"/>
      <c r="AB429" s="4"/>
      <c r="AC429" s="4"/>
      <c r="AD429" s="2"/>
      <c r="AE429" s="5"/>
    </row>
    <row r="430" spans="1:31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"/>
      <c r="AB430" s="4"/>
      <c r="AC430" s="4"/>
      <c r="AD430" s="2"/>
      <c r="AE430" s="5"/>
    </row>
    <row r="431" spans="1: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"/>
      <c r="AB431" s="4"/>
      <c r="AC431" s="4"/>
      <c r="AD431" s="2"/>
      <c r="AE431" s="5"/>
    </row>
    <row r="432" spans="1:31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"/>
      <c r="AB432" s="4"/>
      <c r="AC432" s="4"/>
      <c r="AD432" s="2"/>
      <c r="AE432" s="5"/>
    </row>
    <row r="433" spans="1:31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"/>
      <c r="AB433" s="4"/>
      <c r="AC433" s="4"/>
      <c r="AD433" s="2"/>
      <c r="AE433" s="5"/>
    </row>
    <row r="434" spans="1:31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"/>
      <c r="AB434" s="4"/>
      <c r="AC434" s="4"/>
      <c r="AD434" s="2"/>
      <c r="AE434" s="5"/>
    </row>
    <row r="435" spans="1:31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"/>
      <c r="AB435" s="4"/>
      <c r="AC435" s="4"/>
      <c r="AD435" s="2"/>
      <c r="AE435" s="5"/>
    </row>
    <row r="436" spans="1:31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"/>
      <c r="AB436" s="4"/>
      <c r="AC436" s="4"/>
      <c r="AD436" s="2"/>
      <c r="AE436" s="5"/>
    </row>
    <row r="437" spans="1:31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"/>
      <c r="AB437" s="4"/>
      <c r="AC437" s="4"/>
      <c r="AD437" s="2"/>
      <c r="AE437" s="5"/>
    </row>
    <row r="438" spans="1:31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"/>
      <c r="AB438" s="4"/>
      <c r="AC438" s="4"/>
      <c r="AD438" s="2"/>
      <c r="AE438" s="5"/>
    </row>
    <row r="439" spans="1:31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"/>
      <c r="AB439" s="4"/>
      <c r="AC439" s="4"/>
      <c r="AD439" s="2"/>
      <c r="AE439" s="5"/>
    </row>
    <row r="440" spans="1:31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"/>
      <c r="AB440" s="4"/>
      <c r="AC440" s="4"/>
      <c r="AD440" s="2"/>
      <c r="AE440" s="5"/>
    </row>
    <row r="441" spans="1:3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"/>
      <c r="AB441" s="4"/>
      <c r="AC441" s="4"/>
      <c r="AD441" s="2"/>
      <c r="AE441" s="5"/>
    </row>
    <row r="442" spans="1:31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"/>
      <c r="AB442" s="4"/>
      <c r="AC442" s="4"/>
      <c r="AD442" s="2"/>
      <c r="AE442" s="5"/>
    </row>
    <row r="443" spans="1:31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"/>
      <c r="AB443" s="4"/>
      <c r="AC443" s="4"/>
      <c r="AD443" s="2"/>
      <c r="AE443" s="5"/>
    </row>
    <row r="444" spans="1:31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"/>
      <c r="AB444" s="4"/>
      <c r="AC444" s="4"/>
      <c r="AD444" s="2"/>
      <c r="AE444" s="5"/>
    </row>
    <row r="445" spans="1:31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"/>
      <c r="AB445" s="4"/>
      <c r="AC445" s="4"/>
      <c r="AD445" s="2"/>
      <c r="AE445" s="5"/>
    </row>
    <row r="446" spans="1:31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"/>
      <c r="AB446" s="4"/>
      <c r="AC446" s="4"/>
      <c r="AD446" s="2"/>
      <c r="AE446" s="5"/>
    </row>
    <row r="447" spans="1:31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"/>
      <c r="AB447" s="4"/>
      <c r="AC447" s="4"/>
      <c r="AD447" s="2"/>
      <c r="AE447" s="5"/>
    </row>
    <row r="448" spans="1:31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"/>
      <c r="AB448" s="4"/>
      <c r="AC448" s="4"/>
      <c r="AD448" s="2"/>
      <c r="AE448" s="5"/>
    </row>
    <row r="449" spans="1:31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"/>
      <c r="AB449" s="4"/>
      <c r="AC449" s="4"/>
      <c r="AD449" s="2"/>
      <c r="AE449" s="5"/>
    </row>
    <row r="450" spans="1:31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"/>
      <c r="AB450" s="4"/>
      <c r="AC450" s="4"/>
      <c r="AD450" s="2"/>
      <c r="AE450" s="5"/>
    </row>
    <row r="451" spans="1:3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"/>
      <c r="AB451" s="4"/>
      <c r="AC451" s="4"/>
      <c r="AD451" s="2"/>
      <c r="AE451" s="5"/>
    </row>
    <row r="452" spans="1:31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"/>
      <c r="AB452" s="4"/>
      <c r="AC452" s="4"/>
      <c r="AD452" s="2"/>
      <c r="AE452" s="5"/>
    </row>
    <row r="453" spans="1:31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"/>
      <c r="AB453" s="4"/>
      <c r="AC453" s="4"/>
      <c r="AD453" s="2"/>
      <c r="AE453" s="5"/>
    </row>
    <row r="454" spans="1:31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"/>
      <c r="AB454" s="4"/>
      <c r="AC454" s="4"/>
      <c r="AD454" s="2"/>
      <c r="AE454" s="5"/>
    </row>
    <row r="455" spans="1:31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"/>
      <c r="AB455" s="4"/>
      <c r="AC455" s="4"/>
      <c r="AD455" s="2"/>
      <c r="AE455" s="5"/>
    </row>
    <row r="456" spans="1:31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"/>
      <c r="AB456" s="4"/>
      <c r="AC456" s="4"/>
      <c r="AD456" s="2"/>
      <c r="AE456" s="5"/>
    </row>
    <row r="457" spans="1:31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"/>
      <c r="AB457" s="4"/>
      <c r="AC457" s="4"/>
      <c r="AD457" s="2"/>
      <c r="AE457" s="5"/>
    </row>
    <row r="458" spans="1:31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"/>
      <c r="AB458" s="4"/>
      <c r="AC458" s="4"/>
      <c r="AD458" s="2"/>
      <c r="AE458" s="5"/>
    </row>
    <row r="459" spans="1:31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"/>
      <c r="AB459" s="4"/>
      <c r="AC459" s="4"/>
      <c r="AD459" s="2"/>
      <c r="AE459" s="5"/>
    </row>
    <row r="460" spans="1:31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"/>
      <c r="AB460" s="4"/>
      <c r="AC460" s="4"/>
      <c r="AD460" s="2"/>
      <c r="AE460" s="5"/>
    </row>
    <row r="461" spans="1:3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"/>
      <c r="AB461" s="4"/>
      <c r="AC461" s="4"/>
      <c r="AD461" s="2"/>
      <c r="AE461" s="5"/>
    </row>
    <row r="462" spans="1:31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"/>
      <c r="AB462" s="4"/>
      <c r="AC462" s="4"/>
      <c r="AD462" s="2"/>
      <c r="AE462" s="5"/>
    </row>
    <row r="463" spans="1:31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"/>
      <c r="AB463" s="4"/>
      <c r="AC463" s="4"/>
      <c r="AD463" s="2"/>
      <c r="AE463" s="5"/>
    </row>
    <row r="464" spans="1:31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"/>
      <c r="AB464" s="4"/>
      <c r="AC464" s="4"/>
      <c r="AD464" s="2"/>
      <c r="AE464" s="5"/>
    </row>
    <row r="465" spans="1:31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"/>
      <c r="AB465" s="4"/>
      <c r="AC465" s="4"/>
      <c r="AD465" s="2"/>
      <c r="AE465" s="5"/>
    </row>
    <row r="466" spans="1:31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"/>
      <c r="AB466" s="4"/>
      <c r="AC466" s="4"/>
      <c r="AD466" s="2"/>
      <c r="AE466" s="5"/>
    </row>
    <row r="467" spans="1:31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"/>
      <c r="AB467" s="4"/>
      <c r="AC467" s="4"/>
      <c r="AD467" s="2"/>
      <c r="AE467" s="5"/>
    </row>
    <row r="468" spans="1:31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"/>
      <c r="AB468" s="4"/>
      <c r="AC468" s="4"/>
      <c r="AD468" s="2"/>
      <c r="AE468" s="5"/>
    </row>
    <row r="469" spans="1:31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"/>
      <c r="AB469" s="4"/>
      <c r="AC469" s="4"/>
      <c r="AD469" s="2"/>
      <c r="AE469" s="5"/>
    </row>
    <row r="470" spans="1:31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"/>
      <c r="AB470" s="4"/>
      <c r="AC470" s="4"/>
      <c r="AD470" s="2"/>
      <c r="AE470" s="5"/>
    </row>
    <row r="471" spans="1:3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"/>
      <c r="AB471" s="4"/>
      <c r="AC471" s="4"/>
      <c r="AD471" s="2"/>
      <c r="AE471" s="5"/>
    </row>
    <row r="472" spans="1:31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"/>
      <c r="AB472" s="4"/>
      <c r="AC472" s="4"/>
      <c r="AD472" s="2"/>
      <c r="AE472" s="5"/>
    </row>
    <row r="473" spans="1:31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"/>
      <c r="AB473" s="4"/>
      <c r="AC473" s="4"/>
      <c r="AD473" s="2"/>
      <c r="AE473" s="5"/>
    </row>
    <row r="474" spans="1:31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"/>
      <c r="AB474" s="4"/>
      <c r="AC474" s="4"/>
      <c r="AD474" s="2"/>
      <c r="AE474" s="5"/>
    </row>
    <row r="475" spans="1:31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"/>
      <c r="AB475" s="4"/>
      <c r="AC475" s="4"/>
      <c r="AD475" s="2"/>
      <c r="AE475" s="5"/>
    </row>
    <row r="476" spans="1:31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"/>
      <c r="AB476" s="4"/>
      <c r="AC476" s="4"/>
      <c r="AD476" s="2"/>
      <c r="AE476" s="5"/>
    </row>
    <row r="477" spans="1:31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"/>
      <c r="AB477" s="4"/>
      <c r="AC477" s="4"/>
      <c r="AD477" s="2"/>
      <c r="AE477" s="5"/>
    </row>
    <row r="478" spans="1:31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"/>
      <c r="AB478" s="4"/>
      <c r="AC478" s="4"/>
      <c r="AD478" s="2"/>
      <c r="AE478" s="5"/>
    </row>
    <row r="479" spans="1:31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"/>
      <c r="AB479" s="4"/>
      <c r="AC479" s="4"/>
      <c r="AD479" s="2"/>
      <c r="AE479" s="5"/>
    </row>
    <row r="480" spans="1:31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"/>
      <c r="AB480" s="4"/>
      <c r="AC480" s="4"/>
      <c r="AD480" s="2"/>
      <c r="AE480" s="5"/>
    </row>
    <row r="481" spans="1:3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"/>
      <c r="AB481" s="4"/>
      <c r="AC481" s="4"/>
      <c r="AD481" s="2"/>
      <c r="AE481" s="5"/>
    </row>
    <row r="482" spans="1:31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"/>
      <c r="AB482" s="4"/>
      <c r="AC482" s="4"/>
      <c r="AD482" s="2"/>
      <c r="AE482" s="5"/>
    </row>
    <row r="483" spans="1:31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"/>
      <c r="AB483" s="4"/>
      <c r="AC483" s="4"/>
      <c r="AD483" s="2"/>
      <c r="AE483" s="5"/>
    </row>
    <row r="484" spans="1:31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"/>
      <c r="AB484" s="4"/>
      <c r="AC484" s="4"/>
      <c r="AD484" s="2"/>
      <c r="AE484" s="5"/>
    </row>
    <row r="485" spans="1:31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"/>
      <c r="AB485" s="4"/>
      <c r="AC485" s="4"/>
      <c r="AD485" s="2"/>
      <c r="AE485" s="5"/>
    </row>
    <row r="486" spans="1:31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"/>
      <c r="AB486" s="4"/>
      <c r="AC486" s="4"/>
      <c r="AD486" s="2"/>
      <c r="AE486" s="5"/>
    </row>
    <row r="487" spans="1:31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"/>
      <c r="AB487" s="4"/>
      <c r="AC487" s="4"/>
      <c r="AD487" s="2"/>
      <c r="AE487" s="5"/>
    </row>
    <row r="488" spans="1:31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"/>
      <c r="AB488" s="4"/>
      <c r="AC488" s="4"/>
      <c r="AD488" s="2"/>
      <c r="AE488" s="5"/>
    </row>
    <row r="489" spans="1:31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"/>
      <c r="AB489" s="4"/>
      <c r="AC489" s="4"/>
      <c r="AD489" s="2"/>
      <c r="AE489" s="5"/>
    </row>
    <row r="490" spans="1:31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"/>
      <c r="AB490" s="4"/>
      <c r="AC490" s="4"/>
      <c r="AD490" s="2"/>
      <c r="AE490" s="5"/>
    </row>
    <row r="491" spans="1:3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"/>
      <c r="AB491" s="4"/>
      <c r="AC491" s="4"/>
      <c r="AD491" s="2"/>
      <c r="AE491" s="5"/>
    </row>
    <row r="492" spans="1:31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"/>
      <c r="AB492" s="4"/>
      <c r="AC492" s="4"/>
      <c r="AD492" s="2"/>
      <c r="AE492" s="5"/>
    </row>
    <row r="493" spans="1:31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"/>
      <c r="AB493" s="4"/>
      <c r="AC493" s="4"/>
      <c r="AD493" s="2"/>
      <c r="AE493" s="5"/>
    </row>
    <row r="494" spans="1:31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"/>
      <c r="AB494" s="4"/>
      <c r="AC494" s="4"/>
      <c r="AD494" s="2"/>
      <c r="AE494" s="5"/>
    </row>
    <row r="495" spans="1:31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"/>
      <c r="AB495" s="4"/>
      <c r="AC495" s="4"/>
      <c r="AD495" s="2"/>
      <c r="AE495" s="5"/>
    </row>
    <row r="496" spans="1:31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"/>
      <c r="AB496" s="4"/>
      <c r="AC496" s="4"/>
      <c r="AD496" s="2"/>
      <c r="AE496" s="5"/>
    </row>
    <row r="497" spans="1:31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"/>
      <c r="AB497" s="4"/>
      <c r="AC497" s="4"/>
      <c r="AD497" s="2"/>
      <c r="AE497" s="5"/>
    </row>
    <row r="498" spans="1:31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"/>
      <c r="AB498" s="4"/>
      <c r="AC498" s="4"/>
      <c r="AD498" s="2"/>
      <c r="AE498" s="5"/>
    </row>
    <row r="499" spans="1:31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"/>
      <c r="AB499" s="4"/>
      <c r="AC499" s="4"/>
      <c r="AD499" s="2"/>
      <c r="AE499" s="5"/>
    </row>
    <row r="500" spans="1:31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"/>
      <c r="AB500" s="4"/>
      <c r="AC500" s="4"/>
      <c r="AD500" s="2"/>
      <c r="AE500" s="5"/>
    </row>
    <row r="501" spans="1:3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"/>
      <c r="AB501" s="4"/>
      <c r="AC501" s="4"/>
      <c r="AD501" s="2"/>
      <c r="AE501" s="5"/>
    </row>
    <row r="502" spans="1:31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"/>
      <c r="AB502" s="4"/>
      <c r="AC502" s="4"/>
      <c r="AD502" s="2"/>
      <c r="AE502" s="5"/>
    </row>
    <row r="503" spans="1:31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"/>
      <c r="AB503" s="4"/>
      <c r="AC503" s="4"/>
      <c r="AD503" s="2"/>
      <c r="AE503" s="5"/>
    </row>
    <row r="504" spans="1:31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"/>
      <c r="AB504" s="4"/>
      <c r="AC504" s="4"/>
      <c r="AD504" s="2"/>
      <c r="AE504" s="5"/>
    </row>
    <row r="505" spans="1:31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"/>
      <c r="AB505" s="4"/>
      <c r="AC505" s="4"/>
      <c r="AD505" s="2"/>
      <c r="AE505" s="5"/>
    </row>
    <row r="506" spans="1:31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"/>
      <c r="AB506" s="4"/>
      <c r="AC506" s="4"/>
      <c r="AD506" s="2"/>
      <c r="AE506" s="5"/>
    </row>
    <row r="507" spans="1:31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"/>
      <c r="AB507" s="4"/>
      <c r="AC507" s="4"/>
      <c r="AD507" s="2"/>
      <c r="AE507" s="5"/>
    </row>
    <row r="508" spans="1:31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"/>
      <c r="AB508" s="4"/>
      <c r="AC508" s="4"/>
      <c r="AD508" s="2"/>
      <c r="AE508" s="5"/>
    </row>
    <row r="509" spans="1:31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"/>
      <c r="AB509" s="4"/>
      <c r="AC509" s="4"/>
      <c r="AD509" s="2"/>
      <c r="AE509" s="5"/>
    </row>
    <row r="510" spans="1:31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"/>
      <c r="AB510" s="4"/>
      <c r="AC510" s="4"/>
      <c r="AD510" s="2"/>
      <c r="AE510" s="5"/>
    </row>
    <row r="511" spans="1:3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"/>
      <c r="AB511" s="4"/>
      <c r="AC511" s="4"/>
      <c r="AD511" s="2"/>
      <c r="AE511" s="5"/>
    </row>
    <row r="512" spans="1:31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"/>
      <c r="AB512" s="4"/>
      <c r="AC512" s="4"/>
      <c r="AD512" s="2"/>
      <c r="AE512" s="5"/>
    </row>
    <row r="513" spans="1:31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"/>
      <c r="AB513" s="4"/>
      <c r="AC513" s="4"/>
      <c r="AD513" s="2"/>
      <c r="AE513" s="5"/>
    </row>
    <row r="514" spans="1:31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"/>
      <c r="AB514" s="4"/>
      <c r="AC514" s="4"/>
      <c r="AD514" s="2"/>
      <c r="AE514" s="5"/>
    </row>
    <row r="515" spans="1:31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"/>
      <c r="AB515" s="4"/>
      <c r="AC515" s="4"/>
      <c r="AD515" s="2"/>
      <c r="AE515" s="5"/>
    </row>
    <row r="516" spans="1:31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"/>
      <c r="AB516" s="4"/>
      <c r="AC516" s="4"/>
      <c r="AD516" s="2"/>
      <c r="AE516" s="5"/>
    </row>
    <row r="517" spans="1:31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"/>
      <c r="AB517" s="4"/>
      <c r="AC517" s="4"/>
      <c r="AD517" s="2"/>
      <c r="AE517" s="5"/>
    </row>
    <row r="518" spans="1:31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"/>
      <c r="AB518" s="4"/>
      <c r="AC518" s="4"/>
      <c r="AD518" s="2"/>
      <c r="AE518" s="5"/>
    </row>
    <row r="519" spans="1:31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"/>
      <c r="AB519" s="4"/>
      <c r="AC519" s="4"/>
      <c r="AD519" s="2"/>
      <c r="AE519" s="5"/>
    </row>
    <row r="520" spans="1:31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"/>
      <c r="AB520" s="4"/>
      <c r="AC520" s="4"/>
      <c r="AD520" s="2"/>
      <c r="AE520" s="5"/>
    </row>
    <row r="521" spans="1:3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"/>
      <c r="AB521" s="4"/>
      <c r="AC521" s="4"/>
      <c r="AD521" s="2"/>
      <c r="AE521" s="5"/>
    </row>
    <row r="522" spans="1:31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"/>
      <c r="AB522" s="4"/>
      <c r="AC522" s="4"/>
      <c r="AD522" s="2"/>
      <c r="AE522" s="5"/>
    </row>
    <row r="523" spans="1:31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"/>
      <c r="AB523" s="4"/>
      <c r="AC523" s="4"/>
      <c r="AD523" s="2"/>
      <c r="AE523" s="5"/>
    </row>
    <row r="524" spans="1:31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"/>
      <c r="AB524" s="4"/>
      <c r="AC524" s="4"/>
      <c r="AD524" s="2"/>
      <c r="AE524" s="5"/>
    </row>
    <row r="525" spans="1:31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"/>
      <c r="AB525" s="4"/>
      <c r="AC525" s="4"/>
      <c r="AD525" s="2"/>
      <c r="AE525" s="5"/>
    </row>
    <row r="526" spans="1:31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"/>
      <c r="AB526" s="4"/>
      <c r="AC526" s="4"/>
      <c r="AD526" s="2"/>
      <c r="AE526" s="5"/>
    </row>
    <row r="527" spans="1:31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"/>
      <c r="AB527" s="4"/>
      <c r="AC527" s="4"/>
      <c r="AD527" s="2"/>
      <c r="AE527" s="5"/>
    </row>
    <row r="528" spans="1:31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"/>
      <c r="AB528" s="4"/>
      <c r="AC528" s="4"/>
      <c r="AD528" s="2"/>
      <c r="AE528" s="5"/>
    </row>
    <row r="529" spans="1:31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"/>
      <c r="AB529" s="4"/>
      <c r="AC529" s="4"/>
      <c r="AD529" s="2"/>
      <c r="AE529" s="5"/>
    </row>
    <row r="530" spans="1:31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"/>
      <c r="AB530" s="4"/>
      <c r="AC530" s="4"/>
      <c r="AD530" s="2"/>
      <c r="AE530" s="5"/>
    </row>
    <row r="531" spans="1: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"/>
      <c r="AB531" s="4"/>
      <c r="AC531" s="4"/>
      <c r="AD531" s="2"/>
      <c r="AE531" s="5"/>
    </row>
    <row r="532" spans="1:31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"/>
      <c r="AB532" s="4"/>
      <c r="AC532" s="4"/>
      <c r="AD532" s="2"/>
      <c r="AE532" s="5"/>
    </row>
    <row r="533" spans="1:31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"/>
      <c r="AB533" s="4"/>
      <c r="AC533" s="4"/>
      <c r="AD533" s="2"/>
      <c r="AE533" s="5"/>
    </row>
    <row r="534" spans="1:31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"/>
      <c r="AB534" s="4"/>
      <c r="AC534" s="4"/>
      <c r="AD534" s="2"/>
      <c r="AE534" s="5"/>
    </row>
    <row r="535" spans="1:31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"/>
      <c r="AB535" s="4"/>
      <c r="AC535" s="4"/>
      <c r="AD535" s="2"/>
      <c r="AE535" s="5"/>
    </row>
    <row r="536" spans="1:31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"/>
      <c r="AB536" s="4"/>
      <c r="AC536" s="4"/>
      <c r="AD536" s="2"/>
      <c r="AE536" s="5"/>
    </row>
    <row r="537" spans="1:31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"/>
      <c r="AB537" s="4"/>
      <c r="AC537" s="4"/>
      <c r="AD537" s="2"/>
      <c r="AE537" s="5"/>
    </row>
    <row r="538" spans="1:31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"/>
      <c r="AB538" s="4"/>
      <c r="AC538" s="4"/>
      <c r="AD538" s="2"/>
      <c r="AE538" s="5"/>
    </row>
    <row r="539" spans="1:31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"/>
      <c r="AB539" s="4"/>
      <c r="AC539" s="4"/>
      <c r="AD539" s="2"/>
      <c r="AE539" s="5"/>
    </row>
    <row r="540" spans="1:31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"/>
      <c r="AB540" s="4"/>
      <c r="AC540" s="4"/>
      <c r="AD540" s="2"/>
      <c r="AE540" s="5"/>
    </row>
    <row r="541" spans="1:3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"/>
      <c r="AB541" s="4"/>
      <c r="AC541" s="4"/>
      <c r="AD541" s="2"/>
      <c r="AE541" s="5"/>
    </row>
    <row r="542" spans="1:31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"/>
      <c r="AB542" s="4"/>
      <c r="AC542" s="4"/>
      <c r="AD542" s="2"/>
      <c r="AE542" s="5"/>
    </row>
    <row r="543" spans="1:31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"/>
      <c r="AB543" s="4"/>
      <c r="AC543" s="4"/>
      <c r="AD543" s="2"/>
      <c r="AE543" s="5"/>
    </row>
    <row r="544" spans="1:31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"/>
      <c r="AB544" s="4"/>
      <c r="AC544" s="4"/>
      <c r="AD544" s="2"/>
      <c r="AE544" s="5"/>
    </row>
    <row r="545" spans="1:31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"/>
      <c r="AB545" s="4"/>
      <c r="AC545" s="4"/>
      <c r="AD545" s="2"/>
      <c r="AE545" s="5"/>
    </row>
    <row r="546" spans="1:31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"/>
      <c r="AB546" s="4"/>
      <c r="AC546" s="4"/>
      <c r="AD546" s="2"/>
      <c r="AE546" s="5"/>
    </row>
    <row r="547" spans="1:31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"/>
      <c r="AB547" s="4"/>
      <c r="AC547" s="4"/>
      <c r="AD547" s="2"/>
      <c r="AE547" s="5"/>
    </row>
    <row r="548" spans="1:31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"/>
      <c r="AB548" s="4"/>
      <c r="AC548" s="4"/>
      <c r="AD548" s="2"/>
      <c r="AE548" s="5"/>
    </row>
    <row r="549" spans="1:31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"/>
      <c r="AB549" s="4"/>
      <c r="AC549" s="4"/>
      <c r="AD549" s="2"/>
      <c r="AE549" s="5"/>
    </row>
    <row r="550" spans="1:31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"/>
      <c r="AB550" s="4"/>
      <c r="AC550" s="4"/>
      <c r="AD550" s="2"/>
      <c r="AE550" s="5"/>
    </row>
    <row r="551" spans="1:3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"/>
      <c r="AB551" s="4"/>
      <c r="AC551" s="4"/>
      <c r="AD551" s="2"/>
      <c r="AE551" s="5"/>
    </row>
    <row r="552" spans="1:31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"/>
      <c r="AB552" s="4"/>
      <c r="AC552" s="4"/>
      <c r="AD552" s="2"/>
      <c r="AE552" s="5"/>
    </row>
    <row r="553" spans="1:31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"/>
      <c r="AB553" s="4"/>
      <c r="AC553" s="4"/>
      <c r="AD553" s="2"/>
      <c r="AE553" s="5"/>
    </row>
    <row r="554" spans="1:31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"/>
      <c r="AB554" s="4"/>
      <c r="AC554" s="4"/>
      <c r="AD554" s="2"/>
      <c r="AE554" s="5"/>
    </row>
    <row r="555" spans="1:31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"/>
      <c r="AB555" s="4"/>
      <c r="AC555" s="4"/>
      <c r="AD555" s="2"/>
      <c r="AE555" s="5"/>
    </row>
    <row r="556" spans="1:31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"/>
      <c r="AB556" s="4"/>
      <c r="AC556" s="4"/>
      <c r="AD556" s="2"/>
      <c r="AE556" s="5"/>
    </row>
    <row r="557" spans="1:31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"/>
      <c r="AB557" s="4"/>
      <c r="AC557" s="4"/>
      <c r="AD557" s="2"/>
      <c r="AE557" s="5"/>
    </row>
    <row r="558" spans="1:31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"/>
      <c r="AB558" s="4"/>
      <c r="AC558" s="4"/>
      <c r="AD558" s="2"/>
      <c r="AE558" s="5"/>
    </row>
    <row r="559" spans="1:31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"/>
      <c r="AB559" s="4"/>
      <c r="AC559" s="4"/>
      <c r="AD559" s="2"/>
      <c r="AE559" s="5"/>
    </row>
    <row r="560" spans="1:31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"/>
      <c r="AB560" s="4"/>
      <c r="AC560" s="4"/>
      <c r="AD560" s="2"/>
      <c r="AE560" s="5"/>
    </row>
    <row r="561" spans="1:3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"/>
      <c r="AB561" s="4"/>
      <c r="AC561" s="4"/>
      <c r="AD561" s="2"/>
      <c r="AE561" s="5"/>
    </row>
    <row r="562" spans="1:31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"/>
      <c r="AB562" s="4"/>
      <c r="AC562" s="4"/>
      <c r="AD562" s="2"/>
      <c r="AE562" s="5"/>
    </row>
    <row r="563" spans="1:31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"/>
      <c r="AB563" s="4"/>
      <c r="AC563" s="4"/>
      <c r="AD563" s="2"/>
      <c r="AE563" s="5"/>
    </row>
    <row r="564" spans="1:31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"/>
      <c r="AB564" s="4"/>
      <c r="AC564" s="4"/>
      <c r="AD564" s="2"/>
      <c r="AE564" s="5"/>
    </row>
    <row r="565" spans="1:31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"/>
      <c r="AB565" s="4"/>
      <c r="AC565" s="4"/>
      <c r="AD565" s="2"/>
      <c r="AE565" s="5"/>
    </row>
    <row r="566" spans="1:31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"/>
      <c r="AB566" s="4"/>
      <c r="AC566" s="4"/>
      <c r="AD566" s="2"/>
      <c r="AE566" s="5"/>
    </row>
    <row r="567" spans="1:31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"/>
      <c r="AB567" s="4"/>
      <c r="AC567" s="4"/>
      <c r="AD567" s="2"/>
      <c r="AE567" s="5"/>
    </row>
    <row r="568" spans="1:31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"/>
      <c r="AB568" s="4"/>
      <c r="AC568" s="4"/>
      <c r="AD568" s="2"/>
      <c r="AE568" s="5"/>
    </row>
    <row r="569" spans="1:31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"/>
      <c r="AB569" s="4"/>
      <c r="AC569" s="4"/>
      <c r="AD569" s="2"/>
      <c r="AE569" s="5"/>
    </row>
    <row r="570" spans="1:31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"/>
      <c r="AB570" s="4"/>
      <c r="AC570" s="4"/>
      <c r="AD570" s="2"/>
      <c r="AE570" s="5"/>
    </row>
    <row r="571" spans="1:3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"/>
      <c r="AB571" s="4"/>
      <c r="AC571" s="4"/>
      <c r="AD571" s="2"/>
      <c r="AE571" s="5"/>
    </row>
    <row r="572" spans="1:31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"/>
      <c r="AB572" s="4"/>
      <c r="AC572" s="4"/>
      <c r="AD572" s="2"/>
      <c r="AE572" s="5"/>
    </row>
    <row r="573" spans="1:31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"/>
      <c r="AB573" s="4"/>
      <c r="AC573" s="4"/>
      <c r="AD573" s="2"/>
      <c r="AE573" s="5"/>
    </row>
    <row r="574" spans="1:31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"/>
      <c r="AB574" s="4"/>
      <c r="AC574" s="4"/>
      <c r="AD574" s="2"/>
      <c r="AE574" s="5"/>
    </row>
    <row r="575" spans="1:31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"/>
      <c r="AB575" s="4"/>
      <c r="AC575" s="4"/>
      <c r="AD575" s="2"/>
      <c r="AE575" s="5"/>
    </row>
    <row r="576" spans="1:31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"/>
      <c r="AB576" s="4"/>
      <c r="AC576" s="4"/>
      <c r="AD576" s="2"/>
      <c r="AE576" s="5"/>
    </row>
    <row r="577" spans="1:31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"/>
      <c r="AB577" s="4"/>
      <c r="AC577" s="4"/>
      <c r="AD577" s="2"/>
      <c r="AE577" s="5"/>
    </row>
    <row r="578" spans="1:31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"/>
      <c r="AB578" s="4"/>
      <c r="AC578" s="4"/>
      <c r="AD578" s="2"/>
      <c r="AE578" s="5"/>
    </row>
    <row r="579" spans="1:31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"/>
      <c r="AB579" s="4"/>
      <c r="AC579" s="4"/>
      <c r="AD579" s="2"/>
      <c r="AE579" s="5"/>
    </row>
    <row r="580" spans="1:31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"/>
      <c r="AB580" s="4"/>
      <c r="AC580" s="4"/>
      <c r="AD580" s="2"/>
      <c r="AE580" s="5"/>
    </row>
    <row r="581" spans="1:3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"/>
      <c r="AB581" s="4"/>
      <c r="AC581" s="4"/>
      <c r="AD581" s="2"/>
      <c r="AE581" s="5"/>
    </row>
    <row r="582" spans="1:31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"/>
      <c r="AB582" s="4"/>
      <c r="AC582" s="4"/>
      <c r="AD582" s="2"/>
      <c r="AE582" s="5"/>
    </row>
    <row r="583" spans="1:31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"/>
      <c r="AB583" s="4"/>
      <c r="AC583" s="4"/>
      <c r="AD583" s="2"/>
      <c r="AE583" s="5"/>
    </row>
    <row r="584" spans="1:31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"/>
      <c r="AB584" s="4"/>
      <c r="AC584" s="4"/>
      <c r="AD584" s="2"/>
      <c r="AE584" s="5"/>
    </row>
    <row r="585" spans="1:31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"/>
      <c r="AB585" s="4"/>
      <c r="AC585" s="4"/>
      <c r="AD585" s="2"/>
      <c r="AE585" s="5"/>
    </row>
    <row r="586" spans="1:31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"/>
      <c r="AB586" s="4"/>
      <c r="AC586" s="4"/>
      <c r="AD586" s="2"/>
      <c r="AE586" s="5"/>
    </row>
    <row r="587" spans="1:31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"/>
      <c r="AB587" s="4"/>
      <c r="AC587" s="4"/>
      <c r="AD587" s="2"/>
      <c r="AE587" s="5"/>
    </row>
    <row r="588" spans="1:31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"/>
      <c r="AB588" s="4"/>
      <c r="AC588" s="4"/>
      <c r="AD588" s="2"/>
      <c r="AE588" s="5"/>
    </row>
    <row r="589" spans="1:31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"/>
      <c r="AB589" s="4"/>
      <c r="AC589" s="4"/>
      <c r="AD589" s="2"/>
      <c r="AE589" s="5"/>
    </row>
    <row r="590" spans="1:31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"/>
      <c r="AB590" s="4"/>
      <c r="AC590" s="4"/>
      <c r="AD590" s="2"/>
      <c r="AE590" s="5"/>
    </row>
    <row r="591" spans="1:3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"/>
      <c r="AB591" s="4"/>
      <c r="AC591" s="4"/>
      <c r="AD591" s="2"/>
      <c r="AE591" s="5"/>
    </row>
    <row r="592" spans="1:31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"/>
      <c r="AB592" s="4"/>
      <c r="AC592" s="4"/>
      <c r="AD592" s="2"/>
      <c r="AE592" s="5"/>
    </row>
    <row r="593" spans="1:31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"/>
      <c r="AB593" s="4"/>
      <c r="AC593" s="4"/>
      <c r="AD593" s="2"/>
      <c r="AE593" s="5"/>
    </row>
    <row r="594" spans="1:31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"/>
      <c r="AB594" s="4"/>
      <c r="AC594" s="4"/>
      <c r="AD594" s="2"/>
      <c r="AE594" s="5"/>
    </row>
    <row r="595" spans="1:31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"/>
      <c r="AB595" s="4"/>
      <c r="AC595" s="4"/>
      <c r="AD595" s="2"/>
      <c r="AE595" s="5"/>
    </row>
    <row r="596" spans="1:31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"/>
      <c r="AB596" s="4"/>
      <c r="AC596" s="4"/>
      <c r="AD596" s="2"/>
      <c r="AE596" s="5"/>
    </row>
    <row r="597" spans="1:31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"/>
      <c r="AB597" s="4"/>
      <c r="AC597" s="4"/>
      <c r="AD597" s="2"/>
      <c r="AE597" s="5"/>
    </row>
    <row r="598" spans="1:31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"/>
      <c r="AB598" s="4"/>
      <c r="AC598" s="4"/>
      <c r="AD598" s="2"/>
      <c r="AE598" s="5"/>
    </row>
    <row r="599" spans="1:31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"/>
      <c r="AB599" s="4"/>
      <c r="AC599" s="4"/>
      <c r="AD599" s="2"/>
      <c r="AE599" s="5"/>
    </row>
    <row r="600" spans="1:31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"/>
      <c r="AB600" s="4"/>
      <c r="AC600" s="4"/>
      <c r="AD600" s="2"/>
      <c r="AE600" s="5"/>
    </row>
    <row r="601" spans="1:3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"/>
      <c r="AB601" s="4"/>
      <c r="AC601" s="4"/>
      <c r="AD601" s="2"/>
      <c r="AE601" s="5"/>
    </row>
    <row r="602" spans="1:31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"/>
      <c r="AB602" s="4"/>
      <c r="AC602" s="4"/>
      <c r="AD602" s="2"/>
      <c r="AE602" s="5"/>
    </row>
    <row r="603" spans="1:31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"/>
      <c r="AB603" s="4"/>
      <c r="AC603" s="4"/>
      <c r="AD603" s="2"/>
      <c r="AE603" s="5"/>
    </row>
    <row r="604" spans="1:31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"/>
      <c r="AB604" s="4"/>
      <c r="AC604" s="4"/>
      <c r="AD604" s="2"/>
      <c r="AE604" s="5"/>
    </row>
    <row r="605" spans="1:31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"/>
      <c r="AB605" s="4"/>
      <c r="AC605" s="4"/>
      <c r="AD605" s="2"/>
      <c r="AE605" s="5"/>
    </row>
    <row r="606" spans="1:31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"/>
      <c r="AB606" s="4"/>
      <c r="AC606" s="4"/>
      <c r="AD606" s="2"/>
      <c r="AE606" s="5"/>
    </row>
    <row r="607" spans="1:31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"/>
      <c r="AB607" s="4"/>
      <c r="AC607" s="4"/>
      <c r="AD607" s="2"/>
      <c r="AE607" s="5"/>
    </row>
    <row r="608" spans="1:31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"/>
      <c r="AB608" s="4"/>
      <c r="AC608" s="4"/>
      <c r="AD608" s="2"/>
      <c r="AE608" s="5"/>
    </row>
    <row r="609" spans="1:31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"/>
      <c r="AB609" s="4"/>
      <c r="AC609" s="4"/>
      <c r="AD609" s="2"/>
      <c r="AE609" s="5"/>
    </row>
    <row r="610" spans="1:31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"/>
      <c r="AB610" s="4"/>
      <c r="AC610" s="4"/>
      <c r="AD610" s="2"/>
      <c r="AE610" s="5"/>
    </row>
    <row r="611" spans="1:3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"/>
      <c r="AB611" s="4"/>
      <c r="AC611" s="4"/>
      <c r="AD611" s="2"/>
      <c r="AE611" s="5"/>
    </row>
    <row r="612" spans="1:31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"/>
      <c r="AB612" s="4"/>
      <c r="AC612" s="4"/>
      <c r="AD612" s="2"/>
      <c r="AE612" s="5"/>
    </row>
    <row r="613" spans="1:31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"/>
      <c r="AB613" s="4"/>
      <c r="AC613" s="4"/>
      <c r="AD613" s="2"/>
      <c r="AE613" s="5"/>
    </row>
    <row r="614" spans="1:31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"/>
      <c r="AB614" s="4"/>
      <c r="AC614" s="4"/>
      <c r="AD614" s="2"/>
      <c r="AE614" s="5"/>
    </row>
    <row r="615" spans="1:31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"/>
      <c r="AB615" s="4"/>
      <c r="AC615" s="4"/>
      <c r="AD615" s="2"/>
      <c r="AE615" s="5"/>
    </row>
    <row r="616" spans="1:31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"/>
      <c r="AB616" s="4"/>
      <c r="AC616" s="4"/>
      <c r="AD616" s="2"/>
      <c r="AE616" s="5"/>
    </row>
    <row r="617" spans="1:31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"/>
      <c r="AB617" s="4"/>
      <c r="AC617" s="4"/>
      <c r="AD617" s="2"/>
      <c r="AE617" s="5"/>
    </row>
    <row r="618" spans="1:31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"/>
      <c r="AB618" s="4"/>
      <c r="AC618" s="4"/>
      <c r="AD618" s="2"/>
      <c r="AE618" s="5"/>
    </row>
    <row r="619" spans="1:31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"/>
      <c r="AB619" s="4"/>
      <c r="AC619" s="4"/>
      <c r="AD619" s="2"/>
      <c r="AE619" s="5"/>
    </row>
    <row r="620" spans="1:31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"/>
      <c r="AB620" s="4"/>
      <c r="AC620" s="4"/>
      <c r="AD620" s="2"/>
      <c r="AE620" s="5"/>
    </row>
    <row r="621" spans="1:3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"/>
      <c r="AB621" s="4"/>
      <c r="AC621" s="4"/>
      <c r="AD621" s="2"/>
      <c r="AE621" s="5"/>
    </row>
    <row r="622" spans="1:31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"/>
      <c r="AB622" s="4"/>
      <c r="AC622" s="4"/>
      <c r="AD622" s="2"/>
      <c r="AE622" s="5"/>
    </row>
    <row r="623" spans="1:31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"/>
      <c r="AB623" s="4"/>
      <c r="AC623" s="4"/>
      <c r="AD623" s="2"/>
      <c r="AE623" s="5"/>
    </row>
    <row r="624" spans="1:31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"/>
      <c r="AB624" s="4"/>
      <c r="AC624" s="4"/>
      <c r="AD624" s="2"/>
      <c r="AE624" s="5"/>
    </row>
    <row r="625" spans="1:31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"/>
      <c r="AB625" s="4"/>
      <c r="AC625" s="4"/>
      <c r="AD625" s="2"/>
      <c r="AE625" s="5"/>
    </row>
    <row r="626" spans="1:31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"/>
      <c r="AB626" s="4"/>
      <c r="AC626" s="4"/>
      <c r="AD626" s="2"/>
      <c r="AE626" s="5"/>
    </row>
    <row r="627" spans="1:31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"/>
      <c r="AB627" s="4"/>
      <c r="AC627" s="4"/>
      <c r="AD627" s="2"/>
      <c r="AE627" s="5"/>
    </row>
    <row r="628" spans="1:31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"/>
      <c r="AB628" s="4"/>
      <c r="AC628" s="4"/>
      <c r="AD628" s="2"/>
      <c r="AE628" s="5"/>
    </row>
    <row r="629" spans="1:31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"/>
      <c r="AB629" s="4"/>
      <c r="AC629" s="4"/>
      <c r="AD629" s="2"/>
      <c r="AE629" s="5"/>
    </row>
    <row r="630" spans="1:31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"/>
      <c r="AB630" s="4"/>
      <c r="AC630" s="4"/>
      <c r="AD630" s="2"/>
      <c r="AE630" s="5"/>
    </row>
    <row r="631" spans="1: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"/>
      <c r="AB631" s="4"/>
      <c r="AC631" s="4"/>
      <c r="AD631" s="2"/>
      <c r="AE631" s="5"/>
    </row>
    <row r="632" spans="1:31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"/>
      <c r="AB632" s="4"/>
      <c r="AC632" s="4"/>
      <c r="AD632" s="2"/>
      <c r="AE632" s="5"/>
    </row>
    <row r="633" spans="1:31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"/>
      <c r="AB633" s="4"/>
      <c r="AC633" s="4"/>
      <c r="AD633" s="2"/>
      <c r="AE633" s="5"/>
    </row>
    <row r="634" spans="1:31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"/>
      <c r="AB634" s="4"/>
      <c r="AC634" s="4"/>
      <c r="AD634" s="2"/>
      <c r="AE634" s="5"/>
    </row>
    <row r="635" spans="1:31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"/>
      <c r="AB635" s="4"/>
      <c r="AC635" s="4"/>
      <c r="AD635" s="2"/>
      <c r="AE635" s="5"/>
    </row>
    <row r="636" spans="1:31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"/>
      <c r="AB636" s="4"/>
      <c r="AC636" s="4"/>
      <c r="AD636" s="2"/>
      <c r="AE636" s="5"/>
    </row>
    <row r="637" spans="1:31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"/>
      <c r="AB637" s="4"/>
      <c r="AC637" s="4"/>
      <c r="AD637" s="2"/>
      <c r="AE637" s="5"/>
    </row>
    <row r="638" spans="1:31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"/>
      <c r="AB638" s="4"/>
      <c r="AC638" s="4"/>
      <c r="AD638" s="2"/>
      <c r="AE638" s="5"/>
    </row>
    <row r="639" spans="1:31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"/>
      <c r="AB639" s="4"/>
      <c r="AC639" s="4"/>
      <c r="AD639" s="2"/>
      <c r="AE639" s="5"/>
    </row>
    <row r="640" spans="1:31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"/>
      <c r="AB640" s="4"/>
      <c r="AC640" s="4"/>
      <c r="AD640" s="2"/>
      <c r="AE640" s="5"/>
    </row>
    <row r="641" spans="1:3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"/>
      <c r="AB641" s="4"/>
      <c r="AC641" s="4"/>
      <c r="AD641" s="2"/>
      <c r="AE641" s="5"/>
    </row>
    <row r="642" spans="1:31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"/>
      <c r="AB642" s="4"/>
      <c r="AC642" s="4"/>
      <c r="AD642" s="2"/>
      <c r="AE642" s="5"/>
    </row>
    <row r="643" spans="1:31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"/>
      <c r="AB643" s="4"/>
      <c r="AC643" s="4"/>
      <c r="AD643" s="2"/>
      <c r="AE643" s="5"/>
    </row>
    <row r="644" spans="1:31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"/>
      <c r="AB644" s="4"/>
      <c r="AC644" s="4"/>
      <c r="AD644" s="2"/>
      <c r="AE644" s="5"/>
    </row>
    <row r="645" spans="1:31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"/>
      <c r="AB645" s="4"/>
      <c r="AC645" s="4"/>
      <c r="AD645" s="2"/>
      <c r="AE645" s="5"/>
    </row>
    <row r="646" spans="1:31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"/>
      <c r="AB646" s="4"/>
      <c r="AC646" s="4"/>
      <c r="AD646" s="2"/>
      <c r="AE646" s="5"/>
    </row>
    <row r="647" spans="1:31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"/>
      <c r="AB647" s="4"/>
      <c r="AC647" s="4"/>
      <c r="AD647" s="2"/>
      <c r="AE647" s="5"/>
    </row>
    <row r="648" spans="1:31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"/>
      <c r="AB648" s="4"/>
      <c r="AC648" s="4"/>
      <c r="AD648" s="2"/>
      <c r="AE648" s="5"/>
    </row>
    <row r="649" spans="1:31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"/>
      <c r="AB649" s="4"/>
      <c r="AC649" s="4"/>
      <c r="AD649" s="2"/>
      <c r="AE649" s="5"/>
    </row>
    <row r="650" spans="1:31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"/>
      <c r="AB650" s="4"/>
      <c r="AC650" s="4"/>
      <c r="AD650" s="2"/>
      <c r="AE650" s="5"/>
    </row>
    <row r="651" spans="1:3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"/>
      <c r="AB651" s="4"/>
      <c r="AC651" s="4"/>
      <c r="AD651" s="2"/>
      <c r="AE651" s="5"/>
    </row>
    <row r="652" spans="1:31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"/>
      <c r="AB652" s="4"/>
      <c r="AC652" s="4"/>
      <c r="AD652" s="2"/>
      <c r="AE652" s="5"/>
    </row>
    <row r="653" spans="1:31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"/>
      <c r="AB653" s="4"/>
      <c r="AC653" s="4"/>
      <c r="AD653" s="2"/>
      <c r="AE653" s="5"/>
    </row>
    <row r="654" spans="1:31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"/>
      <c r="AB654" s="4"/>
      <c r="AC654" s="4"/>
      <c r="AD654" s="2"/>
      <c r="AE654" s="5"/>
    </row>
    <row r="655" spans="1:31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"/>
      <c r="AB655" s="4"/>
      <c r="AC655" s="4"/>
      <c r="AD655" s="2"/>
      <c r="AE655" s="5"/>
    </row>
    <row r="656" spans="1:31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"/>
      <c r="AB656" s="4"/>
      <c r="AC656" s="4"/>
      <c r="AD656" s="2"/>
      <c r="AE656" s="5"/>
    </row>
    <row r="657" spans="1:31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"/>
      <c r="AB657" s="4"/>
      <c r="AC657" s="4"/>
      <c r="AD657" s="2"/>
      <c r="AE657" s="5"/>
    </row>
    <row r="658" spans="1:31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"/>
      <c r="AB658" s="4"/>
      <c r="AC658" s="4"/>
      <c r="AD658" s="2"/>
      <c r="AE658" s="5"/>
    </row>
    <row r="659" spans="1:31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"/>
      <c r="AB659" s="4"/>
      <c r="AC659" s="4"/>
      <c r="AD659" s="2"/>
      <c r="AE659" s="5"/>
    </row>
    <row r="660" spans="1:31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"/>
      <c r="AB660" s="4"/>
      <c r="AC660" s="4"/>
      <c r="AD660" s="2"/>
      <c r="AE660" s="5"/>
    </row>
    <row r="661" spans="1:3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"/>
      <c r="AB661" s="4"/>
      <c r="AC661" s="4"/>
      <c r="AD661" s="2"/>
      <c r="AE661" s="5"/>
    </row>
    <row r="662" spans="1:31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"/>
      <c r="AB662" s="4"/>
      <c r="AC662" s="4"/>
      <c r="AD662" s="2"/>
      <c r="AE662" s="5"/>
    </row>
    <row r="663" spans="1:31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"/>
      <c r="AB663" s="4"/>
      <c r="AC663" s="4"/>
      <c r="AD663" s="2"/>
      <c r="AE663" s="5"/>
    </row>
    <row r="664" spans="1:31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"/>
      <c r="AB664" s="4"/>
      <c r="AC664" s="4"/>
      <c r="AD664" s="2"/>
      <c r="AE664" s="5"/>
    </row>
    <row r="665" spans="1:31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"/>
      <c r="AB665" s="4"/>
      <c r="AC665" s="4"/>
      <c r="AD665" s="2"/>
      <c r="AE665" s="5"/>
    </row>
    <row r="666" spans="1:31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"/>
      <c r="AB666" s="4"/>
      <c r="AC666" s="4"/>
      <c r="AD666" s="2"/>
      <c r="AE666" s="5"/>
    </row>
    <row r="667" spans="1:31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"/>
      <c r="AB667" s="4"/>
      <c r="AC667" s="4"/>
      <c r="AD667" s="2"/>
      <c r="AE667" s="5"/>
    </row>
    <row r="668" spans="1:31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"/>
      <c r="AB668" s="4"/>
      <c r="AC668" s="4"/>
      <c r="AD668" s="2"/>
      <c r="AE668" s="5"/>
    </row>
    <row r="669" spans="1:31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"/>
      <c r="AB669" s="4"/>
      <c r="AC669" s="4"/>
      <c r="AD669" s="2"/>
      <c r="AE669" s="5"/>
    </row>
    <row r="670" spans="1:31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"/>
      <c r="AB670" s="4"/>
      <c r="AC670" s="4"/>
      <c r="AD670" s="2"/>
      <c r="AE670" s="5"/>
    </row>
    <row r="671" spans="1:3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"/>
      <c r="AB671" s="4"/>
      <c r="AC671" s="4"/>
      <c r="AD671" s="2"/>
      <c r="AE671" s="5"/>
    </row>
    <row r="672" spans="1:31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"/>
      <c r="AB672" s="4"/>
      <c r="AC672" s="4"/>
      <c r="AD672" s="2"/>
      <c r="AE672" s="5"/>
    </row>
    <row r="673" spans="1:31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"/>
      <c r="AB673" s="4"/>
      <c r="AC673" s="4"/>
      <c r="AD673" s="2"/>
      <c r="AE673" s="5"/>
    </row>
    <row r="674" spans="1:31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"/>
      <c r="AB674" s="4"/>
      <c r="AC674" s="4"/>
      <c r="AD674" s="2"/>
      <c r="AE674" s="5"/>
    </row>
    <row r="675" spans="1:31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"/>
      <c r="AB675" s="4"/>
      <c r="AC675" s="4"/>
      <c r="AD675" s="2"/>
      <c r="AE675" s="5"/>
    </row>
    <row r="676" spans="1:31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"/>
      <c r="AB676" s="4"/>
      <c r="AC676" s="4"/>
      <c r="AD676" s="2"/>
      <c r="AE676" s="5"/>
    </row>
    <row r="677" spans="1:31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"/>
      <c r="AB677" s="4"/>
      <c r="AC677" s="4"/>
      <c r="AD677" s="2"/>
      <c r="AE677" s="5"/>
    </row>
    <row r="678" spans="1:31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"/>
      <c r="AB678" s="4"/>
      <c r="AC678" s="4"/>
      <c r="AD678" s="2"/>
      <c r="AE678" s="5"/>
    </row>
    <row r="679" spans="1:31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"/>
      <c r="AB679" s="4"/>
      <c r="AC679" s="4"/>
      <c r="AD679" s="2"/>
      <c r="AE679" s="5"/>
    </row>
    <row r="680" spans="1:31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"/>
      <c r="AB680" s="4"/>
      <c r="AC680" s="4"/>
      <c r="AD680" s="2"/>
      <c r="AE680" s="5"/>
    </row>
    <row r="681" spans="1:3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"/>
      <c r="AB681" s="4"/>
      <c r="AC681" s="4"/>
      <c r="AD681" s="2"/>
      <c r="AE681" s="5"/>
    </row>
    <row r="682" spans="1:31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"/>
      <c r="AB682" s="4"/>
      <c r="AC682" s="4"/>
      <c r="AD682" s="2"/>
      <c r="AE682" s="5"/>
    </row>
    <row r="683" spans="1:31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"/>
      <c r="AB683" s="4"/>
      <c r="AC683" s="4"/>
      <c r="AD683" s="2"/>
      <c r="AE683" s="5"/>
    </row>
    <row r="684" spans="1:31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"/>
      <c r="AB684" s="4"/>
      <c r="AC684" s="4"/>
      <c r="AD684" s="2"/>
      <c r="AE684" s="5"/>
    </row>
    <row r="685" spans="1:31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"/>
      <c r="AB685" s="4"/>
      <c r="AC685" s="4"/>
      <c r="AD685" s="2"/>
      <c r="AE685" s="5"/>
    </row>
    <row r="686" spans="1:31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"/>
      <c r="AB686" s="4"/>
      <c r="AC686" s="4"/>
      <c r="AD686" s="2"/>
      <c r="AE686" s="5"/>
    </row>
    <row r="687" spans="1:31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"/>
      <c r="AB687" s="4"/>
      <c r="AC687" s="4"/>
      <c r="AD687" s="2"/>
      <c r="AE687" s="5"/>
    </row>
    <row r="688" spans="1:31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"/>
      <c r="AB688" s="4"/>
      <c r="AC688" s="4"/>
      <c r="AD688" s="2"/>
      <c r="AE688" s="5"/>
    </row>
    <row r="689" spans="1:31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"/>
      <c r="AB689" s="4"/>
      <c r="AC689" s="4"/>
      <c r="AD689" s="2"/>
      <c r="AE689" s="5"/>
    </row>
    <row r="690" spans="1:31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"/>
      <c r="AB690" s="4"/>
      <c r="AC690" s="4"/>
      <c r="AD690" s="2"/>
      <c r="AE690" s="5"/>
    </row>
    <row r="691" spans="1:3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"/>
      <c r="AB691" s="4"/>
      <c r="AC691" s="4"/>
      <c r="AD691" s="2"/>
      <c r="AE691" s="5"/>
    </row>
    <row r="692" spans="1:31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"/>
      <c r="AB692" s="4"/>
      <c r="AC692" s="4"/>
      <c r="AD692" s="2"/>
      <c r="AE692" s="5"/>
    </row>
    <row r="693" spans="1:31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"/>
      <c r="AB693" s="4"/>
      <c r="AC693" s="4"/>
      <c r="AD693" s="2"/>
      <c r="AE693" s="5"/>
    </row>
    <row r="694" spans="1:31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"/>
      <c r="AB694" s="4"/>
      <c r="AC694" s="4"/>
      <c r="AD694" s="2"/>
      <c r="AE694" s="5"/>
    </row>
    <row r="695" spans="1:31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"/>
      <c r="AB695" s="4"/>
      <c r="AC695" s="4"/>
      <c r="AD695" s="2"/>
      <c r="AE695" s="5"/>
    </row>
    <row r="696" spans="1:31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"/>
      <c r="AB696" s="4"/>
      <c r="AC696" s="4"/>
      <c r="AD696" s="2"/>
      <c r="AE696" s="5"/>
    </row>
    <row r="697" spans="1:31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"/>
      <c r="AB697" s="4"/>
      <c r="AC697" s="4"/>
      <c r="AD697" s="2"/>
      <c r="AE697" s="5"/>
    </row>
    <row r="698" spans="1:31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"/>
      <c r="AB698" s="4"/>
      <c r="AC698" s="4"/>
      <c r="AD698" s="2"/>
      <c r="AE698" s="5"/>
    </row>
    <row r="699" spans="1:31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"/>
      <c r="AB699" s="4"/>
      <c r="AC699" s="4"/>
      <c r="AD699" s="2"/>
      <c r="AE699" s="5"/>
    </row>
    <row r="700" spans="1:31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"/>
      <c r="AB700" s="4"/>
      <c r="AC700" s="4"/>
      <c r="AD700" s="2"/>
      <c r="AE700" s="5"/>
    </row>
    <row r="701" spans="1:3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"/>
      <c r="AB701" s="4"/>
      <c r="AC701" s="4"/>
      <c r="AD701" s="2"/>
      <c r="AE701" s="5"/>
    </row>
    <row r="702" spans="1:31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"/>
      <c r="AB702" s="4"/>
      <c r="AC702" s="4"/>
      <c r="AD702" s="2"/>
      <c r="AE702" s="5"/>
    </row>
    <row r="703" spans="1:31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"/>
      <c r="AB703" s="4"/>
      <c r="AC703" s="4"/>
      <c r="AD703" s="2"/>
      <c r="AE703" s="5"/>
    </row>
    <row r="704" spans="1:31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"/>
      <c r="AB704" s="4"/>
      <c r="AC704" s="4"/>
      <c r="AD704" s="2"/>
      <c r="AE704" s="5"/>
    </row>
    <row r="705" spans="1:31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"/>
      <c r="AB705" s="4"/>
      <c r="AC705" s="4"/>
      <c r="AD705" s="2"/>
      <c r="AE705" s="5"/>
    </row>
    <row r="706" spans="1:31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"/>
      <c r="AB706" s="4"/>
      <c r="AC706" s="4"/>
      <c r="AD706" s="2"/>
      <c r="AE706" s="5"/>
    </row>
    <row r="707" spans="1:31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"/>
      <c r="AB707" s="4"/>
      <c r="AC707" s="4"/>
      <c r="AD707" s="2"/>
      <c r="AE707" s="5"/>
    </row>
    <row r="708" spans="1:31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"/>
      <c r="AB708" s="4"/>
      <c r="AC708" s="4"/>
      <c r="AD708" s="2"/>
      <c r="AE708" s="5"/>
    </row>
    <row r="709" spans="1:31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"/>
      <c r="AB709" s="4"/>
      <c r="AC709" s="4"/>
      <c r="AD709" s="2"/>
      <c r="AE709" s="5"/>
    </row>
    <row r="710" spans="1:31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"/>
      <c r="AB710" s="4"/>
      <c r="AC710" s="4"/>
      <c r="AD710" s="2"/>
      <c r="AE710" s="5"/>
    </row>
    <row r="711" spans="1:3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"/>
      <c r="AB711" s="4"/>
      <c r="AC711" s="4"/>
      <c r="AD711" s="2"/>
      <c r="AE711" s="5"/>
    </row>
    <row r="712" spans="1:31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"/>
      <c r="AB712" s="4"/>
      <c r="AC712" s="4"/>
      <c r="AD712" s="2"/>
      <c r="AE712" s="5"/>
    </row>
    <row r="713" spans="1:31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"/>
      <c r="AB713" s="4"/>
      <c r="AC713" s="4"/>
      <c r="AD713" s="2"/>
      <c r="AE713" s="5"/>
    </row>
    <row r="714" spans="1:31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"/>
      <c r="AB714" s="4"/>
      <c r="AC714" s="4"/>
      <c r="AD714" s="2"/>
      <c r="AE714" s="5"/>
    </row>
    <row r="715" spans="1:31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"/>
      <c r="AB715" s="4"/>
      <c r="AC715" s="4"/>
      <c r="AD715" s="2"/>
      <c r="AE715" s="5"/>
    </row>
    <row r="716" spans="1:31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"/>
      <c r="AB716" s="4"/>
      <c r="AC716" s="4"/>
      <c r="AD716" s="2"/>
      <c r="AE716" s="5"/>
    </row>
    <row r="717" spans="1:31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"/>
      <c r="AB717" s="4"/>
      <c r="AC717" s="4"/>
      <c r="AD717" s="2"/>
      <c r="AE717" s="5"/>
    </row>
    <row r="718" spans="1:31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"/>
      <c r="AB718" s="4"/>
      <c r="AC718" s="4"/>
      <c r="AD718" s="2"/>
      <c r="AE718" s="5"/>
    </row>
    <row r="719" spans="1:31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"/>
      <c r="AB719" s="4"/>
      <c r="AC719" s="4"/>
      <c r="AD719" s="2"/>
      <c r="AE719" s="5"/>
    </row>
    <row r="720" spans="1:31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"/>
      <c r="AB720" s="4"/>
      <c r="AC720" s="4"/>
      <c r="AD720" s="2"/>
      <c r="AE720" s="5"/>
    </row>
    <row r="721" spans="1:3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"/>
      <c r="AB721" s="4"/>
      <c r="AC721" s="4"/>
      <c r="AD721" s="2"/>
      <c r="AE721" s="5"/>
    </row>
    <row r="722" spans="1:31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"/>
      <c r="AB722" s="4"/>
      <c r="AC722" s="4"/>
      <c r="AD722" s="2"/>
      <c r="AE722" s="5"/>
    </row>
    <row r="723" spans="1:31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"/>
      <c r="AB723" s="4"/>
      <c r="AC723" s="4"/>
      <c r="AD723" s="2"/>
      <c r="AE723" s="5"/>
    </row>
    <row r="724" spans="1:31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"/>
      <c r="AB724" s="4"/>
      <c r="AC724" s="4"/>
      <c r="AD724" s="2"/>
      <c r="AE724" s="5"/>
    </row>
    <row r="725" spans="1:31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"/>
      <c r="AB725" s="4"/>
      <c r="AC725" s="4"/>
      <c r="AD725" s="2"/>
      <c r="AE725" s="5"/>
    </row>
    <row r="726" spans="1:31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"/>
      <c r="AB726" s="4"/>
      <c r="AC726" s="4"/>
      <c r="AD726" s="2"/>
      <c r="AE726" s="5"/>
    </row>
    <row r="727" spans="1:31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"/>
      <c r="AB727" s="4"/>
      <c r="AC727" s="4"/>
      <c r="AD727" s="2"/>
      <c r="AE727" s="5"/>
    </row>
    <row r="728" spans="1:31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"/>
      <c r="AB728" s="4"/>
      <c r="AC728" s="4"/>
      <c r="AD728" s="2"/>
      <c r="AE728" s="5"/>
    </row>
    <row r="729" spans="1:31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"/>
      <c r="AB729" s="4"/>
      <c r="AC729" s="4"/>
      <c r="AD729" s="2"/>
      <c r="AE729" s="5"/>
    </row>
    <row r="730" spans="1:31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"/>
      <c r="AB730" s="4"/>
      <c r="AC730" s="4"/>
      <c r="AD730" s="2"/>
      <c r="AE730" s="5"/>
    </row>
    <row r="731" spans="1: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"/>
      <c r="AB731" s="4"/>
      <c r="AC731" s="4"/>
      <c r="AD731" s="2"/>
      <c r="AE731" s="5"/>
    </row>
    <row r="732" spans="1:31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"/>
      <c r="AB732" s="4"/>
      <c r="AC732" s="4"/>
      <c r="AD732" s="2"/>
      <c r="AE732" s="5"/>
    </row>
    <row r="733" spans="1:31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"/>
      <c r="AB733" s="4"/>
      <c r="AC733" s="4"/>
      <c r="AD733" s="2"/>
      <c r="AE733" s="5"/>
    </row>
    <row r="734" spans="1:31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"/>
      <c r="AB734" s="4"/>
      <c r="AC734" s="4"/>
      <c r="AD734" s="2"/>
      <c r="AE734" s="5"/>
    </row>
    <row r="735" spans="1:31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"/>
      <c r="AB735" s="4"/>
      <c r="AC735" s="4"/>
      <c r="AD735" s="2"/>
      <c r="AE735" s="5"/>
    </row>
    <row r="736" spans="1:31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"/>
      <c r="AB736" s="4"/>
      <c r="AC736" s="4"/>
      <c r="AD736" s="2"/>
      <c r="AE736" s="5"/>
    </row>
    <row r="737" spans="1:31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"/>
      <c r="AB737" s="4"/>
      <c r="AC737" s="4"/>
      <c r="AD737" s="2"/>
      <c r="AE737" s="5"/>
    </row>
    <row r="738" spans="1:31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"/>
      <c r="AB738" s="4"/>
      <c r="AC738" s="4"/>
      <c r="AD738" s="2"/>
      <c r="AE738" s="5"/>
    </row>
    <row r="739" spans="1:31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"/>
      <c r="AB739" s="4"/>
      <c r="AC739" s="4"/>
      <c r="AD739" s="2"/>
      <c r="AE739" s="5"/>
    </row>
    <row r="740" spans="1:31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"/>
      <c r="AB740" s="4"/>
      <c r="AC740" s="4"/>
      <c r="AD740" s="2"/>
      <c r="AE740" s="5"/>
    </row>
    <row r="741" spans="1:3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"/>
      <c r="AB741" s="4"/>
      <c r="AC741" s="4"/>
      <c r="AD741" s="2"/>
      <c r="AE741" s="5"/>
    </row>
    <row r="742" spans="1:31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"/>
      <c r="AB742" s="4"/>
      <c r="AC742" s="4"/>
      <c r="AD742" s="2"/>
      <c r="AE742" s="5"/>
    </row>
    <row r="743" spans="1:31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"/>
      <c r="AB743" s="4"/>
      <c r="AC743" s="4"/>
      <c r="AD743" s="2"/>
      <c r="AE743" s="5"/>
    </row>
    <row r="744" spans="1:31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"/>
      <c r="AB744" s="4"/>
      <c r="AC744" s="4"/>
      <c r="AD744" s="2"/>
      <c r="AE744" s="5"/>
    </row>
    <row r="745" spans="1:31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"/>
      <c r="AB745" s="4"/>
      <c r="AC745" s="4"/>
      <c r="AD745" s="2"/>
      <c r="AE745" s="5"/>
    </row>
    <row r="746" spans="1:31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"/>
      <c r="AB746" s="4"/>
      <c r="AC746" s="4"/>
      <c r="AD746" s="2"/>
      <c r="AE746" s="5"/>
    </row>
    <row r="747" spans="1:31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"/>
      <c r="AB747" s="4"/>
      <c r="AC747" s="4"/>
      <c r="AD747" s="2"/>
      <c r="AE747" s="5"/>
    </row>
    <row r="748" spans="1:31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"/>
      <c r="AB748" s="4"/>
      <c r="AC748" s="4"/>
      <c r="AD748" s="2"/>
      <c r="AE748" s="5"/>
    </row>
    <row r="749" spans="1:31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"/>
      <c r="AB749" s="4"/>
      <c r="AC749" s="4"/>
      <c r="AD749" s="2"/>
      <c r="AE749" s="5"/>
    </row>
    <row r="750" spans="1:31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"/>
      <c r="AB750" s="4"/>
      <c r="AC750" s="4"/>
      <c r="AD750" s="2"/>
      <c r="AE750" s="5"/>
    </row>
    <row r="751" spans="1:3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"/>
      <c r="AB751" s="4"/>
      <c r="AC751" s="4"/>
      <c r="AD751" s="2"/>
      <c r="AE751" s="5"/>
    </row>
    <row r="752" spans="1:31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"/>
      <c r="AB752" s="4"/>
      <c r="AC752" s="4"/>
      <c r="AD752" s="2"/>
      <c r="AE752" s="5"/>
    </row>
    <row r="753" spans="1:31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"/>
      <c r="AB753" s="4"/>
      <c r="AC753" s="4"/>
      <c r="AD753" s="2"/>
      <c r="AE753" s="5"/>
    </row>
    <row r="754" spans="1:31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"/>
      <c r="AB754" s="4"/>
      <c r="AC754" s="4"/>
      <c r="AD754" s="2"/>
      <c r="AE754" s="5"/>
    </row>
    <row r="755" spans="1:31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"/>
      <c r="AB755" s="4"/>
      <c r="AC755" s="4"/>
      <c r="AD755" s="2"/>
      <c r="AE755" s="5"/>
    </row>
    <row r="756" spans="1:31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"/>
      <c r="AB756" s="4"/>
      <c r="AC756" s="4"/>
      <c r="AD756" s="2"/>
      <c r="AE756" s="5"/>
    </row>
    <row r="757" spans="1:31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"/>
      <c r="AB757" s="4"/>
      <c r="AC757" s="4"/>
      <c r="AD757" s="2"/>
      <c r="AE757" s="5"/>
    </row>
    <row r="758" spans="1:31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"/>
      <c r="AB758" s="4"/>
      <c r="AC758" s="4"/>
      <c r="AD758" s="2"/>
      <c r="AE758" s="5"/>
    </row>
    <row r="759" spans="1:31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"/>
      <c r="AB759" s="4"/>
      <c r="AC759" s="4"/>
      <c r="AD759" s="2"/>
      <c r="AE759" s="5"/>
    </row>
    <row r="760" spans="1:31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"/>
      <c r="AB760" s="4"/>
      <c r="AC760" s="4"/>
      <c r="AD760" s="2"/>
      <c r="AE760" s="5"/>
    </row>
    <row r="761" spans="1:3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"/>
      <c r="AB761" s="4"/>
      <c r="AC761" s="4"/>
      <c r="AD761" s="2"/>
      <c r="AE761" s="5"/>
    </row>
    <row r="762" spans="1:31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"/>
      <c r="AB762" s="4"/>
      <c r="AC762" s="4"/>
      <c r="AD762" s="2"/>
      <c r="AE762" s="5"/>
    </row>
    <row r="763" spans="1:31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"/>
      <c r="AB763" s="4"/>
      <c r="AC763" s="4"/>
      <c r="AD763" s="2"/>
      <c r="AE763" s="5"/>
    </row>
    <row r="764" spans="1:31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"/>
      <c r="AB764" s="4"/>
      <c r="AC764" s="4"/>
      <c r="AD764" s="2"/>
      <c r="AE764" s="5"/>
    </row>
    <row r="765" spans="1:31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"/>
      <c r="AB765" s="4"/>
      <c r="AC765" s="4"/>
      <c r="AD765" s="2"/>
      <c r="AE765" s="5"/>
    </row>
    <row r="766" spans="1:31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"/>
      <c r="AB766" s="4"/>
      <c r="AC766" s="4"/>
      <c r="AD766" s="2"/>
      <c r="AE766" s="5"/>
    </row>
    <row r="767" spans="1:31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"/>
      <c r="AB767" s="4"/>
      <c r="AC767" s="4"/>
      <c r="AD767" s="2"/>
      <c r="AE767" s="5"/>
    </row>
    <row r="768" spans="1:31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"/>
      <c r="AB768" s="4"/>
      <c r="AC768" s="4"/>
      <c r="AD768" s="2"/>
      <c r="AE768" s="5"/>
    </row>
    <row r="769" spans="1:31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"/>
      <c r="AB769" s="4"/>
      <c r="AC769" s="4"/>
      <c r="AD769" s="2"/>
      <c r="AE769" s="5"/>
    </row>
    <row r="770" spans="1:31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"/>
      <c r="AB770" s="4"/>
      <c r="AC770" s="4"/>
      <c r="AD770" s="2"/>
      <c r="AE770" s="5"/>
    </row>
    <row r="771" spans="1:3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"/>
      <c r="AB771" s="4"/>
      <c r="AC771" s="4"/>
      <c r="AD771" s="2"/>
      <c r="AE771" s="5"/>
    </row>
    <row r="772" spans="1:31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"/>
      <c r="AB772" s="4"/>
      <c r="AC772" s="4"/>
      <c r="AD772" s="2"/>
      <c r="AE772" s="5"/>
    </row>
    <row r="773" spans="1:31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"/>
      <c r="AB773" s="4"/>
      <c r="AC773" s="4"/>
      <c r="AD773" s="2"/>
      <c r="AE773" s="5"/>
    </row>
    <row r="774" spans="1:31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"/>
      <c r="AB774" s="4"/>
      <c r="AC774" s="4"/>
      <c r="AD774" s="2"/>
      <c r="AE774" s="5"/>
    </row>
    <row r="775" spans="1:31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"/>
      <c r="AB775" s="4"/>
      <c r="AC775" s="4"/>
      <c r="AD775" s="2"/>
      <c r="AE775" s="5"/>
    </row>
    <row r="776" spans="1:31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"/>
      <c r="AB776" s="4"/>
      <c r="AC776" s="4"/>
      <c r="AD776" s="2"/>
      <c r="AE776" s="5"/>
    </row>
    <row r="777" spans="1:31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"/>
      <c r="AB777" s="4"/>
      <c r="AC777" s="4"/>
      <c r="AD777" s="2"/>
      <c r="AE777" s="5"/>
    </row>
    <row r="778" spans="1:31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"/>
      <c r="AB778" s="4"/>
      <c r="AC778" s="4"/>
      <c r="AD778" s="2"/>
      <c r="AE778" s="5"/>
    </row>
    <row r="779" spans="1:31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"/>
      <c r="AB779" s="4"/>
      <c r="AC779" s="4"/>
      <c r="AD779" s="2"/>
      <c r="AE779" s="5"/>
    </row>
    <row r="780" spans="1:31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"/>
      <c r="AB780" s="4"/>
      <c r="AC780" s="4"/>
      <c r="AD780" s="2"/>
      <c r="AE780" s="5"/>
    </row>
    <row r="781" spans="1:3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"/>
      <c r="AB781" s="4"/>
      <c r="AC781" s="4"/>
      <c r="AD781" s="2"/>
      <c r="AE781" s="5"/>
    </row>
    <row r="782" spans="1:31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"/>
      <c r="AB782" s="4"/>
      <c r="AC782" s="4"/>
      <c r="AD782" s="2"/>
      <c r="AE782" s="5"/>
    </row>
    <row r="783" spans="1:31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"/>
      <c r="AB783" s="4"/>
      <c r="AC783" s="4"/>
      <c r="AD783" s="2"/>
      <c r="AE783" s="5"/>
    </row>
    <row r="784" spans="1:31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"/>
      <c r="AB784" s="4"/>
      <c r="AC784" s="4"/>
      <c r="AD784" s="2"/>
      <c r="AE784" s="5"/>
    </row>
    <row r="785" spans="1:31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"/>
      <c r="AB785" s="4"/>
      <c r="AC785" s="4"/>
      <c r="AD785" s="2"/>
      <c r="AE785" s="5"/>
    </row>
    <row r="786" spans="1:31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"/>
      <c r="AB786" s="4"/>
      <c r="AC786" s="4"/>
      <c r="AD786" s="2"/>
      <c r="AE786" s="5"/>
    </row>
    <row r="787" spans="1:31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"/>
      <c r="AB787" s="4"/>
      <c r="AC787" s="4"/>
      <c r="AD787" s="2"/>
      <c r="AE787" s="5"/>
    </row>
    <row r="788" spans="1:31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"/>
      <c r="AB788" s="4"/>
      <c r="AC788" s="4"/>
      <c r="AD788" s="2"/>
      <c r="AE788" s="5"/>
    </row>
    <row r="789" spans="1:31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"/>
      <c r="AB789" s="4"/>
      <c r="AC789" s="4"/>
      <c r="AD789" s="2"/>
      <c r="AE789" s="5"/>
    </row>
    <row r="790" spans="1:31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"/>
      <c r="AB790" s="4"/>
      <c r="AC790" s="4"/>
      <c r="AD790" s="2"/>
      <c r="AE790" s="5"/>
    </row>
    <row r="791" spans="1:3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"/>
      <c r="AB791" s="4"/>
      <c r="AC791" s="4"/>
      <c r="AD791" s="2"/>
      <c r="AE791" s="5"/>
    </row>
    <row r="792" spans="1:31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"/>
      <c r="AB792" s="4"/>
      <c r="AC792" s="4"/>
      <c r="AD792" s="2"/>
      <c r="AE792" s="5"/>
    </row>
    <row r="793" spans="1:31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"/>
      <c r="AB793" s="4"/>
      <c r="AC793" s="4"/>
      <c r="AD793" s="2"/>
      <c r="AE793" s="5"/>
    </row>
    <row r="794" spans="1:31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"/>
      <c r="AB794" s="4"/>
      <c r="AC794" s="4"/>
      <c r="AD794" s="2"/>
      <c r="AE794" s="5"/>
    </row>
    <row r="795" spans="1:31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"/>
      <c r="AB795" s="4"/>
      <c r="AC795" s="4"/>
      <c r="AD795" s="2"/>
      <c r="AE795" s="5"/>
    </row>
    <row r="796" spans="1:31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"/>
      <c r="AB796" s="4"/>
      <c r="AC796" s="4"/>
      <c r="AD796" s="2"/>
      <c r="AE796" s="5"/>
    </row>
    <row r="797" spans="1:31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"/>
      <c r="AB797" s="4"/>
      <c r="AC797" s="4"/>
      <c r="AD797" s="2"/>
      <c r="AE797" s="5"/>
    </row>
    <row r="798" spans="1:31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"/>
      <c r="AB798" s="4"/>
      <c r="AC798" s="4"/>
      <c r="AD798" s="2"/>
      <c r="AE798" s="5"/>
    </row>
    <row r="799" spans="1:31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"/>
      <c r="AB799" s="4"/>
      <c r="AC799" s="4"/>
      <c r="AD799" s="2"/>
      <c r="AE799" s="5"/>
    </row>
    <row r="800" spans="1:31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"/>
      <c r="AB800" s="4"/>
      <c r="AC800" s="4"/>
      <c r="AD800" s="2"/>
      <c r="AE800" s="5"/>
    </row>
    <row r="801" spans="1:3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"/>
      <c r="AB801" s="4"/>
      <c r="AC801" s="4"/>
      <c r="AD801" s="2"/>
      <c r="AE801" s="5"/>
    </row>
    <row r="802" spans="1:31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"/>
      <c r="AB802" s="4"/>
      <c r="AC802" s="4"/>
      <c r="AD802" s="2"/>
      <c r="AE802" s="5"/>
    </row>
    <row r="803" spans="1:31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"/>
      <c r="AB803" s="4"/>
      <c r="AC803" s="4"/>
      <c r="AD803" s="2"/>
      <c r="AE803" s="5"/>
    </row>
    <row r="804" spans="1:31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"/>
      <c r="AB804" s="4"/>
      <c r="AC804" s="4"/>
      <c r="AD804" s="2"/>
      <c r="AE804" s="5"/>
    </row>
    <row r="805" spans="1:31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"/>
      <c r="AB805" s="4"/>
      <c r="AC805" s="4"/>
      <c r="AD805" s="2"/>
      <c r="AE805" s="5"/>
    </row>
    <row r="806" spans="1:31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"/>
      <c r="AB806" s="4"/>
      <c r="AC806" s="4"/>
      <c r="AD806" s="2"/>
      <c r="AE806" s="5"/>
    </row>
    <row r="807" spans="1:31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"/>
      <c r="AB807" s="4"/>
      <c r="AC807" s="4"/>
      <c r="AD807" s="2"/>
      <c r="AE807" s="5"/>
    </row>
    <row r="808" spans="1:31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"/>
      <c r="AB808" s="4"/>
      <c r="AC808" s="4"/>
      <c r="AD808" s="2"/>
      <c r="AE808" s="5"/>
    </row>
    <row r="809" spans="1:31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"/>
      <c r="AB809" s="4"/>
      <c r="AC809" s="4"/>
      <c r="AD809" s="2"/>
      <c r="AE809" s="5"/>
    </row>
    <row r="810" spans="1:31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"/>
      <c r="AB810" s="4"/>
      <c r="AC810" s="4"/>
      <c r="AD810" s="2"/>
      <c r="AE810" s="5"/>
    </row>
    <row r="811" spans="1:3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"/>
      <c r="AB811" s="4"/>
      <c r="AC811" s="4"/>
      <c r="AD811" s="2"/>
      <c r="AE811" s="5"/>
    </row>
    <row r="812" spans="1:31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"/>
      <c r="AB812" s="4"/>
      <c r="AC812" s="4"/>
      <c r="AD812" s="2"/>
      <c r="AE812" s="5"/>
    </row>
    <row r="813" spans="1:31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"/>
      <c r="AB813" s="4"/>
      <c r="AC813" s="4"/>
      <c r="AD813" s="2"/>
      <c r="AE813" s="5"/>
    </row>
    <row r="814" spans="1:31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"/>
      <c r="AB814" s="4"/>
      <c r="AC814" s="4"/>
      <c r="AD814" s="2"/>
      <c r="AE814" s="5"/>
    </row>
    <row r="815" spans="1:31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"/>
      <c r="AB815" s="4"/>
      <c r="AC815" s="4"/>
      <c r="AD815" s="2"/>
      <c r="AE815" s="5"/>
    </row>
    <row r="816" spans="1:31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"/>
      <c r="AB816" s="4"/>
      <c r="AC816" s="4"/>
      <c r="AD816" s="2"/>
      <c r="AE816" s="5"/>
    </row>
    <row r="817" spans="1:31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"/>
      <c r="AB817" s="4"/>
      <c r="AC817" s="4"/>
      <c r="AD817" s="2"/>
      <c r="AE817" s="5"/>
    </row>
    <row r="818" spans="1:31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"/>
      <c r="AB818" s="4"/>
      <c r="AC818" s="4"/>
      <c r="AD818" s="2"/>
      <c r="AE818" s="5"/>
    </row>
    <row r="819" spans="1:31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"/>
      <c r="AB819" s="4"/>
      <c r="AC819" s="4"/>
      <c r="AD819" s="2"/>
      <c r="AE819" s="5"/>
    </row>
    <row r="820" spans="1:31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"/>
      <c r="AB820" s="4"/>
      <c r="AC820" s="4"/>
      <c r="AD820" s="2"/>
      <c r="AE820" s="5"/>
    </row>
    <row r="821" spans="1:3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"/>
      <c r="AB821" s="4"/>
      <c r="AC821" s="4"/>
      <c r="AD821" s="2"/>
      <c r="AE821" s="5"/>
    </row>
    <row r="822" spans="1:31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"/>
      <c r="AB822" s="4"/>
      <c r="AC822" s="4"/>
      <c r="AD822" s="2"/>
      <c r="AE822" s="5"/>
    </row>
    <row r="823" spans="1:31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"/>
      <c r="AB823" s="4"/>
      <c r="AC823" s="4"/>
      <c r="AD823" s="2"/>
      <c r="AE823" s="5"/>
    </row>
    <row r="824" spans="1:31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"/>
      <c r="AB824" s="4"/>
      <c r="AC824" s="4"/>
      <c r="AD824" s="2"/>
      <c r="AE824" s="5"/>
    </row>
    <row r="825" spans="1:31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"/>
      <c r="AB825" s="4"/>
      <c r="AC825" s="4"/>
      <c r="AD825" s="2"/>
      <c r="AE825" s="5"/>
    </row>
    <row r="826" spans="1:31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"/>
      <c r="AB826" s="4"/>
      <c r="AC826" s="4"/>
      <c r="AD826" s="2"/>
      <c r="AE826" s="5"/>
    </row>
    <row r="827" spans="1:31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"/>
      <c r="AB827" s="4"/>
      <c r="AC827" s="4"/>
      <c r="AD827" s="2"/>
      <c r="AE827" s="5"/>
    </row>
    <row r="828" spans="1:31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"/>
      <c r="AB828" s="4"/>
      <c r="AC828" s="4"/>
      <c r="AD828" s="2"/>
      <c r="AE828" s="5"/>
    </row>
    <row r="829" spans="1:31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"/>
      <c r="AB829" s="4"/>
      <c r="AC829" s="4"/>
      <c r="AD829" s="2"/>
      <c r="AE829" s="5"/>
    </row>
    <row r="830" spans="1:31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"/>
      <c r="AB830" s="4"/>
      <c r="AC830" s="4"/>
      <c r="AD830" s="2"/>
      <c r="AE830" s="5"/>
    </row>
    <row r="831" spans="1: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"/>
      <c r="AB831" s="4"/>
      <c r="AC831" s="4"/>
      <c r="AD831" s="2"/>
      <c r="AE831" s="5"/>
    </row>
    <row r="832" spans="1:31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"/>
      <c r="AB832" s="4"/>
      <c r="AC832" s="4"/>
      <c r="AD832" s="2"/>
      <c r="AE832" s="5"/>
    </row>
    <row r="833" spans="1:31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"/>
      <c r="AB833" s="4"/>
      <c r="AC833" s="4"/>
      <c r="AD833" s="2"/>
      <c r="AE833" s="5"/>
    </row>
    <row r="834" spans="1:31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"/>
      <c r="AB834" s="4"/>
      <c r="AC834" s="4"/>
      <c r="AD834" s="2"/>
      <c r="AE834" s="5"/>
    </row>
    <row r="835" spans="1:31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"/>
      <c r="AB835" s="4"/>
      <c r="AC835" s="4"/>
      <c r="AD835" s="2"/>
      <c r="AE835" s="5"/>
    </row>
    <row r="836" spans="1:31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"/>
      <c r="AB836" s="4"/>
      <c r="AC836" s="4"/>
      <c r="AD836" s="2"/>
      <c r="AE836" s="5"/>
    </row>
    <row r="837" spans="1:31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"/>
      <c r="AB837" s="4"/>
      <c r="AC837" s="4"/>
      <c r="AD837" s="2"/>
      <c r="AE837" s="5"/>
    </row>
    <row r="838" spans="1:31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"/>
      <c r="AB838" s="4"/>
      <c r="AC838" s="4"/>
      <c r="AD838" s="2"/>
      <c r="AE838" s="5"/>
    </row>
    <row r="839" spans="1:31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"/>
      <c r="AB839" s="4"/>
      <c r="AC839" s="4"/>
      <c r="AD839" s="2"/>
      <c r="AE839" s="5"/>
    </row>
    <row r="840" spans="1:31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"/>
      <c r="AB840" s="4"/>
      <c r="AC840" s="4"/>
      <c r="AD840" s="2"/>
      <c r="AE840" s="5"/>
    </row>
    <row r="841" spans="1:3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"/>
      <c r="AB841" s="4"/>
      <c r="AC841" s="4"/>
      <c r="AD841" s="2"/>
      <c r="AE841" s="5"/>
    </row>
    <row r="842" spans="1:31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"/>
      <c r="AB842" s="4"/>
      <c r="AC842" s="4"/>
      <c r="AD842" s="2"/>
      <c r="AE842" s="5"/>
    </row>
    <row r="843" spans="1:31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"/>
      <c r="AB843" s="4"/>
      <c r="AC843" s="4"/>
      <c r="AD843" s="2"/>
      <c r="AE843" s="5"/>
    </row>
    <row r="844" spans="1:31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"/>
      <c r="AB844" s="4"/>
      <c r="AC844" s="4"/>
      <c r="AD844" s="2"/>
      <c r="AE844" s="5"/>
    </row>
    <row r="845" spans="1:31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"/>
      <c r="AB845" s="4"/>
      <c r="AC845" s="4"/>
      <c r="AD845" s="2"/>
      <c r="AE845" s="5"/>
    </row>
    <row r="846" spans="1:31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"/>
      <c r="AB846" s="4"/>
      <c r="AC846" s="4"/>
      <c r="AD846" s="2"/>
      <c r="AE846" s="5"/>
    </row>
    <row r="847" spans="1:31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"/>
      <c r="AB847" s="4"/>
      <c r="AC847" s="4"/>
      <c r="AD847" s="2"/>
      <c r="AE847" s="5"/>
    </row>
    <row r="848" spans="1:31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"/>
      <c r="AB848" s="4"/>
      <c r="AC848" s="4"/>
      <c r="AD848" s="2"/>
      <c r="AE848" s="5"/>
    </row>
    <row r="849" spans="1:31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"/>
      <c r="AB849" s="4"/>
      <c r="AC849" s="4"/>
      <c r="AD849" s="2"/>
      <c r="AE849" s="5"/>
    </row>
    <row r="850" spans="1:31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"/>
      <c r="AB850" s="4"/>
      <c r="AC850" s="4"/>
      <c r="AD850" s="2"/>
      <c r="AE850" s="5"/>
    </row>
    <row r="851" spans="1:3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"/>
      <c r="AB851" s="4"/>
      <c r="AC851" s="4"/>
      <c r="AD851" s="2"/>
      <c r="AE851" s="5"/>
    </row>
    <row r="852" spans="1:31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"/>
      <c r="AB852" s="4"/>
      <c r="AC852" s="4"/>
      <c r="AD852" s="2"/>
      <c r="AE852" s="5"/>
    </row>
    <row r="853" spans="1:31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"/>
      <c r="AB853" s="4"/>
      <c r="AC853" s="4"/>
      <c r="AD853" s="2"/>
      <c r="AE853" s="5"/>
    </row>
    <row r="854" spans="1:31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"/>
      <c r="AB854" s="4"/>
      <c r="AC854" s="4"/>
      <c r="AD854" s="2"/>
      <c r="AE854" s="5"/>
    </row>
    <row r="855" spans="1:31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"/>
      <c r="AB855" s="4"/>
      <c r="AC855" s="4"/>
      <c r="AD855" s="2"/>
      <c r="AE855" s="5"/>
    </row>
    <row r="856" spans="1:31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"/>
      <c r="AB856" s="4"/>
      <c r="AC856" s="4"/>
      <c r="AD856" s="2"/>
      <c r="AE856" s="5"/>
    </row>
    <row r="857" spans="1:31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"/>
      <c r="AB857" s="4"/>
      <c r="AC857" s="4"/>
      <c r="AD857" s="2"/>
      <c r="AE857" s="5"/>
    </row>
    <row r="858" spans="1:31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"/>
      <c r="AB858" s="4"/>
      <c r="AC858" s="4"/>
      <c r="AD858" s="2"/>
      <c r="AE858" s="5"/>
    </row>
    <row r="859" spans="1:31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"/>
      <c r="AB859" s="4"/>
      <c r="AC859" s="4"/>
      <c r="AD859" s="2"/>
      <c r="AE859" s="5"/>
    </row>
    <row r="860" spans="1:31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"/>
      <c r="AB860" s="4"/>
      <c r="AC860" s="4"/>
      <c r="AD860" s="2"/>
      <c r="AE860" s="5"/>
    </row>
    <row r="861" spans="1:3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"/>
      <c r="AB861" s="4"/>
      <c r="AC861" s="4"/>
      <c r="AD861" s="2"/>
      <c r="AE861" s="5"/>
    </row>
    <row r="862" spans="1:31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"/>
      <c r="AB862" s="4"/>
      <c r="AC862" s="4"/>
      <c r="AD862" s="2"/>
      <c r="AE862" s="5"/>
    </row>
    <row r="863" spans="1:31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"/>
      <c r="AB863" s="4"/>
      <c r="AC863" s="4"/>
      <c r="AD863" s="2"/>
      <c r="AE863" s="5"/>
    </row>
    <row r="864" spans="1:31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"/>
      <c r="AB864" s="4"/>
      <c r="AC864" s="4"/>
      <c r="AD864" s="2"/>
      <c r="AE864" s="5"/>
    </row>
    <row r="865" spans="1:31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"/>
      <c r="AB865" s="4"/>
      <c r="AC865" s="4"/>
      <c r="AD865" s="2"/>
      <c r="AE865" s="5"/>
    </row>
    <row r="866" spans="1:31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"/>
      <c r="AB866" s="4"/>
      <c r="AC866" s="4"/>
      <c r="AD866" s="2"/>
      <c r="AE866" s="5"/>
    </row>
    <row r="867" spans="1:31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"/>
      <c r="AB867" s="4"/>
      <c r="AC867" s="4"/>
      <c r="AD867" s="2"/>
      <c r="AE867" s="5"/>
    </row>
    <row r="868" spans="1:31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"/>
      <c r="AB868" s="4"/>
      <c r="AC868" s="4"/>
      <c r="AD868" s="2"/>
      <c r="AE868" s="5"/>
    </row>
    <row r="869" spans="1:31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"/>
      <c r="AB869" s="4"/>
      <c r="AC869" s="4"/>
      <c r="AD869" s="2"/>
      <c r="AE869" s="5"/>
    </row>
    <row r="870" spans="1:31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"/>
      <c r="AB870" s="4"/>
      <c r="AC870" s="4"/>
      <c r="AD870" s="2"/>
      <c r="AE870" s="5"/>
    </row>
    <row r="871" spans="1:3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"/>
      <c r="AB871" s="4"/>
      <c r="AC871" s="4"/>
      <c r="AD871" s="2"/>
      <c r="AE871" s="5"/>
    </row>
    <row r="872" spans="1:31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"/>
      <c r="AB872" s="4"/>
      <c r="AC872" s="4"/>
      <c r="AD872" s="2"/>
      <c r="AE872" s="5"/>
    </row>
    <row r="873" spans="1:31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"/>
      <c r="AB873" s="4"/>
      <c r="AC873" s="4"/>
      <c r="AD873" s="2"/>
      <c r="AE873" s="5"/>
    </row>
    <row r="874" spans="1:31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"/>
      <c r="AB874" s="4"/>
      <c r="AC874" s="4"/>
      <c r="AD874" s="2"/>
      <c r="AE874" s="5"/>
    </row>
    <row r="875" spans="1:31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"/>
      <c r="AB875" s="4"/>
      <c r="AC875" s="4"/>
      <c r="AD875" s="2"/>
      <c r="AE875" s="5"/>
    </row>
    <row r="876" spans="1:31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"/>
      <c r="AB876" s="4"/>
      <c r="AC876" s="4"/>
      <c r="AD876" s="2"/>
      <c r="AE876" s="5"/>
    </row>
    <row r="877" spans="1:31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"/>
      <c r="AB877" s="4"/>
      <c r="AC877" s="4"/>
      <c r="AD877" s="2"/>
      <c r="AE877" s="5"/>
    </row>
    <row r="878" spans="1:31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"/>
      <c r="AB878" s="4"/>
      <c r="AC878" s="4"/>
      <c r="AD878" s="2"/>
      <c r="AE878" s="5"/>
    </row>
    <row r="879" spans="1:31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"/>
      <c r="AB879" s="4"/>
      <c r="AC879" s="4"/>
      <c r="AD879" s="2"/>
      <c r="AE879" s="5"/>
    </row>
    <row r="880" spans="1:31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"/>
      <c r="AB880" s="4"/>
      <c r="AC880" s="4"/>
      <c r="AD880" s="2"/>
      <c r="AE880" s="5"/>
    </row>
    <row r="881" spans="1:3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"/>
      <c r="AB881" s="4"/>
      <c r="AC881" s="4"/>
      <c r="AD881" s="2"/>
      <c r="AE881" s="5"/>
    </row>
    <row r="882" spans="1:31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"/>
      <c r="AB882" s="4"/>
      <c r="AC882" s="4"/>
      <c r="AD882" s="2"/>
      <c r="AE882" s="5"/>
    </row>
    <row r="883" spans="1:31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"/>
      <c r="AB883" s="4"/>
      <c r="AC883" s="4"/>
      <c r="AD883" s="2"/>
      <c r="AE883" s="5"/>
    </row>
    <row r="884" spans="1:31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"/>
      <c r="AB884" s="4"/>
      <c r="AC884" s="4"/>
      <c r="AD884" s="2"/>
      <c r="AE884" s="5"/>
    </row>
    <row r="885" spans="1:31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"/>
      <c r="AB885" s="4"/>
      <c r="AC885" s="4"/>
      <c r="AD885" s="2"/>
      <c r="AE885" s="5"/>
    </row>
    <row r="886" spans="1:31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"/>
      <c r="AB886" s="4"/>
      <c r="AC886" s="4"/>
      <c r="AD886" s="2"/>
      <c r="AE886" s="5"/>
    </row>
    <row r="887" spans="1:31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"/>
      <c r="AB887" s="4"/>
      <c r="AC887" s="4"/>
      <c r="AD887" s="2"/>
      <c r="AE887" s="5"/>
    </row>
    <row r="888" spans="1:31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"/>
      <c r="AB888" s="4"/>
      <c r="AC888" s="4"/>
      <c r="AD888" s="2"/>
      <c r="AE888" s="5"/>
    </row>
    <row r="889" spans="1:31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"/>
      <c r="AB889" s="4"/>
      <c r="AC889" s="4"/>
      <c r="AD889" s="2"/>
      <c r="AE889" s="5"/>
    </row>
    <row r="890" spans="1:31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"/>
      <c r="AB890" s="4"/>
      <c r="AC890" s="4"/>
      <c r="AD890" s="2"/>
      <c r="AE890" s="5"/>
    </row>
    <row r="891" spans="1:3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"/>
      <c r="AB891" s="4"/>
      <c r="AC891" s="4"/>
      <c r="AD891" s="2"/>
      <c r="AE891" s="5"/>
    </row>
    <row r="892" spans="1:31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"/>
      <c r="AB892" s="4"/>
      <c r="AC892" s="4"/>
      <c r="AD892" s="2"/>
      <c r="AE892" s="5"/>
    </row>
    <row r="893" spans="1:31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"/>
      <c r="AB893" s="4"/>
      <c r="AC893" s="4"/>
      <c r="AD893" s="2"/>
      <c r="AE893" s="5"/>
    </row>
    <row r="894" spans="1:31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"/>
      <c r="AB894" s="4"/>
      <c r="AC894" s="4"/>
      <c r="AD894" s="2"/>
      <c r="AE894" s="5"/>
    </row>
    <row r="895" spans="1:31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"/>
      <c r="AB895" s="4"/>
      <c r="AC895" s="4"/>
      <c r="AD895" s="2"/>
      <c r="AE895" s="5"/>
    </row>
    <row r="896" spans="1:31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"/>
      <c r="AB896" s="4"/>
      <c r="AC896" s="4"/>
      <c r="AD896" s="2"/>
      <c r="AE896" s="5"/>
    </row>
    <row r="897" spans="1:31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"/>
      <c r="AB897" s="4"/>
      <c r="AC897" s="4"/>
      <c r="AD897" s="2"/>
      <c r="AE897" s="5"/>
    </row>
    <row r="898" spans="1:31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"/>
      <c r="AB898" s="4"/>
      <c r="AC898" s="4"/>
      <c r="AD898" s="2"/>
      <c r="AE898" s="5"/>
    </row>
    <row r="899" spans="1:31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"/>
      <c r="AB899" s="4"/>
      <c r="AC899" s="4"/>
      <c r="AD899" s="2"/>
      <c r="AE899" s="5"/>
    </row>
    <row r="900" spans="1:31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"/>
      <c r="AB900" s="4"/>
      <c r="AC900" s="4"/>
      <c r="AD900" s="2"/>
      <c r="AE900" s="5"/>
    </row>
    <row r="901" spans="1:3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"/>
      <c r="AB901" s="4"/>
      <c r="AC901" s="4"/>
      <c r="AD901" s="2"/>
      <c r="AE901" s="5"/>
    </row>
    <row r="902" spans="1:31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"/>
      <c r="AB902" s="4"/>
      <c r="AC902" s="4"/>
      <c r="AD902" s="2"/>
      <c r="AE902" s="5"/>
    </row>
    <row r="903" spans="1:31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"/>
      <c r="AB903" s="4"/>
      <c r="AC903" s="4"/>
      <c r="AD903" s="2"/>
      <c r="AE903" s="5"/>
    </row>
    <row r="904" spans="1:31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"/>
      <c r="AB904" s="4"/>
      <c r="AC904" s="4"/>
      <c r="AD904" s="2"/>
      <c r="AE904" s="5"/>
    </row>
    <row r="905" spans="1:31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"/>
      <c r="AB905" s="4"/>
      <c r="AC905" s="4"/>
      <c r="AD905" s="2"/>
      <c r="AE905" s="5"/>
    </row>
    <row r="906" spans="1:31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"/>
      <c r="AB906" s="4"/>
      <c r="AC906" s="4"/>
      <c r="AD906" s="2"/>
      <c r="AE906" s="5"/>
    </row>
    <row r="907" spans="1:31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"/>
      <c r="AB907" s="4"/>
      <c r="AC907" s="4"/>
      <c r="AD907" s="2"/>
      <c r="AE907" s="5"/>
    </row>
    <row r="908" spans="1:31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"/>
      <c r="AB908" s="4"/>
      <c r="AC908" s="4"/>
      <c r="AD908" s="2"/>
      <c r="AE908" s="5"/>
    </row>
    <row r="909" spans="1:31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"/>
      <c r="AB909" s="4"/>
      <c r="AC909" s="4"/>
      <c r="AD909" s="2"/>
      <c r="AE909" s="5"/>
    </row>
    <row r="910" spans="1:31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"/>
      <c r="AB910" s="4"/>
      <c r="AC910" s="4"/>
      <c r="AD910" s="2"/>
      <c r="AE910" s="5"/>
    </row>
    <row r="911" spans="1:3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"/>
      <c r="AB911" s="4"/>
      <c r="AC911" s="4"/>
      <c r="AD911" s="2"/>
      <c r="AE911" s="5"/>
    </row>
    <row r="912" spans="1:31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"/>
      <c r="AB912" s="4"/>
      <c r="AC912" s="4"/>
      <c r="AD912" s="2"/>
      <c r="AE912" s="5"/>
    </row>
    <row r="913" spans="1:31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"/>
      <c r="AB913" s="4"/>
      <c r="AC913" s="4"/>
      <c r="AD913" s="2"/>
      <c r="AE913" s="5"/>
    </row>
    <row r="914" spans="1:31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"/>
      <c r="AB914" s="4"/>
      <c r="AC914" s="4"/>
      <c r="AD914" s="2"/>
      <c r="AE914" s="5"/>
    </row>
    <row r="915" spans="1:31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"/>
      <c r="AB915" s="4"/>
      <c r="AC915" s="4"/>
      <c r="AD915" s="2"/>
      <c r="AE915" s="5"/>
    </row>
    <row r="916" spans="1:31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"/>
      <c r="AB916" s="4"/>
      <c r="AC916" s="4"/>
      <c r="AD916" s="2"/>
      <c r="AE916" s="5"/>
    </row>
    <row r="917" spans="1:31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"/>
      <c r="AB917" s="4"/>
      <c r="AC917" s="4"/>
      <c r="AD917" s="2"/>
      <c r="AE917" s="5"/>
    </row>
    <row r="918" spans="1:31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"/>
      <c r="AB918" s="4"/>
      <c r="AC918" s="4"/>
      <c r="AD918" s="2"/>
      <c r="AE918" s="5"/>
    </row>
    <row r="919" spans="1:31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"/>
      <c r="AB919" s="4"/>
      <c r="AC919" s="4"/>
      <c r="AD919" s="2"/>
      <c r="AE919" s="5"/>
    </row>
    <row r="920" spans="1:31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"/>
      <c r="AB920" s="4"/>
      <c r="AC920" s="4"/>
      <c r="AD920" s="2"/>
      <c r="AE920" s="5"/>
    </row>
    <row r="921" spans="1:3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"/>
      <c r="AB921" s="4"/>
      <c r="AC921" s="4"/>
      <c r="AD921" s="2"/>
      <c r="AE921" s="5"/>
    </row>
    <row r="922" spans="1:31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"/>
      <c r="AB922" s="4"/>
      <c r="AC922" s="4"/>
      <c r="AD922" s="2"/>
      <c r="AE922" s="5"/>
    </row>
    <row r="923" spans="1:31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"/>
      <c r="AB923" s="4"/>
      <c r="AC923" s="4"/>
      <c r="AD923" s="2"/>
      <c r="AE923" s="5"/>
    </row>
    <row r="924" spans="1:31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"/>
      <c r="AB924" s="4"/>
      <c r="AC924" s="4"/>
      <c r="AD924" s="2"/>
      <c r="AE924" s="5"/>
    </row>
    <row r="925" spans="1:31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"/>
      <c r="AB925" s="4"/>
      <c r="AC925" s="4"/>
      <c r="AD925" s="2"/>
      <c r="AE925" s="5"/>
    </row>
    <row r="926" spans="1:31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"/>
      <c r="AB926" s="4"/>
      <c r="AC926" s="4"/>
      <c r="AD926" s="2"/>
      <c r="AE926" s="5"/>
    </row>
    <row r="927" spans="1:31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"/>
      <c r="AB927" s="4"/>
      <c r="AC927" s="4"/>
      <c r="AD927" s="2"/>
      <c r="AE927" s="5"/>
    </row>
    <row r="928" spans="1:31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"/>
      <c r="AB928" s="4"/>
      <c r="AC928" s="4"/>
      <c r="AD928" s="2"/>
      <c r="AE928" s="5"/>
    </row>
    <row r="929" spans="1:31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"/>
      <c r="AB929" s="4"/>
      <c r="AC929" s="4"/>
      <c r="AD929" s="2"/>
      <c r="AE929" s="5"/>
    </row>
    <row r="930" spans="1:31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"/>
      <c r="AB930" s="4"/>
      <c r="AC930" s="4"/>
      <c r="AD930" s="2"/>
      <c r="AE930" s="5"/>
    </row>
    <row r="931" spans="1: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"/>
      <c r="AB931" s="4"/>
      <c r="AC931" s="4"/>
      <c r="AD931" s="2"/>
      <c r="AE931" s="5"/>
    </row>
    <row r="932" spans="1:31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"/>
      <c r="AB932" s="4"/>
      <c r="AC932" s="4"/>
      <c r="AD932" s="2"/>
      <c r="AE932" s="5"/>
    </row>
    <row r="933" spans="1:31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"/>
      <c r="AB933" s="4"/>
      <c r="AC933" s="4"/>
      <c r="AD933" s="2"/>
      <c r="AE933" s="5"/>
    </row>
    <row r="934" spans="1:31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"/>
      <c r="AB934" s="4"/>
      <c r="AC934" s="4"/>
      <c r="AD934" s="2"/>
      <c r="AE934" s="5"/>
    </row>
    <row r="935" spans="1:31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"/>
      <c r="AB935" s="4"/>
      <c r="AC935" s="4"/>
      <c r="AD935" s="2"/>
      <c r="AE935" s="5"/>
    </row>
    <row r="936" spans="1:31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"/>
      <c r="AB936" s="4"/>
      <c r="AC936" s="4"/>
      <c r="AD936" s="2"/>
      <c r="AE936" s="5"/>
    </row>
    <row r="937" spans="1:31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"/>
      <c r="AB937" s="4"/>
      <c r="AC937" s="4"/>
      <c r="AD937" s="2"/>
      <c r="AE937" s="5"/>
    </row>
    <row r="938" spans="1:31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"/>
      <c r="AB938" s="4"/>
      <c r="AC938" s="4"/>
      <c r="AD938" s="2"/>
      <c r="AE938" s="5"/>
    </row>
    <row r="939" spans="1:31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"/>
      <c r="AB939" s="4"/>
      <c r="AC939" s="4"/>
      <c r="AD939" s="2"/>
      <c r="AE939" s="5"/>
    </row>
    <row r="940" spans="1:31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"/>
      <c r="AB940" s="4"/>
      <c r="AC940" s="4"/>
      <c r="AD940" s="2"/>
      <c r="AE940" s="5"/>
    </row>
    <row r="941" spans="1:3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"/>
      <c r="AB941" s="4"/>
      <c r="AC941" s="4"/>
      <c r="AD941" s="2"/>
      <c r="AE941" s="5"/>
    </row>
    <row r="942" spans="1:31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"/>
      <c r="AB942" s="4"/>
      <c r="AC942" s="4"/>
      <c r="AD942" s="2"/>
      <c r="AE942" s="5"/>
    </row>
    <row r="943" spans="1:31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"/>
      <c r="AB943" s="4"/>
      <c r="AC943" s="4"/>
      <c r="AD943" s="2"/>
      <c r="AE943" s="5"/>
    </row>
    <row r="944" spans="1:31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"/>
      <c r="AB944" s="4"/>
      <c r="AC944" s="4"/>
      <c r="AD944" s="2"/>
      <c r="AE944" s="5"/>
    </row>
    <row r="945" spans="1:31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"/>
      <c r="AB945" s="4"/>
      <c r="AC945" s="4"/>
      <c r="AD945" s="2"/>
      <c r="AE945" s="5"/>
    </row>
    <row r="946" spans="1:31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"/>
      <c r="AB946" s="4"/>
      <c r="AC946" s="4"/>
      <c r="AD946" s="2"/>
      <c r="AE946" s="5"/>
    </row>
    <row r="947" spans="1:31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"/>
      <c r="AB947" s="4"/>
      <c r="AC947" s="4"/>
      <c r="AD947" s="2"/>
      <c r="AE947" s="5"/>
    </row>
    <row r="948" spans="1:31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"/>
      <c r="AB948" s="4"/>
      <c r="AC948" s="4"/>
      <c r="AD948" s="2"/>
      <c r="AE948" s="5"/>
    </row>
    <row r="949" spans="1:31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"/>
      <c r="AB949" s="4"/>
      <c r="AC949" s="4"/>
      <c r="AD949" s="2"/>
      <c r="AE949" s="5"/>
    </row>
    <row r="950" spans="1:31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"/>
      <c r="AB950" s="4"/>
      <c r="AC950" s="4"/>
      <c r="AD950" s="2"/>
      <c r="AE950" s="5"/>
    </row>
    <row r="951" spans="1:3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"/>
      <c r="AB951" s="4"/>
      <c r="AC951" s="4"/>
      <c r="AD951" s="2"/>
      <c r="AE951" s="5"/>
    </row>
    <row r="952" spans="1:31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"/>
      <c r="AB952" s="4"/>
      <c r="AC952" s="4"/>
      <c r="AD952" s="2"/>
      <c r="AE952" s="5"/>
    </row>
    <row r="953" spans="1:31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"/>
      <c r="AB953" s="4"/>
      <c r="AC953" s="4"/>
      <c r="AD953" s="2"/>
      <c r="AE953" s="5"/>
    </row>
    <row r="954" spans="1:31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"/>
      <c r="AB954" s="4"/>
      <c r="AC954" s="4"/>
      <c r="AD954" s="2"/>
      <c r="AE954" s="5"/>
    </row>
    <row r="955" spans="1:31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"/>
      <c r="AB955" s="4"/>
      <c r="AC955" s="4"/>
      <c r="AD955" s="2"/>
      <c r="AE955" s="5"/>
    </row>
    <row r="956" spans="1:31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"/>
      <c r="AB956" s="4"/>
      <c r="AC956" s="4"/>
      <c r="AD956" s="2"/>
      <c r="AE956" s="5"/>
    </row>
    <row r="957" spans="1:31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"/>
      <c r="AB957" s="4"/>
      <c r="AC957" s="4"/>
      <c r="AD957" s="2"/>
      <c r="AE957" s="5"/>
    </row>
    <row r="958" spans="1:31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"/>
      <c r="AB958" s="4"/>
      <c r="AC958" s="4"/>
      <c r="AD958" s="2"/>
      <c r="AE958" s="5"/>
    </row>
    <row r="959" spans="1:31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"/>
      <c r="AB959" s="4"/>
      <c r="AC959" s="4"/>
      <c r="AD959" s="2"/>
      <c r="AE959" s="5"/>
    </row>
    <row r="960" spans="1:31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"/>
      <c r="AB960" s="4"/>
      <c r="AC960" s="4"/>
      <c r="AD960" s="2"/>
      <c r="AE960" s="5"/>
    </row>
    <row r="961" spans="1:3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"/>
      <c r="AB961" s="4"/>
      <c r="AC961" s="4"/>
      <c r="AD961" s="2"/>
      <c r="AE961" s="5"/>
    </row>
    <row r="962" spans="1:31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"/>
      <c r="AB962" s="4"/>
      <c r="AC962" s="4"/>
      <c r="AD962" s="2"/>
      <c r="AE962" s="5"/>
    </row>
    <row r="963" spans="1:31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"/>
      <c r="AB963" s="4"/>
      <c r="AC963" s="4"/>
      <c r="AD963" s="2"/>
      <c r="AE963" s="5"/>
    </row>
    <row r="964" spans="1:31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"/>
      <c r="AB964" s="4"/>
      <c r="AC964" s="4"/>
      <c r="AD964" s="2"/>
      <c r="AE964" s="5"/>
    </row>
    <row r="965" spans="1:31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"/>
      <c r="AB965" s="4"/>
      <c r="AC965" s="4"/>
      <c r="AD965" s="2"/>
      <c r="AE965" s="5"/>
    </row>
    <row r="966" spans="1:31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"/>
      <c r="AB966" s="4"/>
      <c r="AC966" s="4"/>
      <c r="AD966" s="2"/>
      <c r="AE966" s="5"/>
    </row>
    <row r="967" spans="1:31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"/>
      <c r="AB967" s="4"/>
      <c r="AC967" s="4"/>
      <c r="AD967" s="2"/>
      <c r="AE967" s="5"/>
    </row>
    <row r="968" spans="1:31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"/>
      <c r="AB968" s="4"/>
      <c r="AC968" s="4"/>
      <c r="AD968" s="2"/>
      <c r="AE968" s="5"/>
    </row>
    <row r="969" spans="1:31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"/>
      <c r="AB969" s="4"/>
      <c r="AC969" s="4"/>
      <c r="AD969" s="2"/>
      <c r="AE969" s="5"/>
    </row>
    <row r="970" spans="1:31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"/>
      <c r="AB970" s="4"/>
      <c r="AC970" s="4"/>
      <c r="AD970" s="2"/>
      <c r="AE970" s="5"/>
    </row>
    <row r="971" spans="1:3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"/>
      <c r="AB971" s="4"/>
      <c r="AC971" s="4"/>
      <c r="AD971" s="2"/>
      <c r="AE971" s="5"/>
    </row>
    <row r="972" spans="1:31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"/>
      <c r="AB972" s="4"/>
      <c r="AC972" s="4"/>
      <c r="AD972" s="2"/>
      <c r="AE972" s="5"/>
    </row>
    <row r="973" spans="1:31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"/>
      <c r="AB973" s="4"/>
      <c r="AC973" s="4"/>
      <c r="AD973" s="2"/>
      <c r="AE973" s="5"/>
    </row>
    <row r="974" spans="1:31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"/>
      <c r="AB974" s="4"/>
      <c r="AC974" s="4"/>
      <c r="AD974" s="2"/>
      <c r="AE974" s="5"/>
    </row>
    <row r="975" spans="1:31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"/>
      <c r="AB975" s="4"/>
      <c r="AC975" s="4"/>
      <c r="AD975" s="2"/>
      <c r="AE975" s="5"/>
    </row>
    <row r="976" spans="1:31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"/>
      <c r="AB976" s="4"/>
      <c r="AC976" s="4"/>
      <c r="AD976" s="2"/>
      <c r="AE976" s="5"/>
    </row>
    <row r="977" spans="1:31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"/>
      <c r="AB977" s="4"/>
      <c r="AC977" s="4"/>
      <c r="AD977" s="2"/>
      <c r="AE977" s="5"/>
    </row>
    <row r="978" spans="1:31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"/>
      <c r="AB978" s="4"/>
      <c r="AC978" s="4"/>
      <c r="AD978" s="2"/>
      <c r="AE978" s="5"/>
    </row>
    <row r="979" spans="1:31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"/>
      <c r="AB979" s="4"/>
      <c r="AC979" s="4"/>
      <c r="AD979" s="2"/>
      <c r="AE979" s="5"/>
    </row>
    <row r="980" spans="1:31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"/>
      <c r="AB980" s="4"/>
      <c r="AC980" s="4"/>
      <c r="AD980" s="2"/>
      <c r="AE980" s="5"/>
    </row>
    <row r="981" spans="1:3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"/>
      <c r="AB981" s="4"/>
      <c r="AC981" s="4"/>
      <c r="AD981" s="2"/>
      <c r="AE981" s="5"/>
    </row>
    <row r="982" spans="1:31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"/>
      <c r="AB982" s="4"/>
      <c r="AC982" s="4"/>
      <c r="AD982" s="2"/>
      <c r="AE982" s="5"/>
    </row>
    <row r="983" spans="1:31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"/>
      <c r="AB983" s="4"/>
      <c r="AC983" s="4"/>
      <c r="AD983" s="2"/>
      <c r="AE983" s="5"/>
    </row>
    <row r="984" spans="1:31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"/>
      <c r="AB984" s="4"/>
      <c r="AC984" s="4"/>
      <c r="AD984" s="2"/>
      <c r="AE984" s="5"/>
    </row>
    <row r="985" spans="1:31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"/>
      <c r="AB985" s="4"/>
      <c r="AC985" s="4"/>
      <c r="AD985" s="2"/>
      <c r="AE985" s="5"/>
    </row>
    <row r="986" spans="1:31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4"/>
      <c r="AB986" s="4"/>
      <c r="AC986" s="4"/>
      <c r="AD986" s="2"/>
      <c r="AE986" s="5"/>
    </row>
    <row r="987" spans="1:31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4"/>
      <c r="AB987" s="4"/>
      <c r="AC987" s="4"/>
      <c r="AD987" s="2"/>
      <c r="AE987" s="5"/>
    </row>
    <row r="988" spans="1:31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4"/>
      <c r="AB988" s="4"/>
      <c r="AC988" s="4"/>
      <c r="AD988" s="2"/>
      <c r="AE988" s="5"/>
    </row>
    <row r="989" spans="1:31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4"/>
      <c r="AB989" s="4"/>
      <c r="AC989" s="4"/>
      <c r="AD989" s="2"/>
      <c r="AE989" s="5"/>
    </row>
    <row r="990" spans="1:31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4"/>
      <c r="AB990" s="4"/>
      <c r="AC990" s="4"/>
      <c r="AD990" s="2"/>
      <c r="AE990" s="5"/>
    </row>
    <row r="991" spans="1:3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4"/>
      <c r="AB991" s="4"/>
      <c r="AC991" s="4"/>
      <c r="AD991" s="2"/>
      <c r="AE991" s="5"/>
    </row>
    <row r="992" spans="1:31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4"/>
      <c r="AB992" s="4"/>
      <c r="AC992" s="4"/>
      <c r="AD992" s="2"/>
      <c r="AE992" s="5"/>
    </row>
    <row r="993" spans="1:31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4"/>
      <c r="AB993" s="4"/>
      <c r="AC993" s="4"/>
      <c r="AD993" s="2"/>
      <c r="AE993" s="5"/>
    </row>
    <row r="994" spans="1:31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4"/>
      <c r="AB994" s="4"/>
      <c r="AC994" s="4"/>
      <c r="AD994" s="2"/>
      <c r="AE994" s="5"/>
    </row>
    <row r="995" spans="1:31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4"/>
      <c r="AB995" s="4"/>
      <c r="AC995" s="4"/>
      <c r="AD995" s="2"/>
      <c r="AE995" s="5"/>
    </row>
    <row r="996" spans="1:31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4"/>
      <c r="AB996" s="4"/>
      <c r="AC996" s="4"/>
      <c r="AD996" s="2"/>
      <c r="AE996" s="5"/>
    </row>
    <row r="997" spans="1:31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4"/>
      <c r="AB997" s="4"/>
      <c r="AC997" s="4"/>
      <c r="AD997" s="2"/>
      <c r="AE997" s="5"/>
    </row>
    <row r="998" spans="1:31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4"/>
      <c r="AB998" s="4"/>
      <c r="AC998" s="4"/>
      <c r="AD998" s="2"/>
      <c r="AE998" s="5"/>
    </row>
    <row r="999" spans="1:31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4"/>
      <c r="AB999" s="4"/>
      <c r="AC999" s="4"/>
      <c r="AD999" s="2"/>
      <c r="AE999" s="5"/>
    </row>
    <row r="1000" spans="1:31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4"/>
      <c r="AB1000" s="4"/>
      <c r="AC1000" s="4"/>
      <c r="AD1000" s="2"/>
      <c r="AE1000" s="5"/>
    </row>
  </sheetData>
  <mergeCells count="12">
    <mergeCell ref="G4:H4"/>
    <mergeCell ref="A4:A5"/>
    <mergeCell ref="B4:B5"/>
    <mergeCell ref="C4:C5"/>
    <mergeCell ref="D4:D5"/>
    <mergeCell ref="E4:E5"/>
    <mergeCell ref="F4:F5"/>
    <mergeCell ref="I4:I5"/>
    <mergeCell ref="X4:X5"/>
    <mergeCell ref="Y4:Y5"/>
    <mergeCell ref="Z4:Z5"/>
    <mergeCell ref="J3:V3"/>
  </mergeCells>
  <conditionalFormatting sqref="I6:I99">
    <cfRule type="containsText" dxfId="12" priority="1" operator="containsText" text="Will be Updated">
      <formula>NOT(ISERROR(SEARCH(("Will be Updated"),(I6))))</formula>
    </cfRule>
    <cfRule type="cellIs" dxfId="11" priority="2" operator="equal">
      <formula>"Partial Delivery"</formula>
    </cfRule>
    <cfRule type="cellIs" dxfId="10" priority="3" operator="equal">
      <formula>"Delivery"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000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9" sqref="A9"/>
    </sheetView>
  </sheetViews>
  <sheetFormatPr defaultColWidth="14.42578125" defaultRowHeight="15" customHeight="1" outlineLevelCol="1"/>
  <cols>
    <col min="1" max="1" width="15.85546875" customWidth="1"/>
    <col min="2" max="2" width="26.28515625" customWidth="1"/>
    <col min="3" max="3" width="14.42578125" customWidth="1"/>
    <col min="4" max="4" width="7.5703125" customWidth="1"/>
    <col min="5" max="5" width="25.5703125" customWidth="1" outlineLevel="1"/>
    <col min="6" max="6" width="21.5703125" customWidth="1" outlineLevel="1"/>
    <col min="7" max="7" width="11.28515625" customWidth="1" outlineLevel="1"/>
    <col min="8" max="8" width="10.42578125" customWidth="1" outlineLevel="1"/>
    <col min="9" max="9" width="15.5703125" customWidth="1"/>
    <col min="10" max="10" width="12.28515625" customWidth="1"/>
    <col min="11" max="11" width="8.42578125" customWidth="1"/>
    <col min="12" max="12" width="12.28515625" customWidth="1"/>
    <col min="13" max="13" width="8.42578125" customWidth="1"/>
    <col min="14" max="14" width="14.7109375" customWidth="1"/>
    <col min="15" max="15" width="8.42578125" customWidth="1"/>
    <col min="16" max="16" width="13.7109375" customWidth="1"/>
    <col min="17" max="17" width="8.42578125" customWidth="1"/>
    <col min="18" max="18" width="11.5703125" customWidth="1"/>
    <col min="19" max="19" width="8.42578125" customWidth="1"/>
    <col min="20" max="20" width="11.5703125" customWidth="1"/>
    <col min="21" max="21" width="8.42578125" customWidth="1"/>
    <col min="22" max="22" width="11.5703125" customWidth="1"/>
    <col min="23" max="23" width="8.42578125" customWidth="1"/>
    <col min="24" max="24" width="10.42578125" customWidth="1"/>
    <col min="25" max="25" width="9.5703125" customWidth="1"/>
    <col min="26" max="26" width="72.42578125" customWidth="1"/>
    <col min="27" max="29" width="12.7109375" customWidth="1"/>
    <col min="30" max="30" width="85.5703125" customWidth="1"/>
  </cols>
  <sheetData>
    <row r="1" spans="1:30" ht="14.25" hidden="1" customHeight="1">
      <c r="B1" s="1">
        <v>1</v>
      </c>
      <c r="C1" s="1">
        <f t="shared" ref="C1:F1" si="0">B1+1</f>
        <v>2</v>
      </c>
      <c r="D1" s="1">
        <f t="shared" si="0"/>
        <v>3</v>
      </c>
      <c r="E1" s="1">
        <f t="shared" si="0"/>
        <v>4</v>
      </c>
      <c r="F1" s="1">
        <f t="shared" si="0"/>
        <v>5</v>
      </c>
      <c r="I1" s="1" t="e">
        <f>#REF!+1</f>
        <v>#REF!</v>
      </c>
      <c r="J1" s="1" t="e">
        <f>I1+1</f>
        <v>#REF!</v>
      </c>
      <c r="L1" s="1" t="e">
        <f>J1+1</f>
        <v>#REF!</v>
      </c>
      <c r="M1" s="1" t="e">
        <f t="shared" ref="M1:Q1" si="1">L1+1</f>
        <v>#REF!</v>
      </c>
      <c r="N1" s="1" t="e">
        <f t="shared" si="1"/>
        <v>#REF!</v>
      </c>
      <c r="O1" s="1" t="e">
        <f t="shared" si="1"/>
        <v>#REF!</v>
      </c>
      <c r="P1" s="1" t="e">
        <f t="shared" si="1"/>
        <v>#REF!</v>
      </c>
      <c r="Q1" s="1" t="e">
        <f t="shared" si="1"/>
        <v>#REF!</v>
      </c>
      <c r="R1" s="1" t="e">
        <f>#REF!+1</f>
        <v>#REF!</v>
      </c>
      <c r="S1" s="2"/>
      <c r="T1" s="2"/>
      <c r="U1" s="2"/>
      <c r="V1" s="2"/>
      <c r="W1" s="2"/>
      <c r="X1" s="3"/>
      <c r="Y1" s="2"/>
      <c r="Z1" s="2"/>
      <c r="AA1" s="4"/>
      <c r="AB1" s="4"/>
      <c r="AC1" s="4"/>
      <c r="AD1" s="2"/>
    </row>
    <row r="2" spans="1:30" ht="14.25" customHeight="1">
      <c r="A2" s="2"/>
      <c r="B2" s="2"/>
      <c r="C2" s="2">
        <v>48</v>
      </c>
      <c r="D2" s="6"/>
      <c r="E2" s="2"/>
      <c r="F2" s="7"/>
      <c r="G2" s="2"/>
      <c r="H2" s="2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/>
      <c r="AB2" s="4"/>
      <c r="AC2" s="4"/>
      <c r="AD2" s="2"/>
    </row>
    <row r="3" spans="1:30" ht="14.25" customHeight="1" thickBot="1">
      <c r="A3" s="2"/>
      <c r="B3" s="8">
        <v>44753</v>
      </c>
      <c r="C3" s="9">
        <f ca="1">TODAY()</f>
        <v>46168</v>
      </c>
      <c r="D3" s="2"/>
      <c r="E3" s="2"/>
      <c r="F3" s="2"/>
      <c r="G3" s="10">
        <f t="shared" ref="G3:H3" si="2">SUM(G6:G99)</f>
        <v>0</v>
      </c>
      <c r="H3" s="10">
        <f t="shared" si="2"/>
        <v>21945</v>
      </c>
      <c r="I3" s="2"/>
      <c r="J3" s="295" t="str">
        <f>"Arrival "&amp;C2&amp;" (in Box)"</f>
        <v>Arrival 48 (in Box)</v>
      </c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296"/>
      <c r="W3" s="297"/>
      <c r="X3" s="10"/>
      <c r="Y3" s="2"/>
      <c r="Z3" s="2"/>
      <c r="AA3" s="4"/>
      <c r="AB3" s="4"/>
      <c r="AC3" s="4"/>
      <c r="AD3" s="2"/>
    </row>
    <row r="4" spans="1:30" ht="14.25" customHeight="1">
      <c r="A4" s="62" t="s">
        <v>755</v>
      </c>
      <c r="B4" s="62" t="s">
        <v>0</v>
      </c>
      <c r="C4" s="63" t="s">
        <v>1</v>
      </c>
      <c r="D4" s="63" t="s">
        <v>2</v>
      </c>
      <c r="E4" s="63" t="s">
        <v>3</v>
      </c>
      <c r="F4" s="64" t="s">
        <v>4</v>
      </c>
      <c r="G4" s="312" t="s">
        <v>5</v>
      </c>
      <c r="H4" s="313"/>
      <c r="I4" s="65" t="s">
        <v>6</v>
      </c>
      <c r="J4" s="66" t="s">
        <v>7</v>
      </c>
      <c r="K4" s="67" t="s">
        <v>290</v>
      </c>
      <c r="L4" s="66" t="s">
        <v>9</v>
      </c>
      <c r="M4" s="67" t="s">
        <v>290</v>
      </c>
      <c r="N4" s="66" t="s">
        <v>10</v>
      </c>
      <c r="O4" s="67" t="s">
        <v>290</v>
      </c>
      <c r="P4" s="66" t="s">
        <v>11</v>
      </c>
      <c r="Q4" s="67" t="s">
        <v>290</v>
      </c>
      <c r="R4" s="68" t="s">
        <v>12</v>
      </c>
      <c r="S4" s="69" t="s">
        <v>290</v>
      </c>
      <c r="T4" s="66" t="s">
        <v>13</v>
      </c>
      <c r="U4" s="67" t="s">
        <v>290</v>
      </c>
      <c r="V4" s="68" t="s">
        <v>14</v>
      </c>
      <c r="W4" s="69" t="s">
        <v>290</v>
      </c>
      <c r="X4" s="62" t="s">
        <v>291</v>
      </c>
      <c r="Y4" s="70" t="s">
        <v>292</v>
      </c>
      <c r="Z4" s="71" t="s">
        <v>17</v>
      </c>
      <c r="AA4" s="4"/>
      <c r="AB4" s="4"/>
      <c r="AC4" s="4"/>
      <c r="AD4" s="2"/>
    </row>
    <row r="5" spans="1:30" ht="14.25" customHeight="1">
      <c r="A5" s="72"/>
      <c r="B5" s="72"/>
      <c r="C5" s="73"/>
      <c r="D5" s="73"/>
      <c r="E5" s="73"/>
      <c r="F5" s="74"/>
      <c r="G5" s="72" t="s">
        <v>18</v>
      </c>
      <c r="H5" s="75" t="s">
        <v>19</v>
      </c>
      <c r="I5" s="76"/>
      <c r="J5" s="77">
        <v>45985</v>
      </c>
      <c r="K5" s="78"/>
      <c r="L5" s="77">
        <f>J5+1</f>
        <v>45986</v>
      </c>
      <c r="M5" s="78"/>
      <c r="N5" s="77">
        <f>L5+1</f>
        <v>45987</v>
      </c>
      <c r="O5" s="78"/>
      <c r="P5" s="77">
        <f>N5+1</f>
        <v>45988</v>
      </c>
      <c r="Q5" s="78"/>
      <c r="R5" s="79">
        <f>P5+1</f>
        <v>45989</v>
      </c>
      <c r="S5" s="80"/>
      <c r="T5" s="77">
        <f>R5+1</f>
        <v>45990</v>
      </c>
      <c r="U5" s="78"/>
      <c r="V5" s="79">
        <f>T5+1</f>
        <v>45991</v>
      </c>
      <c r="W5" s="80"/>
      <c r="X5" s="72"/>
      <c r="Y5" s="81"/>
      <c r="Z5" s="82"/>
      <c r="AA5" s="19" t="s">
        <v>20</v>
      </c>
      <c r="AB5" s="19" t="s">
        <v>21</v>
      </c>
      <c r="AC5" s="19" t="s">
        <v>22</v>
      </c>
      <c r="AD5" s="2"/>
    </row>
    <row r="6" spans="1:30" ht="14.25" customHeight="1">
      <c r="A6" s="20" t="str">
        <f t="shared" ref="A6:A18" si="3">D6</f>
        <v>PSP12</v>
      </c>
      <c r="B6" s="83" t="s">
        <v>23</v>
      </c>
      <c r="C6" s="84" t="s">
        <v>24</v>
      </c>
      <c r="D6" s="84" t="s">
        <v>25</v>
      </c>
      <c r="E6" s="85" t="s">
        <v>26</v>
      </c>
      <c r="F6" s="86" t="s">
        <v>27</v>
      </c>
      <c r="G6" s="87"/>
      <c r="H6" s="88">
        <v>650</v>
      </c>
      <c r="I6" s="89" t="str">
        <f t="shared" ref="I6:I69" si="4">IF(AND(H6=0,G6=0),"No Delivery",IF(COUNTA(J6,L6,N6,P6,R6,T6,V6)=1,"Delivery",IF(COUNTA(J6,L6,N6,P6,R6,T6,V6)&gt;1,"Partial Delivery",IF(COUNTA(J6,L6,N6,P6,R6,T6,V6)=0,"Will be Updated"))))</f>
        <v>Partial Delivery</v>
      </c>
      <c r="J6" s="90">
        <v>300</v>
      </c>
      <c r="K6" s="91">
        <v>1</v>
      </c>
      <c r="L6" s="90"/>
      <c r="M6" s="91"/>
      <c r="N6" s="90"/>
      <c r="O6" s="91"/>
      <c r="P6" s="90"/>
      <c r="Q6" s="91"/>
      <c r="R6" s="92"/>
      <c r="S6" s="93"/>
      <c r="T6" s="90">
        <v>350</v>
      </c>
      <c r="U6" s="91">
        <v>1</v>
      </c>
      <c r="V6" s="92"/>
      <c r="W6" s="93"/>
      <c r="X6" s="90">
        <f t="shared" ref="X6:X99" si="5">SUM(J6+L6+N6+P6+R6+T6+V6)</f>
        <v>650</v>
      </c>
      <c r="Y6" s="91">
        <f t="shared" ref="Y6:Y99" si="6">X6-H6</f>
        <v>0</v>
      </c>
      <c r="Z6" s="84"/>
      <c r="AA6" s="29">
        <f>X6*IFERROR(VLOOKUP(D6,'Brand List'!$B:$D,3,0),0)</f>
        <v>6240000</v>
      </c>
      <c r="AB6" s="29">
        <f>H6*IFERROR(VLOOKUP(D6,'Brand List'!$B:$D,3,0),0)</f>
        <v>6240000</v>
      </c>
      <c r="AC6" s="29">
        <f t="shared" ref="AC6:AC99" si="7">AA6-AB6</f>
        <v>0</v>
      </c>
      <c r="AD6" s="2"/>
    </row>
    <row r="7" spans="1:30" ht="14.25" customHeight="1">
      <c r="A7" s="20" t="str">
        <f t="shared" si="3"/>
        <v>BGS12</v>
      </c>
      <c r="B7" s="94" t="s">
        <v>28</v>
      </c>
      <c r="C7" s="49" t="s">
        <v>24</v>
      </c>
      <c r="D7" s="50" t="s">
        <v>29</v>
      </c>
      <c r="E7" s="51" t="s">
        <v>30</v>
      </c>
      <c r="F7" s="95" t="s">
        <v>31</v>
      </c>
      <c r="G7" s="96"/>
      <c r="H7" s="97">
        <v>200</v>
      </c>
      <c r="I7" s="98" t="str">
        <f t="shared" si="4"/>
        <v>Delivery</v>
      </c>
      <c r="J7" s="99"/>
      <c r="K7" s="303"/>
      <c r="L7" s="99">
        <v>200</v>
      </c>
      <c r="M7" s="303">
        <v>1</v>
      </c>
      <c r="N7" s="99"/>
      <c r="O7" s="303"/>
      <c r="P7" s="99"/>
      <c r="Q7" s="303"/>
      <c r="R7" s="100"/>
      <c r="S7" s="308"/>
      <c r="T7" s="99"/>
      <c r="U7" s="303"/>
      <c r="V7" s="100"/>
      <c r="W7" s="308"/>
      <c r="X7" s="99">
        <f t="shared" si="5"/>
        <v>200</v>
      </c>
      <c r="Y7" s="101">
        <f t="shared" si="6"/>
        <v>0</v>
      </c>
      <c r="Z7" s="50"/>
      <c r="AA7" s="29">
        <f>X7*IFERROR(VLOOKUP(D7,'Brand List'!$B:$D,3,0),0)</f>
        <v>1920000</v>
      </c>
      <c r="AB7" s="29">
        <f>H7*IFERROR(VLOOKUP(D7,'Brand List'!$B:$D,3,0),0)</f>
        <v>1920000</v>
      </c>
      <c r="AC7" s="29">
        <f t="shared" si="7"/>
        <v>0</v>
      </c>
      <c r="AD7" s="2"/>
    </row>
    <row r="8" spans="1:30" ht="14.25" customHeight="1">
      <c r="A8" s="20" t="str">
        <f t="shared" si="3"/>
        <v>BSH12</v>
      </c>
      <c r="B8" s="94" t="s">
        <v>28</v>
      </c>
      <c r="C8" s="49" t="s">
        <v>24</v>
      </c>
      <c r="D8" s="50" t="s">
        <v>32</v>
      </c>
      <c r="E8" s="51" t="s">
        <v>33</v>
      </c>
      <c r="F8" s="95" t="s">
        <v>31</v>
      </c>
      <c r="G8" s="96"/>
      <c r="H8" s="97">
        <v>40</v>
      </c>
      <c r="I8" s="98" t="str">
        <f t="shared" si="4"/>
        <v>Delivery</v>
      </c>
      <c r="J8" s="99"/>
      <c r="K8" s="301"/>
      <c r="L8" s="99">
        <v>40</v>
      </c>
      <c r="M8" s="301"/>
      <c r="N8" s="99"/>
      <c r="O8" s="301"/>
      <c r="P8" s="99"/>
      <c r="Q8" s="301"/>
      <c r="R8" s="100"/>
      <c r="S8" s="309"/>
      <c r="T8" s="99"/>
      <c r="U8" s="301"/>
      <c r="V8" s="100"/>
      <c r="W8" s="309"/>
      <c r="X8" s="99">
        <f t="shared" si="5"/>
        <v>40</v>
      </c>
      <c r="Y8" s="101">
        <f t="shared" si="6"/>
        <v>0</v>
      </c>
      <c r="Z8" s="50"/>
      <c r="AA8" s="29">
        <f>X8*IFERROR(VLOOKUP(D8,'Brand List'!$B:$D,3,0),0)</f>
        <v>384000</v>
      </c>
      <c r="AB8" s="29">
        <f>H8*IFERROR(VLOOKUP(D8,'Brand List'!$B:$D,3,0),0)</f>
        <v>384000</v>
      </c>
      <c r="AC8" s="29">
        <f t="shared" si="7"/>
        <v>0</v>
      </c>
      <c r="AD8" s="2"/>
    </row>
    <row r="9" spans="1:30" ht="14.25" customHeight="1">
      <c r="A9" s="20" t="str">
        <f t="shared" si="3"/>
        <v>PRU12</v>
      </c>
      <c r="B9" s="94" t="s">
        <v>28</v>
      </c>
      <c r="C9" s="49" t="s">
        <v>24</v>
      </c>
      <c r="D9" s="50" t="s">
        <v>34</v>
      </c>
      <c r="E9" s="51" t="s">
        <v>35</v>
      </c>
      <c r="F9" s="95" t="s">
        <v>31</v>
      </c>
      <c r="G9" s="96"/>
      <c r="H9" s="97">
        <v>25</v>
      </c>
      <c r="I9" s="98" t="str">
        <f t="shared" si="4"/>
        <v>Delivery</v>
      </c>
      <c r="J9" s="99"/>
      <c r="K9" s="302"/>
      <c r="L9" s="99">
        <v>25</v>
      </c>
      <c r="M9" s="302"/>
      <c r="N9" s="99"/>
      <c r="O9" s="302"/>
      <c r="P9" s="99"/>
      <c r="Q9" s="302"/>
      <c r="R9" s="100"/>
      <c r="S9" s="310"/>
      <c r="T9" s="99"/>
      <c r="U9" s="302"/>
      <c r="V9" s="100"/>
      <c r="W9" s="310"/>
      <c r="X9" s="99">
        <f t="shared" si="5"/>
        <v>25</v>
      </c>
      <c r="Y9" s="101">
        <f t="shared" si="6"/>
        <v>0</v>
      </c>
      <c r="Z9" s="50"/>
      <c r="AA9" s="29">
        <f>X9*IFERROR(VLOOKUP(D9,'Brand List'!$B:$D,3,0),0)</f>
        <v>240000</v>
      </c>
      <c r="AB9" s="29">
        <f>H9*IFERROR(VLOOKUP(D9,'Brand List'!$B:$D,3,0),0)</f>
        <v>240000</v>
      </c>
      <c r="AC9" s="29">
        <f t="shared" si="7"/>
        <v>0</v>
      </c>
      <c r="AD9" s="2"/>
    </row>
    <row r="10" spans="1:30" ht="14.25" customHeight="1">
      <c r="A10" s="20" t="str">
        <f t="shared" si="3"/>
        <v>KAM12</v>
      </c>
      <c r="B10" s="83" t="s">
        <v>36</v>
      </c>
      <c r="C10" s="84" t="s">
        <v>24</v>
      </c>
      <c r="D10" s="84" t="s">
        <v>37</v>
      </c>
      <c r="E10" s="85" t="s">
        <v>38</v>
      </c>
      <c r="F10" s="86" t="s">
        <v>39</v>
      </c>
      <c r="G10" s="87"/>
      <c r="H10" s="88">
        <v>0</v>
      </c>
      <c r="I10" s="89" t="str">
        <f t="shared" si="4"/>
        <v>No Delivery</v>
      </c>
      <c r="J10" s="90"/>
      <c r="K10" s="91"/>
      <c r="L10" s="90"/>
      <c r="M10" s="91"/>
      <c r="N10" s="90"/>
      <c r="O10" s="91"/>
      <c r="P10" s="90"/>
      <c r="Q10" s="91"/>
      <c r="R10" s="92"/>
      <c r="S10" s="93"/>
      <c r="T10" s="90"/>
      <c r="U10" s="91"/>
      <c r="V10" s="92"/>
      <c r="W10" s="93"/>
      <c r="X10" s="90">
        <f t="shared" si="5"/>
        <v>0</v>
      </c>
      <c r="Y10" s="91">
        <f t="shared" si="6"/>
        <v>0</v>
      </c>
      <c r="Z10" s="84"/>
      <c r="AA10" s="29">
        <f>X10*IFERROR(VLOOKUP(D10,'Brand List'!$B:$D,3,0),0)</f>
        <v>0</v>
      </c>
      <c r="AB10" s="29">
        <f>H10*IFERROR(VLOOKUP(D10,'Brand List'!$B:$D,3,0),0)</f>
        <v>0</v>
      </c>
      <c r="AC10" s="29">
        <f t="shared" si="7"/>
        <v>0</v>
      </c>
      <c r="AD10" s="2"/>
    </row>
    <row r="11" spans="1:30" ht="14.25" customHeight="1">
      <c r="A11" s="20" t="str">
        <f t="shared" si="3"/>
        <v>SBH12</v>
      </c>
      <c r="B11" s="94" t="s">
        <v>40</v>
      </c>
      <c r="C11" s="49" t="s">
        <v>24</v>
      </c>
      <c r="D11" s="50" t="s">
        <v>41</v>
      </c>
      <c r="E11" s="51" t="s">
        <v>42</v>
      </c>
      <c r="F11" s="95" t="s">
        <v>43</v>
      </c>
      <c r="G11" s="96"/>
      <c r="H11" s="97">
        <v>0</v>
      </c>
      <c r="I11" s="98" t="str">
        <f t="shared" si="4"/>
        <v>No Delivery</v>
      </c>
      <c r="J11" s="99"/>
      <c r="K11" s="101"/>
      <c r="L11" s="99"/>
      <c r="M11" s="101"/>
      <c r="N11" s="99"/>
      <c r="O11" s="101"/>
      <c r="P11" s="99"/>
      <c r="Q11" s="101"/>
      <c r="R11" s="100"/>
      <c r="S11" s="102"/>
      <c r="T11" s="99"/>
      <c r="U11" s="101"/>
      <c r="V11" s="100"/>
      <c r="W11" s="102"/>
      <c r="X11" s="99">
        <f t="shared" si="5"/>
        <v>0</v>
      </c>
      <c r="Y11" s="101">
        <f t="shared" si="6"/>
        <v>0</v>
      </c>
      <c r="Z11" s="50"/>
      <c r="AA11" s="29">
        <f>X11*IFERROR(VLOOKUP(D11,'Brand List'!$B:$D,3,0),0)</f>
        <v>0</v>
      </c>
      <c r="AB11" s="29">
        <f>H11*IFERROR(VLOOKUP(D11,'Brand List'!$B:$D,3,0),0)</f>
        <v>0</v>
      </c>
      <c r="AC11" s="29">
        <f t="shared" si="7"/>
        <v>0</v>
      </c>
      <c r="AD11" s="2"/>
    </row>
    <row r="12" spans="1:30" ht="14.25" customHeight="1">
      <c r="A12" s="20" t="str">
        <f t="shared" si="3"/>
        <v>VER20</v>
      </c>
      <c r="B12" s="83" t="s">
        <v>44</v>
      </c>
      <c r="C12" s="84" t="s">
        <v>45</v>
      </c>
      <c r="D12" s="84" t="s">
        <v>46</v>
      </c>
      <c r="E12" s="85" t="s">
        <v>47</v>
      </c>
      <c r="F12" s="86" t="s">
        <v>43</v>
      </c>
      <c r="G12" s="87"/>
      <c r="H12" s="88">
        <v>0</v>
      </c>
      <c r="I12" s="89" t="str">
        <f t="shared" si="4"/>
        <v>No Delivery</v>
      </c>
      <c r="J12" s="90"/>
      <c r="K12" s="91"/>
      <c r="L12" s="90"/>
      <c r="M12" s="91"/>
      <c r="N12" s="90"/>
      <c r="O12" s="91"/>
      <c r="P12" s="90"/>
      <c r="Q12" s="91"/>
      <c r="R12" s="92"/>
      <c r="S12" s="93"/>
      <c r="T12" s="90"/>
      <c r="U12" s="91"/>
      <c r="V12" s="92"/>
      <c r="W12" s="93"/>
      <c r="X12" s="90">
        <f t="shared" si="5"/>
        <v>0</v>
      </c>
      <c r="Y12" s="91">
        <f t="shared" si="6"/>
        <v>0</v>
      </c>
      <c r="Z12" s="84"/>
      <c r="AA12" s="29">
        <f>X12*IFERROR(VLOOKUP(D12,'Brand List'!$B:$D,3,0),0)</f>
        <v>0</v>
      </c>
      <c r="AB12" s="29">
        <f>H12*IFERROR(VLOOKUP(D12,'Brand List'!$B:$D,3,0),0)</f>
        <v>0</v>
      </c>
      <c r="AC12" s="29">
        <f t="shared" si="7"/>
        <v>0</v>
      </c>
      <c r="AD12" s="2"/>
    </row>
    <row r="13" spans="1:30" ht="14.25" customHeight="1">
      <c r="A13" s="20" t="str">
        <f t="shared" si="3"/>
        <v>PRJ12</v>
      </c>
      <c r="B13" s="94" t="s">
        <v>48</v>
      </c>
      <c r="C13" s="49" t="s">
        <v>24</v>
      </c>
      <c r="D13" s="50" t="s">
        <v>49</v>
      </c>
      <c r="E13" s="51" t="s">
        <v>50</v>
      </c>
      <c r="F13" s="95" t="s">
        <v>51</v>
      </c>
      <c r="G13" s="96"/>
      <c r="H13" s="97">
        <v>0</v>
      </c>
      <c r="I13" s="98" t="str">
        <f t="shared" si="4"/>
        <v>No Delivery</v>
      </c>
      <c r="J13" s="99"/>
      <c r="K13" s="303"/>
      <c r="L13" s="99"/>
      <c r="M13" s="303"/>
      <c r="N13" s="99"/>
      <c r="O13" s="303"/>
      <c r="P13" s="99"/>
      <c r="Q13" s="303"/>
      <c r="R13" s="100"/>
      <c r="S13" s="308"/>
      <c r="T13" s="99"/>
      <c r="U13" s="303"/>
      <c r="V13" s="100"/>
      <c r="W13" s="308"/>
      <c r="X13" s="99">
        <f t="shared" si="5"/>
        <v>0</v>
      </c>
      <c r="Y13" s="101">
        <f t="shared" si="6"/>
        <v>0</v>
      </c>
      <c r="Z13" s="50"/>
      <c r="AA13" s="29">
        <f>X13*IFERROR(VLOOKUP(D13,'Brand List'!$B:$D,3,0),0)</f>
        <v>0</v>
      </c>
      <c r="AB13" s="29">
        <f>H13*IFERROR(VLOOKUP(D13,'Brand List'!$B:$D,3,0),0)</f>
        <v>0</v>
      </c>
      <c r="AC13" s="29">
        <f t="shared" si="7"/>
        <v>0</v>
      </c>
      <c r="AD13" s="2"/>
    </row>
    <row r="14" spans="1:30" ht="14.25" customHeight="1">
      <c r="A14" s="20" t="str">
        <f t="shared" si="3"/>
        <v>PRL12</v>
      </c>
      <c r="B14" s="94" t="s">
        <v>48</v>
      </c>
      <c r="C14" s="49" t="s">
        <v>24</v>
      </c>
      <c r="D14" s="50" t="s">
        <v>52</v>
      </c>
      <c r="E14" s="51" t="s">
        <v>53</v>
      </c>
      <c r="F14" s="95" t="s">
        <v>51</v>
      </c>
      <c r="G14" s="96"/>
      <c r="H14" s="97">
        <v>40</v>
      </c>
      <c r="I14" s="98" t="str">
        <f t="shared" si="4"/>
        <v>Will be Updated</v>
      </c>
      <c r="J14" s="99"/>
      <c r="K14" s="302"/>
      <c r="L14" s="99"/>
      <c r="M14" s="302"/>
      <c r="N14" s="103"/>
      <c r="O14" s="302"/>
      <c r="P14" s="103"/>
      <c r="Q14" s="302"/>
      <c r="R14" s="100"/>
      <c r="S14" s="310"/>
      <c r="T14" s="99"/>
      <c r="U14" s="302"/>
      <c r="V14" s="100"/>
      <c r="W14" s="310"/>
      <c r="X14" s="99">
        <f t="shared" si="5"/>
        <v>0</v>
      </c>
      <c r="Y14" s="101">
        <f t="shared" si="6"/>
        <v>-40</v>
      </c>
      <c r="Z14" s="50" t="s">
        <v>293</v>
      </c>
      <c r="AA14" s="29">
        <f>X14*IFERROR(VLOOKUP(D14,'Brand List'!$B:$D,3,0),0)</f>
        <v>0</v>
      </c>
      <c r="AB14" s="29">
        <f>H14*IFERROR(VLOOKUP(D14,'Brand List'!$B:$D,3,0),0)</f>
        <v>384000</v>
      </c>
      <c r="AC14" s="29">
        <f t="shared" si="7"/>
        <v>-384000</v>
      </c>
      <c r="AD14" s="2"/>
    </row>
    <row r="15" spans="1:30" ht="14.25" customHeight="1">
      <c r="A15" s="20" t="str">
        <f t="shared" si="3"/>
        <v>TRI20</v>
      </c>
      <c r="B15" s="94" t="s">
        <v>55</v>
      </c>
      <c r="C15" s="50" t="s">
        <v>56</v>
      </c>
      <c r="D15" s="50" t="s">
        <v>57</v>
      </c>
      <c r="E15" s="104" t="s">
        <v>58</v>
      </c>
      <c r="F15" s="105" t="s">
        <v>43</v>
      </c>
      <c r="G15" s="96"/>
      <c r="H15" s="106">
        <v>0</v>
      </c>
      <c r="I15" s="107" t="str">
        <f t="shared" si="4"/>
        <v>No Delivery</v>
      </c>
      <c r="J15" s="99"/>
      <c r="K15" s="303"/>
      <c r="L15" s="99"/>
      <c r="M15" s="303"/>
      <c r="N15" s="99"/>
      <c r="O15" s="303"/>
      <c r="P15" s="99"/>
      <c r="Q15" s="303"/>
      <c r="R15" s="100"/>
      <c r="S15" s="308"/>
      <c r="T15" s="99"/>
      <c r="U15" s="303"/>
      <c r="V15" s="100"/>
      <c r="W15" s="308"/>
      <c r="X15" s="99">
        <f t="shared" si="5"/>
        <v>0</v>
      </c>
      <c r="Y15" s="101">
        <f t="shared" si="6"/>
        <v>0</v>
      </c>
      <c r="Z15" s="50"/>
      <c r="AA15" s="29">
        <f>X15*IFERROR(VLOOKUP(D15,'Brand List'!$B:$D,3,0),0)</f>
        <v>0</v>
      </c>
      <c r="AB15" s="29">
        <f>H15*IFERROR(VLOOKUP(D15,'Brand List'!$B:$D,3,0),0)</f>
        <v>0</v>
      </c>
      <c r="AC15" s="29">
        <f t="shared" si="7"/>
        <v>0</v>
      </c>
    </row>
    <row r="16" spans="1:30" ht="14.25" customHeight="1">
      <c r="A16" s="20" t="str">
        <f t="shared" si="3"/>
        <v>GSS12</v>
      </c>
      <c r="B16" s="94" t="s">
        <v>59</v>
      </c>
      <c r="C16" s="50" t="s">
        <v>24</v>
      </c>
      <c r="D16" s="50" t="s">
        <v>60</v>
      </c>
      <c r="E16" s="104" t="s">
        <v>61</v>
      </c>
      <c r="F16" s="105" t="s">
        <v>43</v>
      </c>
      <c r="G16" s="96"/>
      <c r="H16" s="106">
        <v>0</v>
      </c>
      <c r="I16" s="107" t="str">
        <f t="shared" si="4"/>
        <v>No Delivery</v>
      </c>
      <c r="J16" s="99"/>
      <c r="K16" s="302"/>
      <c r="L16" s="99"/>
      <c r="M16" s="302"/>
      <c r="N16" s="99"/>
      <c r="O16" s="302"/>
      <c r="P16" s="99"/>
      <c r="Q16" s="302"/>
      <c r="R16" s="100"/>
      <c r="S16" s="310"/>
      <c r="T16" s="99"/>
      <c r="U16" s="302"/>
      <c r="V16" s="100"/>
      <c r="W16" s="310"/>
      <c r="X16" s="99">
        <f t="shared" si="5"/>
        <v>0</v>
      </c>
      <c r="Y16" s="101">
        <f t="shared" si="6"/>
        <v>0</v>
      </c>
      <c r="Z16" s="50"/>
      <c r="AA16" s="29">
        <f>X16*IFERROR(VLOOKUP(D16,'Brand List'!$B:$D,3,0),0)</f>
        <v>0</v>
      </c>
      <c r="AB16" s="29">
        <f>H16*IFERROR(VLOOKUP(D16,'Brand List'!$B:$D,3,0),0)</f>
        <v>0</v>
      </c>
      <c r="AC16" s="29">
        <f t="shared" si="7"/>
        <v>0</v>
      </c>
    </row>
    <row r="17" spans="1:30" ht="14.25" customHeight="1">
      <c r="A17" s="20" t="str">
        <f t="shared" si="3"/>
        <v>CTL16</v>
      </c>
      <c r="B17" s="83" t="s">
        <v>62</v>
      </c>
      <c r="C17" s="84" t="s">
        <v>63</v>
      </c>
      <c r="D17" s="84" t="s">
        <v>64</v>
      </c>
      <c r="E17" s="85" t="s">
        <v>65</v>
      </c>
      <c r="F17" s="86" t="s">
        <v>66</v>
      </c>
      <c r="G17" s="87"/>
      <c r="H17" s="88">
        <v>0</v>
      </c>
      <c r="I17" s="89" t="str">
        <f t="shared" si="4"/>
        <v>No Delivery</v>
      </c>
      <c r="J17" s="90"/>
      <c r="K17" s="300">
        <v>1</v>
      </c>
      <c r="L17" s="90"/>
      <c r="M17" s="300"/>
      <c r="N17" s="90"/>
      <c r="O17" s="300"/>
      <c r="P17" s="90"/>
      <c r="Q17" s="300"/>
      <c r="R17" s="90"/>
      <c r="S17" s="300"/>
      <c r="T17" s="90"/>
      <c r="U17" s="300"/>
      <c r="V17" s="92"/>
      <c r="W17" s="304"/>
      <c r="X17" s="90">
        <f t="shared" si="5"/>
        <v>0</v>
      </c>
      <c r="Y17" s="91">
        <f t="shared" si="6"/>
        <v>0</v>
      </c>
      <c r="Z17" s="84"/>
      <c r="AA17" s="29">
        <f>X17*IFERROR(VLOOKUP(D17,'Brand List'!$B:$D,3,0),0)</f>
        <v>0</v>
      </c>
      <c r="AB17" s="29">
        <f>H17*IFERROR(VLOOKUP(D17,'Brand List'!$B:$D,3,0),0)</f>
        <v>0</v>
      </c>
      <c r="AC17" s="29">
        <f t="shared" si="7"/>
        <v>0</v>
      </c>
      <c r="AD17" s="2"/>
    </row>
    <row r="18" spans="1:30" ht="14.25" customHeight="1">
      <c r="A18" s="20" t="str">
        <f t="shared" si="3"/>
        <v>VGZ16</v>
      </c>
      <c r="B18" s="83" t="s">
        <v>62</v>
      </c>
      <c r="C18" s="84" t="s">
        <v>63</v>
      </c>
      <c r="D18" s="84" t="s">
        <v>67</v>
      </c>
      <c r="E18" s="85" t="s">
        <v>68</v>
      </c>
      <c r="F18" s="86" t="s">
        <v>66</v>
      </c>
      <c r="G18" s="87"/>
      <c r="H18" s="88">
        <v>40</v>
      </c>
      <c r="I18" s="89" t="str">
        <f t="shared" si="4"/>
        <v>Delivery</v>
      </c>
      <c r="J18" s="90">
        <v>40</v>
      </c>
      <c r="K18" s="301"/>
      <c r="L18" s="90"/>
      <c r="M18" s="301"/>
      <c r="N18" s="90"/>
      <c r="O18" s="301"/>
      <c r="P18" s="90"/>
      <c r="Q18" s="301"/>
      <c r="R18" s="90"/>
      <c r="S18" s="301"/>
      <c r="T18" s="90"/>
      <c r="U18" s="301"/>
      <c r="V18" s="92"/>
      <c r="W18" s="305"/>
      <c r="X18" s="90">
        <f t="shared" si="5"/>
        <v>40</v>
      </c>
      <c r="Y18" s="91">
        <f t="shared" si="6"/>
        <v>0</v>
      </c>
      <c r="Z18" s="84"/>
      <c r="AA18" s="29">
        <f>X18*IFERROR(VLOOKUP(D18,'Brand List'!$B:$D,3,0),0)</f>
        <v>512000</v>
      </c>
      <c r="AB18" s="29">
        <f>H18*IFERROR(VLOOKUP(D18,'Brand List'!$B:$D,3,0),0)</f>
        <v>512000</v>
      </c>
      <c r="AC18" s="29">
        <f t="shared" si="7"/>
        <v>0</v>
      </c>
      <c r="AD18" s="2"/>
    </row>
    <row r="19" spans="1:30" ht="14.25" customHeight="1">
      <c r="A19" s="20"/>
      <c r="B19" s="83" t="s">
        <v>62</v>
      </c>
      <c r="C19" s="84" t="s">
        <v>70</v>
      </c>
      <c r="D19" s="84" t="s">
        <v>71</v>
      </c>
      <c r="E19" s="85" t="s">
        <v>72</v>
      </c>
      <c r="F19" s="86" t="s">
        <v>66</v>
      </c>
      <c r="G19" s="87"/>
      <c r="H19" s="88">
        <v>0</v>
      </c>
      <c r="I19" s="89" t="str">
        <f t="shared" si="4"/>
        <v>No Delivery</v>
      </c>
      <c r="J19" s="90"/>
      <c r="K19" s="301"/>
      <c r="L19" s="90"/>
      <c r="M19" s="301"/>
      <c r="N19" s="90"/>
      <c r="O19" s="301"/>
      <c r="P19" s="90"/>
      <c r="Q19" s="301"/>
      <c r="R19" s="90"/>
      <c r="S19" s="301"/>
      <c r="T19" s="90"/>
      <c r="U19" s="301"/>
      <c r="V19" s="92"/>
      <c r="W19" s="305"/>
      <c r="X19" s="90">
        <f t="shared" si="5"/>
        <v>0</v>
      </c>
      <c r="Y19" s="91">
        <f t="shared" si="6"/>
        <v>0</v>
      </c>
      <c r="Z19" s="84"/>
      <c r="AA19" s="29">
        <f>X19*IFERROR(VLOOKUP(D19,'Brand List'!$B:$D,3,0),0)</f>
        <v>0</v>
      </c>
      <c r="AB19" s="29">
        <f>H19*IFERROR(VLOOKUP(D19,'Brand List'!$B:$D,3,0),0)</f>
        <v>0</v>
      </c>
      <c r="AC19" s="29">
        <f t="shared" si="7"/>
        <v>0</v>
      </c>
      <c r="AD19" s="2"/>
    </row>
    <row r="20" spans="1:30" ht="14.25" customHeight="1">
      <c r="A20" s="20" t="str">
        <f t="shared" ref="A20:A55" si="8">D20</f>
        <v>ARM12</v>
      </c>
      <c r="B20" s="83" t="s">
        <v>73</v>
      </c>
      <c r="C20" s="84" t="s">
        <v>70</v>
      </c>
      <c r="D20" s="84" t="s">
        <v>74</v>
      </c>
      <c r="E20" s="85" t="s">
        <v>75</v>
      </c>
      <c r="F20" s="86" t="s">
        <v>66</v>
      </c>
      <c r="G20" s="87"/>
      <c r="H20" s="88">
        <v>0</v>
      </c>
      <c r="I20" s="89" t="str">
        <f t="shared" si="4"/>
        <v>No Delivery</v>
      </c>
      <c r="J20" s="90"/>
      <c r="K20" s="301"/>
      <c r="L20" s="90"/>
      <c r="M20" s="301"/>
      <c r="N20" s="90"/>
      <c r="O20" s="301"/>
      <c r="P20" s="90"/>
      <c r="Q20" s="301"/>
      <c r="R20" s="90"/>
      <c r="S20" s="301"/>
      <c r="T20" s="90"/>
      <c r="U20" s="301"/>
      <c r="V20" s="92"/>
      <c r="W20" s="305"/>
      <c r="X20" s="90">
        <f t="shared" si="5"/>
        <v>0</v>
      </c>
      <c r="Y20" s="91">
        <f t="shared" si="6"/>
        <v>0</v>
      </c>
      <c r="Z20" s="84"/>
      <c r="AA20" s="29">
        <f>X20*IFERROR(VLOOKUP(D20,'Brand List'!$B:$D,3,0),0)</f>
        <v>0</v>
      </c>
      <c r="AB20" s="29">
        <f>H20*IFERROR(VLOOKUP(D20,'Brand List'!$B:$D,3,0),0)</f>
        <v>0</v>
      </c>
      <c r="AC20" s="29">
        <f t="shared" si="7"/>
        <v>0</v>
      </c>
      <c r="AD20" s="2"/>
    </row>
    <row r="21" spans="1:30" ht="14.25" customHeight="1">
      <c r="A21" s="20" t="str">
        <f t="shared" si="8"/>
        <v>ARM16</v>
      </c>
      <c r="B21" s="83" t="s">
        <v>73</v>
      </c>
      <c r="C21" s="84" t="s">
        <v>76</v>
      </c>
      <c r="D21" s="84" t="s">
        <v>77</v>
      </c>
      <c r="E21" s="85" t="s">
        <v>78</v>
      </c>
      <c r="F21" s="86" t="s">
        <v>66</v>
      </c>
      <c r="G21" s="87"/>
      <c r="H21" s="88">
        <v>0</v>
      </c>
      <c r="I21" s="89" t="str">
        <f t="shared" si="4"/>
        <v>No Delivery</v>
      </c>
      <c r="J21" s="90"/>
      <c r="K21" s="301"/>
      <c r="L21" s="90"/>
      <c r="M21" s="301"/>
      <c r="N21" s="90"/>
      <c r="O21" s="301"/>
      <c r="P21" s="90"/>
      <c r="Q21" s="301"/>
      <c r="R21" s="90"/>
      <c r="S21" s="301"/>
      <c r="T21" s="90"/>
      <c r="U21" s="301"/>
      <c r="V21" s="92"/>
      <c r="W21" s="305"/>
      <c r="X21" s="90">
        <f t="shared" si="5"/>
        <v>0</v>
      </c>
      <c r="Y21" s="91">
        <f t="shared" si="6"/>
        <v>0</v>
      </c>
      <c r="Z21" s="84"/>
      <c r="AA21" s="29">
        <f>X21*IFERROR(VLOOKUP(D21,'Brand List'!$B:$D,3,0),0)</f>
        <v>0</v>
      </c>
      <c r="AB21" s="29">
        <f>H21*IFERROR(VLOOKUP(D21,'Brand List'!$B:$D,3,0),0)</f>
        <v>0</v>
      </c>
      <c r="AC21" s="29">
        <f t="shared" si="7"/>
        <v>0</v>
      </c>
      <c r="AD21" s="2"/>
    </row>
    <row r="22" spans="1:30" ht="14.25" customHeight="1">
      <c r="A22" s="20" t="str">
        <f t="shared" si="8"/>
        <v>ARK12</v>
      </c>
      <c r="B22" s="83" t="s">
        <v>73</v>
      </c>
      <c r="C22" s="84" t="s">
        <v>70</v>
      </c>
      <c r="D22" s="84" t="s">
        <v>79</v>
      </c>
      <c r="E22" s="85" t="s">
        <v>80</v>
      </c>
      <c r="F22" s="86" t="s">
        <v>66</v>
      </c>
      <c r="G22" s="87"/>
      <c r="H22" s="88">
        <v>0</v>
      </c>
      <c r="I22" s="89" t="str">
        <f t="shared" si="4"/>
        <v>No Delivery</v>
      </c>
      <c r="J22" s="90"/>
      <c r="K22" s="301"/>
      <c r="L22" s="90"/>
      <c r="M22" s="301"/>
      <c r="N22" s="90"/>
      <c r="O22" s="301"/>
      <c r="P22" s="90"/>
      <c r="Q22" s="301"/>
      <c r="R22" s="90"/>
      <c r="S22" s="301"/>
      <c r="T22" s="90"/>
      <c r="U22" s="301"/>
      <c r="V22" s="92"/>
      <c r="W22" s="305"/>
      <c r="X22" s="90">
        <f t="shared" si="5"/>
        <v>0</v>
      </c>
      <c r="Y22" s="91">
        <f t="shared" si="6"/>
        <v>0</v>
      </c>
      <c r="Z22" s="84"/>
      <c r="AA22" s="29">
        <f>X22*IFERROR(VLOOKUP(D22,'Brand List'!$B:$D,3,0),0)</f>
        <v>0</v>
      </c>
      <c r="AB22" s="29">
        <f>H22*IFERROR(VLOOKUP(D22,'Brand List'!$B:$D,3,0),0)</f>
        <v>0</v>
      </c>
      <c r="AC22" s="29">
        <f t="shared" si="7"/>
        <v>0</v>
      </c>
      <c r="AD22" s="2"/>
    </row>
    <row r="23" spans="1:30" ht="14.25" customHeight="1">
      <c r="A23" s="20" t="str">
        <f t="shared" si="8"/>
        <v>ARB12</v>
      </c>
      <c r="B23" s="83" t="s">
        <v>73</v>
      </c>
      <c r="C23" s="84" t="s">
        <v>70</v>
      </c>
      <c r="D23" s="84" t="s">
        <v>81</v>
      </c>
      <c r="E23" s="85" t="s">
        <v>82</v>
      </c>
      <c r="F23" s="86" t="s">
        <v>66</v>
      </c>
      <c r="G23" s="87"/>
      <c r="H23" s="88">
        <v>300</v>
      </c>
      <c r="I23" s="89" t="str">
        <f t="shared" si="4"/>
        <v>Delivery</v>
      </c>
      <c r="J23" s="90">
        <v>300</v>
      </c>
      <c r="K23" s="301"/>
      <c r="L23" s="90"/>
      <c r="M23" s="301"/>
      <c r="N23" s="90"/>
      <c r="O23" s="301"/>
      <c r="P23" s="90"/>
      <c r="Q23" s="301"/>
      <c r="R23" s="90"/>
      <c r="S23" s="301"/>
      <c r="T23" s="90"/>
      <c r="U23" s="301"/>
      <c r="V23" s="92"/>
      <c r="W23" s="305"/>
      <c r="X23" s="90">
        <f t="shared" si="5"/>
        <v>300</v>
      </c>
      <c r="Y23" s="91">
        <f t="shared" si="6"/>
        <v>0</v>
      </c>
      <c r="Z23" s="84"/>
      <c r="AA23" s="29">
        <f>X23*IFERROR(VLOOKUP(D23,'Brand List'!$B:$D,3,0),0)</f>
        <v>2880000</v>
      </c>
      <c r="AB23" s="29">
        <f>H23*IFERROR(VLOOKUP(D23,'Brand List'!$B:$D,3,0),0)</f>
        <v>2880000</v>
      </c>
      <c r="AC23" s="29">
        <f t="shared" si="7"/>
        <v>0</v>
      </c>
      <c r="AD23" s="2"/>
    </row>
    <row r="24" spans="1:30" ht="14.25" customHeight="1">
      <c r="A24" s="20" t="str">
        <f t="shared" si="8"/>
        <v>ARB20</v>
      </c>
      <c r="B24" s="83" t="s">
        <v>73</v>
      </c>
      <c r="C24" s="84" t="s">
        <v>56</v>
      </c>
      <c r="D24" s="84" t="s">
        <v>83</v>
      </c>
      <c r="E24" s="85" t="s">
        <v>84</v>
      </c>
      <c r="F24" s="86" t="s">
        <v>66</v>
      </c>
      <c r="G24" s="87"/>
      <c r="H24" s="88">
        <v>25</v>
      </c>
      <c r="I24" s="89" t="str">
        <f t="shared" si="4"/>
        <v>Delivery</v>
      </c>
      <c r="J24" s="90">
        <v>25</v>
      </c>
      <c r="K24" s="301"/>
      <c r="L24" s="90"/>
      <c r="M24" s="301"/>
      <c r="N24" s="90"/>
      <c r="O24" s="301"/>
      <c r="P24" s="90"/>
      <c r="Q24" s="301"/>
      <c r="R24" s="90"/>
      <c r="S24" s="301"/>
      <c r="T24" s="90"/>
      <c r="U24" s="301"/>
      <c r="V24" s="92"/>
      <c r="W24" s="305"/>
      <c r="X24" s="90">
        <f t="shared" si="5"/>
        <v>25</v>
      </c>
      <c r="Y24" s="91">
        <f t="shared" si="6"/>
        <v>0</v>
      </c>
      <c r="Z24" s="84"/>
      <c r="AA24" s="29">
        <f>X24*IFERROR(VLOOKUP(D24,'Brand List'!$B:$D,3,0),0)</f>
        <v>300000</v>
      </c>
      <c r="AB24" s="29">
        <f>H24*IFERROR(VLOOKUP(D24,'Brand List'!$B:$D,3,0),0)</f>
        <v>300000</v>
      </c>
      <c r="AC24" s="29">
        <f t="shared" si="7"/>
        <v>0</v>
      </c>
      <c r="AD24" s="2"/>
    </row>
    <row r="25" spans="1:30" ht="14.25" customHeight="1">
      <c r="A25" s="20" t="str">
        <f t="shared" si="8"/>
        <v>ARL16</v>
      </c>
      <c r="B25" s="83" t="s">
        <v>73</v>
      </c>
      <c r="C25" s="84" t="s">
        <v>63</v>
      </c>
      <c r="D25" s="84" t="s">
        <v>85</v>
      </c>
      <c r="E25" s="85" t="s">
        <v>86</v>
      </c>
      <c r="F25" s="86" t="s">
        <v>66</v>
      </c>
      <c r="G25" s="87"/>
      <c r="H25" s="88">
        <v>0</v>
      </c>
      <c r="I25" s="89" t="str">
        <f t="shared" si="4"/>
        <v>No Delivery</v>
      </c>
      <c r="J25" s="90"/>
      <c r="K25" s="302"/>
      <c r="L25" s="90"/>
      <c r="M25" s="302"/>
      <c r="N25" s="90"/>
      <c r="O25" s="302"/>
      <c r="P25" s="90"/>
      <c r="Q25" s="302"/>
      <c r="R25" s="90"/>
      <c r="S25" s="302"/>
      <c r="T25" s="90"/>
      <c r="U25" s="302"/>
      <c r="V25" s="92"/>
      <c r="W25" s="306"/>
      <c r="X25" s="90">
        <f t="shared" si="5"/>
        <v>0</v>
      </c>
      <c r="Y25" s="91">
        <f t="shared" si="6"/>
        <v>0</v>
      </c>
      <c r="Z25" s="84"/>
      <c r="AA25" s="29">
        <f>X25*IFERROR(VLOOKUP(D25,'Brand List'!$B:$D,3,0),0)</f>
        <v>0</v>
      </c>
      <c r="AB25" s="29">
        <f>H25*IFERROR(VLOOKUP(D25,'Brand List'!$B:$D,3,0),0)</f>
        <v>0</v>
      </c>
      <c r="AC25" s="29">
        <f t="shared" si="7"/>
        <v>0</v>
      </c>
      <c r="AD25" s="2"/>
    </row>
    <row r="26" spans="1:30" ht="14.25" customHeight="1">
      <c r="A26" s="20" t="str">
        <f t="shared" si="8"/>
        <v>BRW12</v>
      </c>
      <c r="B26" s="94" t="s">
        <v>91</v>
      </c>
      <c r="C26" s="49" t="s">
        <v>24</v>
      </c>
      <c r="D26" s="50" t="s">
        <v>88</v>
      </c>
      <c r="E26" s="51" t="s">
        <v>89</v>
      </c>
      <c r="F26" s="95" t="s">
        <v>90</v>
      </c>
      <c r="G26" s="96"/>
      <c r="H26" s="97">
        <v>0</v>
      </c>
      <c r="I26" s="98" t="str">
        <f t="shared" si="4"/>
        <v>No Delivery</v>
      </c>
      <c r="J26" s="99"/>
      <c r="K26" s="307"/>
      <c r="L26" s="103"/>
      <c r="M26" s="303"/>
      <c r="N26" s="103"/>
      <c r="O26" s="307">
        <v>1</v>
      </c>
      <c r="P26" s="103"/>
      <c r="Q26" s="307"/>
      <c r="R26" s="108"/>
      <c r="S26" s="311"/>
      <c r="T26" s="103"/>
      <c r="U26" s="307"/>
      <c r="V26" s="108"/>
      <c r="W26" s="308"/>
      <c r="X26" s="99">
        <f t="shared" si="5"/>
        <v>0</v>
      </c>
      <c r="Y26" s="101">
        <f t="shared" si="6"/>
        <v>0</v>
      </c>
      <c r="Z26" s="50"/>
      <c r="AA26" s="29">
        <f>X26*IFERROR(VLOOKUP(D26,'Brand List'!$B:$D,3,0),0)</f>
        <v>0</v>
      </c>
      <c r="AB26" s="29">
        <f>H26*IFERROR(VLOOKUP(D26,'Brand List'!$B:$D,3,0),0)</f>
        <v>0</v>
      </c>
      <c r="AC26" s="29">
        <f t="shared" si="7"/>
        <v>0</v>
      </c>
      <c r="AD26" s="2"/>
    </row>
    <row r="27" spans="1:30" ht="14.25" customHeight="1">
      <c r="A27" s="20" t="str">
        <f t="shared" si="8"/>
        <v>SRS12</v>
      </c>
      <c r="B27" s="94" t="s">
        <v>91</v>
      </c>
      <c r="C27" s="49" t="s">
        <v>24</v>
      </c>
      <c r="D27" s="50" t="s">
        <v>92</v>
      </c>
      <c r="E27" s="51" t="s">
        <v>93</v>
      </c>
      <c r="F27" s="95" t="s">
        <v>90</v>
      </c>
      <c r="G27" s="96"/>
      <c r="H27" s="97">
        <v>0</v>
      </c>
      <c r="I27" s="98" t="str">
        <f t="shared" si="4"/>
        <v>No Delivery</v>
      </c>
      <c r="J27" s="99"/>
      <c r="K27" s="301"/>
      <c r="L27" s="103"/>
      <c r="M27" s="301"/>
      <c r="N27" s="103"/>
      <c r="O27" s="301"/>
      <c r="P27" s="108"/>
      <c r="Q27" s="301"/>
      <c r="R27" s="108"/>
      <c r="S27" s="305"/>
      <c r="T27" s="103"/>
      <c r="U27" s="301"/>
      <c r="V27" s="108"/>
      <c r="W27" s="309"/>
      <c r="X27" s="99">
        <f t="shared" si="5"/>
        <v>0</v>
      </c>
      <c r="Y27" s="101">
        <f t="shared" si="6"/>
        <v>0</v>
      </c>
      <c r="Z27" s="50"/>
      <c r="AA27" s="29">
        <f>X27*IFERROR(VLOOKUP(D27,'Brand List'!$B:$D,3,0),0)</f>
        <v>0</v>
      </c>
      <c r="AB27" s="29">
        <f>H27*IFERROR(VLOOKUP(D27,'Brand List'!$B:$D,3,0),0)</f>
        <v>0</v>
      </c>
      <c r="AC27" s="29">
        <f t="shared" si="7"/>
        <v>0</v>
      </c>
      <c r="AD27" s="2"/>
    </row>
    <row r="28" spans="1:30" ht="14.25" customHeight="1">
      <c r="A28" s="20" t="str">
        <f t="shared" si="8"/>
        <v>SRS16</v>
      </c>
      <c r="B28" s="94" t="s">
        <v>91</v>
      </c>
      <c r="C28" s="49" t="s">
        <v>95</v>
      </c>
      <c r="D28" s="50" t="s">
        <v>96</v>
      </c>
      <c r="E28" s="51" t="s">
        <v>97</v>
      </c>
      <c r="F28" s="95" t="s">
        <v>90</v>
      </c>
      <c r="G28" s="96"/>
      <c r="H28" s="97">
        <v>0</v>
      </c>
      <c r="I28" s="98" t="str">
        <f t="shared" si="4"/>
        <v>No Delivery</v>
      </c>
      <c r="J28" s="99"/>
      <c r="K28" s="301"/>
      <c r="L28" s="103"/>
      <c r="M28" s="301"/>
      <c r="N28" s="103"/>
      <c r="O28" s="301"/>
      <c r="P28" s="108"/>
      <c r="Q28" s="301"/>
      <c r="R28" s="108"/>
      <c r="S28" s="305"/>
      <c r="T28" s="103"/>
      <c r="U28" s="301"/>
      <c r="V28" s="108"/>
      <c r="W28" s="309"/>
      <c r="X28" s="99">
        <f t="shared" si="5"/>
        <v>0</v>
      </c>
      <c r="Y28" s="101">
        <f t="shared" si="6"/>
        <v>0</v>
      </c>
      <c r="Z28" s="50" t="s">
        <v>294</v>
      </c>
      <c r="AA28" s="29">
        <f>X28*IFERROR(VLOOKUP(D28,'Brand List'!$B:$D,3,0),0)</f>
        <v>0</v>
      </c>
      <c r="AB28" s="29">
        <f>H28*IFERROR(VLOOKUP(D28,'Brand List'!$B:$D,3,0),0)</f>
        <v>0</v>
      </c>
      <c r="AC28" s="29">
        <f t="shared" si="7"/>
        <v>0</v>
      </c>
      <c r="AD28" s="2"/>
    </row>
    <row r="29" spans="1:30" ht="14.25" customHeight="1">
      <c r="A29" s="20" t="str">
        <f t="shared" si="8"/>
        <v>POS16</v>
      </c>
      <c r="B29" s="94" t="s">
        <v>91</v>
      </c>
      <c r="C29" s="50" t="s">
        <v>63</v>
      </c>
      <c r="D29" s="50" t="s">
        <v>99</v>
      </c>
      <c r="E29" s="51" t="s">
        <v>100</v>
      </c>
      <c r="F29" s="95" t="s">
        <v>90</v>
      </c>
      <c r="G29" s="96"/>
      <c r="H29" s="97">
        <v>0</v>
      </c>
      <c r="I29" s="98" t="str">
        <f t="shared" si="4"/>
        <v>No Delivery</v>
      </c>
      <c r="J29" s="99"/>
      <c r="K29" s="301"/>
      <c r="L29" s="103"/>
      <c r="M29" s="301"/>
      <c r="N29" s="103"/>
      <c r="O29" s="301"/>
      <c r="P29" s="103"/>
      <c r="Q29" s="301"/>
      <c r="R29" s="108"/>
      <c r="S29" s="305"/>
      <c r="T29" s="103"/>
      <c r="U29" s="301"/>
      <c r="V29" s="108"/>
      <c r="W29" s="309"/>
      <c r="X29" s="99">
        <f t="shared" si="5"/>
        <v>0</v>
      </c>
      <c r="Y29" s="101">
        <f t="shared" si="6"/>
        <v>0</v>
      </c>
      <c r="Z29" s="50"/>
      <c r="AA29" s="29">
        <f>X29*IFERROR(VLOOKUP(D29,'Brand List'!$B:$D,3,0),0)</f>
        <v>0</v>
      </c>
      <c r="AB29" s="29">
        <f>H29*IFERROR(VLOOKUP(D29,'Brand List'!$B:$D,3,0),0)</f>
        <v>0</v>
      </c>
      <c r="AC29" s="29">
        <f t="shared" si="7"/>
        <v>0</v>
      </c>
      <c r="AD29" s="2"/>
    </row>
    <row r="30" spans="1:30" ht="14.25" customHeight="1">
      <c r="A30" s="20" t="str">
        <f t="shared" si="8"/>
        <v>TTL16</v>
      </c>
      <c r="B30" s="94" t="s">
        <v>91</v>
      </c>
      <c r="C30" s="50" t="s">
        <v>63</v>
      </c>
      <c r="D30" s="50" t="s">
        <v>101</v>
      </c>
      <c r="E30" s="51" t="s">
        <v>102</v>
      </c>
      <c r="F30" s="95" t="s">
        <v>90</v>
      </c>
      <c r="G30" s="96" t="s">
        <v>295</v>
      </c>
      <c r="H30" s="97">
        <v>40</v>
      </c>
      <c r="I30" s="98" t="str">
        <f t="shared" si="4"/>
        <v>Delivery</v>
      </c>
      <c r="J30" s="99"/>
      <c r="K30" s="302"/>
      <c r="L30" s="103"/>
      <c r="M30" s="302"/>
      <c r="N30" s="103">
        <v>40</v>
      </c>
      <c r="O30" s="302"/>
      <c r="P30" s="103"/>
      <c r="Q30" s="302"/>
      <c r="R30" s="108"/>
      <c r="S30" s="306"/>
      <c r="T30" s="103"/>
      <c r="U30" s="302"/>
      <c r="V30" s="108"/>
      <c r="W30" s="310"/>
      <c r="X30" s="99">
        <f t="shared" si="5"/>
        <v>40</v>
      </c>
      <c r="Y30" s="101">
        <f t="shared" si="6"/>
        <v>0</v>
      </c>
      <c r="Z30" s="50"/>
      <c r="AA30" s="29">
        <f>X30*IFERROR(VLOOKUP(D30,'Brand List'!$B:$D,3,0),0)</f>
        <v>384000</v>
      </c>
      <c r="AB30" s="29">
        <f>H30*IFERROR(VLOOKUP(D30,'Brand List'!$B:$D,3,0),0)</f>
        <v>384000</v>
      </c>
      <c r="AC30" s="29">
        <f t="shared" si="7"/>
        <v>0</v>
      </c>
      <c r="AD30" s="2"/>
    </row>
    <row r="31" spans="1:30" ht="14.25" customHeight="1">
      <c r="A31" s="20" t="str">
        <f t="shared" si="8"/>
        <v>VKT16</v>
      </c>
      <c r="B31" s="94" t="s">
        <v>103</v>
      </c>
      <c r="C31" s="50" t="s">
        <v>95</v>
      </c>
      <c r="D31" s="50" t="s">
        <v>104</v>
      </c>
      <c r="E31" s="51" t="s">
        <v>105</v>
      </c>
      <c r="F31" s="95" t="s">
        <v>90</v>
      </c>
      <c r="G31" s="96"/>
      <c r="H31" s="97">
        <v>200</v>
      </c>
      <c r="I31" s="98" t="str">
        <f t="shared" si="4"/>
        <v>Delivery</v>
      </c>
      <c r="J31" s="99"/>
      <c r="K31" s="109"/>
      <c r="L31" s="103"/>
      <c r="M31" s="101"/>
      <c r="N31" s="103"/>
      <c r="O31" s="109"/>
      <c r="P31" s="103"/>
      <c r="Q31" s="109"/>
      <c r="R31" s="108"/>
      <c r="S31" s="110"/>
      <c r="T31" s="103">
        <v>200</v>
      </c>
      <c r="U31" s="109">
        <v>1</v>
      </c>
      <c r="V31" s="103"/>
      <c r="W31" s="102"/>
      <c r="X31" s="99">
        <f t="shared" si="5"/>
        <v>200</v>
      </c>
      <c r="Y31" s="101">
        <f t="shared" si="6"/>
        <v>0</v>
      </c>
      <c r="Z31" s="50"/>
      <c r="AA31" s="29">
        <f>X31*IFERROR(VLOOKUP(D31,'Brand List'!$B:$D,3,0),0)</f>
        <v>1920000</v>
      </c>
      <c r="AB31" s="29">
        <f>H31*IFERROR(VLOOKUP(D31,'Brand List'!$B:$D,3,0),0)</f>
        <v>1920000</v>
      </c>
      <c r="AC31" s="29">
        <f t="shared" si="7"/>
        <v>0</v>
      </c>
      <c r="AD31" s="2"/>
    </row>
    <row r="32" spans="1:30" ht="14.25" customHeight="1">
      <c r="A32" s="20" t="str">
        <f t="shared" si="8"/>
        <v>SLT12</v>
      </c>
      <c r="B32" s="83" t="s">
        <v>106</v>
      </c>
      <c r="C32" s="84" t="s">
        <v>24</v>
      </c>
      <c r="D32" s="84" t="s">
        <v>107</v>
      </c>
      <c r="E32" s="85" t="s">
        <v>108</v>
      </c>
      <c r="F32" s="86" t="s">
        <v>90</v>
      </c>
      <c r="G32" s="87"/>
      <c r="H32" s="88">
        <v>2300</v>
      </c>
      <c r="I32" s="89" t="str">
        <f t="shared" si="4"/>
        <v>Partial Delivery</v>
      </c>
      <c r="J32" s="90">
        <v>750</v>
      </c>
      <c r="K32" s="300">
        <v>3</v>
      </c>
      <c r="L32" s="90">
        <v>900</v>
      </c>
      <c r="M32" s="300">
        <v>3</v>
      </c>
      <c r="N32" s="90">
        <v>400</v>
      </c>
      <c r="O32" s="300">
        <v>2</v>
      </c>
      <c r="P32" s="90">
        <v>150</v>
      </c>
      <c r="Q32" s="300">
        <v>1</v>
      </c>
      <c r="R32" s="92">
        <v>100</v>
      </c>
      <c r="S32" s="304">
        <v>1</v>
      </c>
      <c r="T32" s="90"/>
      <c r="U32" s="300">
        <v>1</v>
      </c>
      <c r="V32" s="92"/>
      <c r="W32" s="304"/>
      <c r="X32" s="90">
        <f t="shared" si="5"/>
        <v>2300</v>
      </c>
      <c r="Y32" s="91">
        <f t="shared" si="6"/>
        <v>0</v>
      </c>
      <c r="Z32" s="84"/>
      <c r="AA32" s="29">
        <f>X32*IFERROR(VLOOKUP(D32,'Brand List'!$B:$D,3,0),0)</f>
        <v>22080000</v>
      </c>
      <c r="AB32" s="29">
        <f>H32*IFERROR(VLOOKUP(D32,'Brand List'!$B:$D,3,0),0)</f>
        <v>22080000</v>
      </c>
      <c r="AC32" s="29">
        <f t="shared" si="7"/>
        <v>0</v>
      </c>
      <c r="AD32" s="2"/>
    </row>
    <row r="33" spans="1:30" ht="14.25" customHeight="1">
      <c r="A33" s="20" t="str">
        <f t="shared" si="8"/>
        <v>SLT16</v>
      </c>
      <c r="B33" s="83" t="s">
        <v>106</v>
      </c>
      <c r="C33" s="84" t="s">
        <v>95</v>
      </c>
      <c r="D33" s="84" t="s">
        <v>109</v>
      </c>
      <c r="E33" s="85" t="s">
        <v>110</v>
      </c>
      <c r="F33" s="86" t="s">
        <v>90</v>
      </c>
      <c r="G33" s="87"/>
      <c r="H33" s="88">
        <v>350</v>
      </c>
      <c r="I33" s="89" t="str">
        <f t="shared" si="4"/>
        <v>Partial Delivery</v>
      </c>
      <c r="J33" s="90">
        <v>50</v>
      </c>
      <c r="K33" s="301"/>
      <c r="L33" s="90"/>
      <c r="M33" s="301"/>
      <c r="N33" s="90"/>
      <c r="O33" s="301"/>
      <c r="P33" s="90">
        <v>100</v>
      </c>
      <c r="Q33" s="301"/>
      <c r="R33" s="92">
        <v>100</v>
      </c>
      <c r="S33" s="305"/>
      <c r="T33" s="90">
        <v>100</v>
      </c>
      <c r="U33" s="301"/>
      <c r="V33" s="92"/>
      <c r="W33" s="305"/>
      <c r="X33" s="90">
        <f t="shared" si="5"/>
        <v>350</v>
      </c>
      <c r="Y33" s="91">
        <f t="shared" si="6"/>
        <v>0</v>
      </c>
      <c r="Z33" s="84"/>
      <c r="AA33" s="29">
        <f>X33*IFERROR(VLOOKUP(D33,'Brand List'!$B:$D,3,0),0)</f>
        <v>3360000</v>
      </c>
      <c r="AB33" s="29">
        <f>H33*IFERROR(VLOOKUP(D33,'Brand List'!$B:$D,3,0),0)</f>
        <v>3360000</v>
      </c>
      <c r="AC33" s="29">
        <f t="shared" si="7"/>
        <v>0</v>
      </c>
      <c r="AD33" s="2"/>
    </row>
    <row r="34" spans="1:30" ht="14.25" customHeight="1">
      <c r="A34" s="20" t="str">
        <f t="shared" si="8"/>
        <v>SLT20</v>
      </c>
      <c r="B34" s="83" t="s">
        <v>106</v>
      </c>
      <c r="C34" s="84" t="s">
        <v>111</v>
      </c>
      <c r="D34" s="84" t="s">
        <v>112</v>
      </c>
      <c r="E34" s="85" t="s">
        <v>110</v>
      </c>
      <c r="F34" s="86" t="s">
        <v>90</v>
      </c>
      <c r="G34" s="87"/>
      <c r="H34" s="88">
        <v>400</v>
      </c>
      <c r="I34" s="89" t="str">
        <f t="shared" si="4"/>
        <v>Partial Delivery</v>
      </c>
      <c r="J34" s="90">
        <v>100</v>
      </c>
      <c r="K34" s="302"/>
      <c r="L34" s="90"/>
      <c r="M34" s="302"/>
      <c r="N34" s="90">
        <v>100</v>
      </c>
      <c r="O34" s="302"/>
      <c r="P34" s="90"/>
      <c r="Q34" s="302"/>
      <c r="R34" s="92"/>
      <c r="S34" s="306"/>
      <c r="T34" s="90">
        <v>200</v>
      </c>
      <c r="U34" s="302"/>
      <c r="V34" s="92"/>
      <c r="W34" s="306"/>
      <c r="X34" s="90">
        <f t="shared" si="5"/>
        <v>400</v>
      </c>
      <c r="Y34" s="91">
        <f t="shared" si="6"/>
        <v>0</v>
      </c>
      <c r="Z34" s="84"/>
      <c r="AA34" s="29">
        <f>X34*IFERROR(VLOOKUP(D34,'Brand List'!$B:$D,3,0),0)</f>
        <v>3840000</v>
      </c>
      <c r="AB34" s="29">
        <f>H34*IFERROR(VLOOKUP(D34,'Brand List'!$B:$D,3,0),0)</f>
        <v>3840000</v>
      </c>
      <c r="AC34" s="29">
        <f t="shared" si="7"/>
        <v>0</v>
      </c>
      <c r="AD34" s="2"/>
    </row>
    <row r="35" spans="1:30" ht="14.25" customHeight="1">
      <c r="A35" s="20" t="str">
        <f t="shared" si="8"/>
        <v>KBL12</v>
      </c>
      <c r="B35" s="94" t="s">
        <v>113</v>
      </c>
      <c r="C35" s="49" t="s">
        <v>24</v>
      </c>
      <c r="D35" s="50" t="s">
        <v>114</v>
      </c>
      <c r="E35" s="51" t="s">
        <v>115</v>
      </c>
      <c r="F35" s="95" t="s">
        <v>90</v>
      </c>
      <c r="G35" s="96"/>
      <c r="H35" s="97">
        <v>40</v>
      </c>
      <c r="I35" s="98" t="str">
        <f t="shared" si="4"/>
        <v>Delivery</v>
      </c>
      <c r="J35" s="99"/>
      <c r="K35" s="303"/>
      <c r="L35" s="99"/>
      <c r="M35" s="303"/>
      <c r="N35" s="103">
        <v>40</v>
      </c>
      <c r="O35" s="303">
        <v>1</v>
      </c>
      <c r="P35" s="99"/>
      <c r="Q35" s="303"/>
      <c r="R35" s="100"/>
      <c r="S35" s="308"/>
      <c r="T35" s="99"/>
      <c r="U35" s="303"/>
      <c r="V35" s="100"/>
      <c r="W35" s="308"/>
      <c r="X35" s="99">
        <f t="shared" si="5"/>
        <v>40</v>
      </c>
      <c r="Y35" s="101">
        <f t="shared" si="6"/>
        <v>0</v>
      </c>
      <c r="Z35" s="50"/>
      <c r="AA35" s="29">
        <f>X35*IFERROR(VLOOKUP(D35,'Brand List'!$B:$D,3,0),0)</f>
        <v>384000</v>
      </c>
      <c r="AB35" s="29">
        <f>H35*IFERROR(VLOOKUP(D35,'Brand List'!$B:$D,3,0),0)</f>
        <v>384000</v>
      </c>
      <c r="AC35" s="29">
        <f t="shared" si="7"/>
        <v>0</v>
      </c>
      <c r="AD35" s="2"/>
    </row>
    <row r="36" spans="1:30" ht="14.25" customHeight="1">
      <c r="A36" s="20" t="str">
        <f t="shared" si="8"/>
        <v>LND20</v>
      </c>
      <c r="B36" s="94" t="s">
        <v>113</v>
      </c>
      <c r="C36" s="50" t="s">
        <v>111</v>
      </c>
      <c r="D36" s="50" t="s">
        <v>117</v>
      </c>
      <c r="E36" s="51" t="s">
        <v>118</v>
      </c>
      <c r="F36" s="95" t="s">
        <v>90</v>
      </c>
      <c r="G36" s="96"/>
      <c r="H36" s="97">
        <v>200</v>
      </c>
      <c r="I36" s="98" t="str">
        <f t="shared" si="4"/>
        <v>Delivery</v>
      </c>
      <c r="J36" s="99"/>
      <c r="K36" s="302"/>
      <c r="L36" s="99"/>
      <c r="M36" s="302"/>
      <c r="N36" s="99">
        <v>200</v>
      </c>
      <c r="O36" s="302"/>
      <c r="P36" s="99"/>
      <c r="Q36" s="302"/>
      <c r="R36" s="100"/>
      <c r="S36" s="310"/>
      <c r="T36" s="99"/>
      <c r="U36" s="302"/>
      <c r="V36" s="100"/>
      <c r="W36" s="310"/>
      <c r="X36" s="99">
        <f t="shared" si="5"/>
        <v>200</v>
      </c>
      <c r="Y36" s="101">
        <f t="shared" si="6"/>
        <v>0</v>
      </c>
      <c r="Z36" s="50"/>
      <c r="AA36" s="29">
        <f>X36*IFERROR(VLOOKUP(D36,'Brand List'!$B:$D,3,0),0)</f>
        <v>2400000</v>
      </c>
      <c r="AB36" s="29">
        <f>H36*IFERROR(VLOOKUP(D36,'Brand List'!$B:$D,3,0),0)</f>
        <v>2400000</v>
      </c>
      <c r="AC36" s="29">
        <f t="shared" si="7"/>
        <v>0</v>
      </c>
      <c r="AD36" s="2"/>
    </row>
    <row r="37" spans="1:30" ht="14.25" customHeight="1">
      <c r="A37" s="20" t="str">
        <f t="shared" si="8"/>
        <v>BAJ12</v>
      </c>
      <c r="B37" s="83" t="s">
        <v>119</v>
      </c>
      <c r="C37" s="84" t="s">
        <v>24</v>
      </c>
      <c r="D37" s="84" t="s">
        <v>120</v>
      </c>
      <c r="E37" s="85" t="s">
        <v>121</v>
      </c>
      <c r="F37" s="86" t="s">
        <v>122</v>
      </c>
      <c r="G37" s="87"/>
      <c r="H37" s="88">
        <v>0</v>
      </c>
      <c r="I37" s="89" t="str">
        <f t="shared" si="4"/>
        <v>No Delivery</v>
      </c>
      <c r="J37" s="90"/>
      <c r="K37" s="300"/>
      <c r="L37" s="90"/>
      <c r="M37" s="300">
        <v>1</v>
      </c>
      <c r="N37" s="90"/>
      <c r="O37" s="300"/>
      <c r="P37" s="90"/>
      <c r="Q37" s="300"/>
      <c r="R37" s="92"/>
      <c r="S37" s="304"/>
      <c r="T37" s="90"/>
      <c r="U37" s="300"/>
      <c r="V37" s="92"/>
      <c r="W37" s="304"/>
      <c r="X37" s="90">
        <f t="shared" si="5"/>
        <v>0</v>
      </c>
      <c r="Y37" s="91">
        <f t="shared" si="6"/>
        <v>0</v>
      </c>
      <c r="Z37" s="84"/>
      <c r="AA37" s="29">
        <f>X37*IFERROR(VLOOKUP(D37,'Brand List'!$B:$D,3,0),0)</f>
        <v>0</v>
      </c>
      <c r="AB37" s="29">
        <f>H37*IFERROR(VLOOKUP(D37,'Brand List'!$B:$D,3,0),0)</f>
        <v>0</v>
      </c>
      <c r="AC37" s="29">
        <f t="shared" si="7"/>
        <v>0</v>
      </c>
      <c r="AD37" s="2"/>
    </row>
    <row r="38" spans="1:30" ht="14.25" customHeight="1">
      <c r="A38" s="20" t="str">
        <f t="shared" si="8"/>
        <v>NIA16</v>
      </c>
      <c r="B38" s="83" t="s">
        <v>119</v>
      </c>
      <c r="C38" s="84" t="s">
        <v>24</v>
      </c>
      <c r="D38" s="84" t="s">
        <v>123</v>
      </c>
      <c r="E38" s="85" t="s">
        <v>124</v>
      </c>
      <c r="F38" s="86" t="s">
        <v>122</v>
      </c>
      <c r="G38" s="87"/>
      <c r="H38" s="88">
        <v>70</v>
      </c>
      <c r="I38" s="89" t="str">
        <f t="shared" si="4"/>
        <v>Delivery</v>
      </c>
      <c r="J38" s="90"/>
      <c r="K38" s="302"/>
      <c r="L38" s="90">
        <v>70</v>
      </c>
      <c r="M38" s="302"/>
      <c r="N38" s="90"/>
      <c r="O38" s="302"/>
      <c r="P38" s="90"/>
      <c r="Q38" s="302"/>
      <c r="R38" s="92"/>
      <c r="S38" s="306"/>
      <c r="T38" s="90"/>
      <c r="U38" s="302"/>
      <c r="V38" s="92"/>
      <c r="W38" s="306"/>
      <c r="X38" s="90">
        <f t="shared" si="5"/>
        <v>70</v>
      </c>
      <c r="Y38" s="91">
        <f t="shared" si="6"/>
        <v>0</v>
      </c>
      <c r="Z38" s="84"/>
      <c r="AA38" s="29">
        <f>X38*IFERROR(VLOOKUP(D38,'Brand List'!$B:$D,3,0),0)</f>
        <v>672000</v>
      </c>
      <c r="AB38" s="29">
        <f>H38*IFERROR(VLOOKUP(D38,'Brand List'!$B:$D,3,0),0)</f>
        <v>672000</v>
      </c>
      <c r="AC38" s="29">
        <f t="shared" si="7"/>
        <v>0</v>
      </c>
      <c r="AD38" s="2"/>
    </row>
    <row r="39" spans="1:30" ht="14.25" customHeight="1">
      <c r="A39" s="20" t="str">
        <f t="shared" si="8"/>
        <v>SLR12</v>
      </c>
      <c r="B39" s="94" t="s">
        <v>125</v>
      </c>
      <c r="C39" s="49" t="s">
        <v>24</v>
      </c>
      <c r="D39" s="50" t="s">
        <v>126</v>
      </c>
      <c r="E39" s="51" t="s">
        <v>127</v>
      </c>
      <c r="F39" s="95" t="s">
        <v>128</v>
      </c>
      <c r="G39" s="96"/>
      <c r="H39" s="97">
        <v>0</v>
      </c>
      <c r="I39" s="98" t="str">
        <f t="shared" si="4"/>
        <v>No Delivery</v>
      </c>
      <c r="J39" s="103"/>
      <c r="K39" s="307">
        <v>3</v>
      </c>
      <c r="L39" s="103"/>
      <c r="M39" s="307">
        <v>3</v>
      </c>
      <c r="N39" s="99"/>
      <c r="O39" s="303">
        <v>1</v>
      </c>
      <c r="P39" s="99"/>
      <c r="Q39" s="303">
        <v>1</v>
      </c>
      <c r="R39" s="100"/>
      <c r="S39" s="311">
        <v>1</v>
      </c>
      <c r="T39" s="103"/>
      <c r="U39" s="307"/>
      <c r="V39" s="108"/>
      <c r="W39" s="311"/>
      <c r="X39" s="99">
        <f t="shared" si="5"/>
        <v>0</v>
      </c>
      <c r="Y39" s="101">
        <f t="shared" si="6"/>
        <v>0</v>
      </c>
      <c r="Z39" s="50"/>
      <c r="AA39" s="29">
        <f>X39*IFERROR(VLOOKUP(D39,'Brand List'!$B:$D,3,0),0)</f>
        <v>0</v>
      </c>
      <c r="AB39" s="29">
        <f>H39*IFERROR(VLOOKUP(D39,'Brand List'!$B:$D,3,0),0)</f>
        <v>0</v>
      </c>
      <c r="AC39" s="29">
        <f t="shared" si="7"/>
        <v>0</v>
      </c>
      <c r="AD39" s="2"/>
    </row>
    <row r="40" spans="1:30" ht="14.25" customHeight="1">
      <c r="A40" s="20" t="str">
        <f t="shared" si="8"/>
        <v>SLP12</v>
      </c>
      <c r="B40" s="94" t="s">
        <v>125</v>
      </c>
      <c r="C40" s="49" t="s">
        <v>24</v>
      </c>
      <c r="D40" s="50" t="s">
        <v>129</v>
      </c>
      <c r="E40" s="51" t="s">
        <v>130</v>
      </c>
      <c r="F40" s="95" t="s">
        <v>128</v>
      </c>
      <c r="G40" s="96"/>
      <c r="H40" s="97">
        <v>650</v>
      </c>
      <c r="I40" s="98" t="str">
        <f t="shared" si="4"/>
        <v>Will be Updated</v>
      </c>
      <c r="J40" s="103"/>
      <c r="K40" s="301"/>
      <c r="L40" s="103"/>
      <c r="M40" s="301"/>
      <c r="N40" s="99"/>
      <c r="O40" s="301"/>
      <c r="P40" s="99"/>
      <c r="Q40" s="301"/>
      <c r="R40" s="100"/>
      <c r="S40" s="305"/>
      <c r="T40" s="103"/>
      <c r="U40" s="301"/>
      <c r="V40" s="108"/>
      <c r="W40" s="305"/>
      <c r="X40" s="99">
        <f t="shared" si="5"/>
        <v>0</v>
      </c>
      <c r="Y40" s="101">
        <f t="shared" si="6"/>
        <v>-650</v>
      </c>
      <c r="Z40" s="50" t="s">
        <v>296</v>
      </c>
      <c r="AA40" s="29">
        <f>X40*IFERROR(VLOOKUP(D40,'Brand List'!$B:$D,3,0),0)</f>
        <v>0</v>
      </c>
      <c r="AB40" s="29">
        <f>H40*IFERROR(VLOOKUP(D40,'Brand List'!$B:$D,3,0),0)</f>
        <v>6240000</v>
      </c>
      <c r="AC40" s="29">
        <f t="shared" si="7"/>
        <v>-6240000</v>
      </c>
      <c r="AD40" s="2" t="s">
        <v>297</v>
      </c>
    </row>
    <row r="41" spans="1:30" ht="14.25" customHeight="1">
      <c r="A41" s="20" t="str">
        <f t="shared" si="8"/>
        <v>SLO12</v>
      </c>
      <c r="B41" s="94" t="s">
        <v>125</v>
      </c>
      <c r="C41" s="49" t="s">
        <v>24</v>
      </c>
      <c r="D41" s="50" t="s">
        <v>132</v>
      </c>
      <c r="E41" s="51" t="s">
        <v>133</v>
      </c>
      <c r="F41" s="95" t="s">
        <v>128</v>
      </c>
      <c r="G41" s="96"/>
      <c r="H41" s="97">
        <v>200</v>
      </c>
      <c r="I41" s="98" t="str">
        <f t="shared" si="4"/>
        <v>Delivery</v>
      </c>
      <c r="J41" s="103">
        <v>150</v>
      </c>
      <c r="K41" s="301"/>
      <c r="L41" s="103"/>
      <c r="M41" s="301"/>
      <c r="N41" s="99"/>
      <c r="O41" s="301"/>
      <c r="P41" s="99"/>
      <c r="Q41" s="301"/>
      <c r="R41" s="100"/>
      <c r="S41" s="305"/>
      <c r="T41" s="103"/>
      <c r="U41" s="301"/>
      <c r="V41" s="108"/>
      <c r="W41" s="305"/>
      <c r="X41" s="99">
        <f t="shared" si="5"/>
        <v>150</v>
      </c>
      <c r="Y41" s="101">
        <f t="shared" si="6"/>
        <v>-50</v>
      </c>
      <c r="Z41" s="50"/>
      <c r="AA41" s="29">
        <f>X41*IFERROR(VLOOKUP(D41,'Brand List'!$B:$D,3,0),0)</f>
        <v>1440000</v>
      </c>
      <c r="AB41" s="29">
        <f>H41*IFERROR(VLOOKUP(D41,'Brand List'!$B:$D,3,0),0)</f>
        <v>1920000</v>
      </c>
      <c r="AC41" s="29">
        <f t="shared" si="7"/>
        <v>-480000</v>
      </c>
      <c r="AD41" s="2"/>
    </row>
    <row r="42" spans="1:30" ht="14.25" customHeight="1">
      <c r="A42" s="20" t="str">
        <f t="shared" si="8"/>
        <v>KPT12</v>
      </c>
      <c r="B42" s="94" t="s">
        <v>125</v>
      </c>
      <c r="C42" s="49" t="s">
        <v>24</v>
      </c>
      <c r="D42" s="50" t="s">
        <v>134</v>
      </c>
      <c r="E42" s="51" t="s">
        <v>135</v>
      </c>
      <c r="F42" s="95" t="s">
        <v>128</v>
      </c>
      <c r="G42" s="96"/>
      <c r="H42" s="97">
        <v>0</v>
      </c>
      <c r="I42" s="98" t="str">
        <f t="shared" si="4"/>
        <v>No Delivery</v>
      </c>
      <c r="J42" s="103"/>
      <c r="K42" s="301"/>
      <c r="L42" s="103"/>
      <c r="M42" s="301"/>
      <c r="N42" s="99"/>
      <c r="O42" s="301"/>
      <c r="P42" s="99"/>
      <c r="Q42" s="301"/>
      <c r="R42" s="100"/>
      <c r="S42" s="305"/>
      <c r="T42" s="103"/>
      <c r="U42" s="301"/>
      <c r="V42" s="108"/>
      <c r="W42" s="305"/>
      <c r="X42" s="99">
        <f t="shared" si="5"/>
        <v>0</v>
      </c>
      <c r="Y42" s="101">
        <f t="shared" si="6"/>
        <v>0</v>
      </c>
      <c r="Z42" s="50"/>
      <c r="AA42" s="29">
        <f>X42*IFERROR(VLOOKUP(D42,'Brand List'!$B:$D,3,0),0)</f>
        <v>0</v>
      </c>
      <c r="AB42" s="29">
        <f>H42*IFERROR(VLOOKUP(D42,'Brand List'!$B:$D,3,0),0)</f>
        <v>0</v>
      </c>
      <c r="AC42" s="29">
        <f t="shared" si="7"/>
        <v>0</v>
      </c>
      <c r="AD42" s="2"/>
    </row>
    <row r="43" spans="1:30" ht="14.25" customHeight="1">
      <c r="A43" s="20" t="str">
        <f t="shared" si="8"/>
        <v>RKT16</v>
      </c>
      <c r="B43" s="94" t="s">
        <v>136</v>
      </c>
      <c r="C43" s="50" t="s">
        <v>95</v>
      </c>
      <c r="D43" s="50" t="s">
        <v>137</v>
      </c>
      <c r="E43" s="51" t="s">
        <v>138</v>
      </c>
      <c r="F43" s="95" t="s">
        <v>139</v>
      </c>
      <c r="G43" s="96"/>
      <c r="H43" s="97">
        <v>1300</v>
      </c>
      <c r="I43" s="98" t="str">
        <f t="shared" si="4"/>
        <v>Partial Delivery</v>
      </c>
      <c r="J43" s="103">
        <v>150</v>
      </c>
      <c r="K43" s="301"/>
      <c r="L43" s="103">
        <v>150</v>
      </c>
      <c r="M43" s="301"/>
      <c r="N43" s="99">
        <v>150</v>
      </c>
      <c r="O43" s="301"/>
      <c r="P43" s="99">
        <v>150</v>
      </c>
      <c r="Q43" s="301"/>
      <c r="R43" s="99">
        <v>150</v>
      </c>
      <c r="S43" s="305"/>
      <c r="T43" s="103"/>
      <c r="U43" s="301"/>
      <c r="V43" s="103"/>
      <c r="W43" s="305"/>
      <c r="X43" s="99">
        <f t="shared" si="5"/>
        <v>750</v>
      </c>
      <c r="Y43" s="101">
        <f t="shared" si="6"/>
        <v>-550</v>
      </c>
      <c r="Z43" s="50" t="s">
        <v>298</v>
      </c>
      <c r="AA43" s="29">
        <f>X43*IFERROR(VLOOKUP(D43,'Brand List'!$B:$D,3,0),0)</f>
        <v>7200000</v>
      </c>
      <c r="AB43" s="29">
        <f>H43*IFERROR(VLOOKUP(D43,'Brand List'!$B:$D,3,0),0)</f>
        <v>12480000</v>
      </c>
      <c r="AC43" s="29">
        <f t="shared" si="7"/>
        <v>-5280000</v>
      </c>
      <c r="AD43" s="2"/>
    </row>
    <row r="44" spans="1:30" ht="14.25" customHeight="1">
      <c r="A44" s="20" t="str">
        <f t="shared" si="8"/>
        <v>VOK12</v>
      </c>
      <c r="B44" s="94" t="s">
        <v>141</v>
      </c>
      <c r="C44" s="49" t="s">
        <v>24</v>
      </c>
      <c r="D44" s="50" t="s">
        <v>142</v>
      </c>
      <c r="E44" s="51" t="s">
        <v>143</v>
      </c>
      <c r="F44" s="95" t="s">
        <v>139</v>
      </c>
      <c r="G44" s="96"/>
      <c r="H44" s="97">
        <v>10</v>
      </c>
      <c r="I44" s="98" t="str">
        <f t="shared" si="4"/>
        <v>Will be Updated</v>
      </c>
      <c r="J44" s="103"/>
      <c r="K44" s="301"/>
      <c r="L44" s="103"/>
      <c r="M44" s="301"/>
      <c r="N44" s="99"/>
      <c r="O44" s="301"/>
      <c r="P44" s="99"/>
      <c r="Q44" s="301"/>
      <c r="R44" s="99"/>
      <c r="S44" s="305"/>
      <c r="T44" s="103"/>
      <c r="U44" s="301"/>
      <c r="V44" s="108"/>
      <c r="W44" s="305"/>
      <c r="X44" s="99">
        <f t="shared" si="5"/>
        <v>0</v>
      </c>
      <c r="Y44" s="101">
        <f t="shared" si="6"/>
        <v>-10</v>
      </c>
      <c r="Z44" s="50" t="s">
        <v>299</v>
      </c>
      <c r="AA44" s="29">
        <f>X44*IFERROR(VLOOKUP(D44,'Brand List'!$B:$D,3,0),0)</f>
        <v>0</v>
      </c>
      <c r="AB44" s="29">
        <f>H44*IFERROR(VLOOKUP(D44,'Brand List'!$B:$D,3,0),0)</f>
        <v>96000</v>
      </c>
      <c r="AC44" s="29">
        <f t="shared" si="7"/>
        <v>-96000</v>
      </c>
      <c r="AD44" s="2"/>
    </row>
    <row r="45" spans="1:30" ht="14.25" customHeight="1">
      <c r="A45" s="20" t="str">
        <f t="shared" si="8"/>
        <v>NAT20</v>
      </c>
      <c r="B45" s="94" t="s">
        <v>144</v>
      </c>
      <c r="C45" s="50" t="s">
        <v>56</v>
      </c>
      <c r="D45" s="50" t="s">
        <v>145</v>
      </c>
      <c r="E45" s="51" t="s">
        <v>146</v>
      </c>
      <c r="F45" s="95" t="s">
        <v>139</v>
      </c>
      <c r="G45" s="96"/>
      <c r="H45" s="97">
        <v>2500</v>
      </c>
      <c r="I45" s="98" t="str">
        <f t="shared" si="4"/>
        <v>Partial Delivery</v>
      </c>
      <c r="J45" s="103">
        <v>400</v>
      </c>
      <c r="K45" s="301"/>
      <c r="L45" s="103">
        <v>400</v>
      </c>
      <c r="M45" s="301"/>
      <c r="N45" s="99">
        <v>400</v>
      </c>
      <c r="O45" s="301"/>
      <c r="P45" s="99"/>
      <c r="Q45" s="301"/>
      <c r="R45" s="99"/>
      <c r="S45" s="305"/>
      <c r="T45" s="103"/>
      <c r="U45" s="301"/>
      <c r="V45" s="108"/>
      <c r="W45" s="305"/>
      <c r="X45" s="99">
        <f t="shared" si="5"/>
        <v>1200</v>
      </c>
      <c r="Y45" s="101">
        <f t="shared" si="6"/>
        <v>-1300</v>
      </c>
      <c r="Z45" s="50" t="s">
        <v>300</v>
      </c>
      <c r="AA45" s="29">
        <f>X45*IFERROR(VLOOKUP(D45,'Brand List'!$B:$D,3,0),0)</f>
        <v>14400000</v>
      </c>
      <c r="AB45" s="29">
        <f>H45*IFERROR(VLOOKUP(D45,'Brand List'!$B:$D,3,0),0)</f>
        <v>30000000</v>
      </c>
      <c r="AC45" s="29">
        <f t="shared" si="7"/>
        <v>-15600000</v>
      </c>
      <c r="AD45" s="2"/>
    </row>
    <row r="46" spans="1:30" ht="14.25" customHeight="1">
      <c r="A46" s="20" t="str">
        <f t="shared" si="8"/>
        <v>NAT16</v>
      </c>
      <c r="B46" s="94" t="s">
        <v>144</v>
      </c>
      <c r="C46" s="50" t="s">
        <v>76</v>
      </c>
      <c r="D46" s="50" t="s">
        <v>148</v>
      </c>
      <c r="E46" s="51" t="s">
        <v>149</v>
      </c>
      <c r="F46" s="95" t="s">
        <v>139</v>
      </c>
      <c r="G46" s="96"/>
      <c r="H46" s="97">
        <v>400</v>
      </c>
      <c r="I46" s="98" t="str">
        <f t="shared" si="4"/>
        <v>Will be Updated</v>
      </c>
      <c r="J46" s="103"/>
      <c r="K46" s="301"/>
      <c r="L46" s="103"/>
      <c r="M46" s="301"/>
      <c r="N46" s="99"/>
      <c r="O46" s="301"/>
      <c r="P46" s="99"/>
      <c r="Q46" s="301"/>
      <c r="R46" s="99"/>
      <c r="S46" s="305"/>
      <c r="T46" s="103"/>
      <c r="U46" s="301"/>
      <c r="V46" s="103"/>
      <c r="W46" s="305"/>
      <c r="X46" s="99">
        <f t="shared" si="5"/>
        <v>0</v>
      </c>
      <c r="Y46" s="101">
        <f t="shared" si="6"/>
        <v>-400</v>
      </c>
      <c r="Z46" s="50" t="s">
        <v>301</v>
      </c>
      <c r="AA46" s="29">
        <f>X46*IFERROR(VLOOKUP(D46,'Brand List'!$B:$D,3,0),0)</f>
        <v>0</v>
      </c>
      <c r="AB46" s="29">
        <f>H46*IFERROR(VLOOKUP(D46,'Brand List'!$B:$D,3,0),0)</f>
        <v>3840000</v>
      </c>
      <c r="AC46" s="29">
        <f t="shared" si="7"/>
        <v>-3840000</v>
      </c>
      <c r="AD46" s="2" t="s">
        <v>297</v>
      </c>
    </row>
    <row r="47" spans="1:30" ht="14.25" customHeight="1">
      <c r="A47" s="20" t="str">
        <f t="shared" si="8"/>
        <v>NTL16</v>
      </c>
      <c r="B47" s="94" t="s">
        <v>144</v>
      </c>
      <c r="C47" s="50" t="s">
        <v>63</v>
      </c>
      <c r="D47" s="50" t="s">
        <v>151</v>
      </c>
      <c r="E47" s="51" t="s">
        <v>152</v>
      </c>
      <c r="F47" s="95" t="s">
        <v>139</v>
      </c>
      <c r="G47" s="96"/>
      <c r="H47" s="97">
        <v>0</v>
      </c>
      <c r="I47" s="98" t="str">
        <f t="shared" si="4"/>
        <v>No Delivery</v>
      </c>
      <c r="J47" s="103"/>
      <c r="K47" s="301"/>
      <c r="L47" s="103"/>
      <c r="M47" s="301"/>
      <c r="N47" s="99"/>
      <c r="O47" s="301"/>
      <c r="P47" s="99"/>
      <c r="Q47" s="301"/>
      <c r="R47" s="99"/>
      <c r="S47" s="305"/>
      <c r="T47" s="103"/>
      <c r="U47" s="301"/>
      <c r="V47" s="108"/>
      <c r="W47" s="305"/>
      <c r="X47" s="99">
        <f t="shared" si="5"/>
        <v>0</v>
      </c>
      <c r="Y47" s="101">
        <f t="shared" si="6"/>
        <v>0</v>
      </c>
      <c r="Z47" s="50"/>
      <c r="AA47" s="29">
        <f>X47*IFERROR(VLOOKUP(D47,'Brand List'!$B:$D,3,0),0)</f>
        <v>0</v>
      </c>
      <c r="AB47" s="29">
        <f>H47*IFERROR(VLOOKUP(D47,'Brand List'!$B:$D,3,0),0)</f>
        <v>0</v>
      </c>
      <c r="AC47" s="29">
        <f t="shared" si="7"/>
        <v>0</v>
      </c>
      <c r="AD47" s="2"/>
    </row>
    <row r="48" spans="1:30" ht="14.25" customHeight="1">
      <c r="A48" s="20" t="str">
        <f t="shared" si="8"/>
        <v>NAG20</v>
      </c>
      <c r="B48" s="94" t="s">
        <v>144</v>
      </c>
      <c r="C48" s="50" t="s">
        <v>56</v>
      </c>
      <c r="D48" s="50" t="s">
        <v>153</v>
      </c>
      <c r="E48" s="51" t="s">
        <v>154</v>
      </c>
      <c r="F48" s="95" t="s">
        <v>139</v>
      </c>
      <c r="G48" s="96"/>
      <c r="H48" s="97">
        <v>1500</v>
      </c>
      <c r="I48" s="98" t="str">
        <f t="shared" si="4"/>
        <v>Partial Delivery</v>
      </c>
      <c r="J48" s="103"/>
      <c r="K48" s="301"/>
      <c r="L48" s="103"/>
      <c r="M48" s="301"/>
      <c r="N48" s="99"/>
      <c r="O48" s="301"/>
      <c r="P48" s="99">
        <v>400</v>
      </c>
      <c r="Q48" s="301"/>
      <c r="R48" s="99">
        <v>400</v>
      </c>
      <c r="S48" s="305"/>
      <c r="T48" s="103"/>
      <c r="U48" s="301"/>
      <c r="V48" s="108"/>
      <c r="W48" s="305"/>
      <c r="X48" s="99">
        <f t="shared" si="5"/>
        <v>800</v>
      </c>
      <c r="Y48" s="101">
        <f t="shared" si="6"/>
        <v>-700</v>
      </c>
      <c r="Z48" s="50" t="s">
        <v>302</v>
      </c>
      <c r="AA48" s="29">
        <f>X48*IFERROR(VLOOKUP(D48,'Brand List'!$B:$D,3,0),0)</f>
        <v>9600000</v>
      </c>
      <c r="AB48" s="29">
        <f>H48*IFERROR(VLOOKUP(D48,'Brand List'!$B:$D,3,0),0)</f>
        <v>18000000</v>
      </c>
      <c r="AC48" s="29">
        <f t="shared" si="7"/>
        <v>-8400000</v>
      </c>
      <c r="AD48" s="2"/>
    </row>
    <row r="49" spans="1:30" ht="14.25" customHeight="1">
      <c r="A49" s="20" t="str">
        <f t="shared" si="8"/>
        <v>OEM10</v>
      </c>
      <c r="B49" s="94" t="s">
        <v>144</v>
      </c>
      <c r="C49" s="49" t="s">
        <v>156</v>
      </c>
      <c r="D49" s="50" t="s">
        <v>157</v>
      </c>
      <c r="E49" s="51" t="s">
        <v>158</v>
      </c>
      <c r="F49" s="95" t="s">
        <v>139</v>
      </c>
      <c r="G49" s="96"/>
      <c r="H49" s="97">
        <v>500</v>
      </c>
      <c r="I49" s="98" t="str">
        <f t="shared" si="4"/>
        <v>Will be Updated</v>
      </c>
      <c r="J49" s="103"/>
      <c r="K49" s="301"/>
      <c r="L49" s="103"/>
      <c r="M49" s="301"/>
      <c r="N49" s="99"/>
      <c r="O49" s="301"/>
      <c r="P49" s="99"/>
      <c r="Q49" s="301"/>
      <c r="R49" s="99"/>
      <c r="S49" s="305"/>
      <c r="T49" s="103"/>
      <c r="U49" s="301"/>
      <c r="V49" s="108"/>
      <c r="W49" s="305"/>
      <c r="X49" s="99">
        <f t="shared" si="5"/>
        <v>0</v>
      </c>
      <c r="Y49" s="101">
        <f t="shared" si="6"/>
        <v>-500</v>
      </c>
      <c r="Z49" s="50" t="s">
        <v>303</v>
      </c>
      <c r="AA49" s="29">
        <f>X49*IFERROR(VLOOKUP(D49,'Brand List'!$B:$D,3,0),0)</f>
        <v>0</v>
      </c>
      <c r="AB49" s="29">
        <f>H49*IFERROR(VLOOKUP(D49,'Brand List'!$B:$D,3,0),0)</f>
        <v>4000000</v>
      </c>
      <c r="AC49" s="29">
        <f t="shared" si="7"/>
        <v>-4000000</v>
      </c>
      <c r="AD49" s="2"/>
    </row>
    <row r="50" spans="1:30" ht="14.25" customHeight="1">
      <c r="A50" s="20" t="str">
        <f t="shared" si="8"/>
        <v>OES12</v>
      </c>
      <c r="B50" s="94" t="s">
        <v>144</v>
      </c>
      <c r="C50" s="49" t="s">
        <v>24</v>
      </c>
      <c r="D50" s="50" t="s">
        <v>160</v>
      </c>
      <c r="E50" s="51" t="s">
        <v>161</v>
      </c>
      <c r="F50" s="95" t="s">
        <v>139</v>
      </c>
      <c r="G50" s="96"/>
      <c r="H50" s="97">
        <v>100</v>
      </c>
      <c r="I50" s="98" t="str">
        <f t="shared" si="4"/>
        <v>Will be Updated</v>
      </c>
      <c r="J50" s="103"/>
      <c r="K50" s="301"/>
      <c r="L50" s="103"/>
      <c r="M50" s="301"/>
      <c r="N50" s="99"/>
      <c r="O50" s="301"/>
      <c r="P50" s="99"/>
      <c r="Q50" s="301"/>
      <c r="R50" s="99"/>
      <c r="S50" s="305"/>
      <c r="T50" s="103"/>
      <c r="U50" s="301"/>
      <c r="V50" s="108"/>
      <c r="W50" s="305"/>
      <c r="X50" s="99">
        <f t="shared" si="5"/>
        <v>0</v>
      </c>
      <c r="Y50" s="101">
        <f t="shared" si="6"/>
        <v>-100</v>
      </c>
      <c r="Z50" s="50" t="s">
        <v>304</v>
      </c>
      <c r="AA50" s="29">
        <f>X50*IFERROR(VLOOKUP(D50,'Brand List'!$B:$D,3,0),0)</f>
        <v>0</v>
      </c>
      <c r="AB50" s="29">
        <f>H50*IFERROR(VLOOKUP(D50,'Brand List'!$B:$D,3,0),0)</f>
        <v>960000</v>
      </c>
      <c r="AC50" s="29">
        <f t="shared" si="7"/>
        <v>-960000</v>
      </c>
      <c r="AD50" s="2"/>
    </row>
    <row r="51" spans="1:30" ht="14.25" customHeight="1">
      <c r="A51" s="20" t="str">
        <f t="shared" si="8"/>
        <v>OEC10</v>
      </c>
      <c r="B51" s="94" t="s">
        <v>144</v>
      </c>
      <c r="C51" s="49" t="s">
        <v>156</v>
      </c>
      <c r="D51" s="50" t="s">
        <v>163</v>
      </c>
      <c r="E51" s="51" t="s">
        <v>164</v>
      </c>
      <c r="F51" s="95" t="s">
        <v>139</v>
      </c>
      <c r="G51" s="96"/>
      <c r="H51" s="97">
        <v>100</v>
      </c>
      <c r="I51" s="98" t="str">
        <f t="shared" si="4"/>
        <v>Delivery</v>
      </c>
      <c r="J51" s="103"/>
      <c r="K51" s="301"/>
      <c r="L51" s="103">
        <v>50</v>
      </c>
      <c r="M51" s="301"/>
      <c r="N51" s="99"/>
      <c r="O51" s="301"/>
      <c r="P51" s="99"/>
      <c r="Q51" s="301"/>
      <c r="R51" s="99"/>
      <c r="S51" s="305"/>
      <c r="T51" s="103"/>
      <c r="U51" s="301"/>
      <c r="V51" s="108"/>
      <c r="W51" s="305"/>
      <c r="X51" s="99">
        <f t="shared" si="5"/>
        <v>50</v>
      </c>
      <c r="Y51" s="101">
        <f t="shared" si="6"/>
        <v>-50</v>
      </c>
      <c r="Z51" s="50" t="s">
        <v>305</v>
      </c>
      <c r="AA51" s="29">
        <f>X51*IFERROR(VLOOKUP(D51,'Brand List'!$B:$D,3,0),0)</f>
        <v>400000</v>
      </c>
      <c r="AB51" s="29">
        <f>H51*IFERROR(VLOOKUP(D51,'Brand List'!$B:$D,3,0),0)</f>
        <v>800000</v>
      </c>
      <c r="AC51" s="29">
        <f t="shared" si="7"/>
        <v>-400000</v>
      </c>
      <c r="AD51" s="2"/>
    </row>
    <row r="52" spans="1:30" ht="14.25" customHeight="1">
      <c r="A52" s="20" t="str">
        <f t="shared" si="8"/>
        <v>OEB12</v>
      </c>
      <c r="B52" s="94" t="s">
        <v>144</v>
      </c>
      <c r="C52" s="50" t="s">
        <v>70</v>
      </c>
      <c r="D52" s="50" t="s">
        <v>166</v>
      </c>
      <c r="E52" s="51" t="s">
        <v>167</v>
      </c>
      <c r="F52" s="95" t="s">
        <v>139</v>
      </c>
      <c r="G52" s="96"/>
      <c r="H52" s="97">
        <v>100</v>
      </c>
      <c r="I52" s="98" t="str">
        <f t="shared" si="4"/>
        <v>Delivery</v>
      </c>
      <c r="J52" s="103"/>
      <c r="K52" s="301"/>
      <c r="L52" s="103">
        <v>100</v>
      </c>
      <c r="M52" s="301"/>
      <c r="N52" s="99"/>
      <c r="O52" s="301"/>
      <c r="P52" s="99"/>
      <c r="Q52" s="301"/>
      <c r="R52" s="99"/>
      <c r="S52" s="305"/>
      <c r="T52" s="103"/>
      <c r="U52" s="301"/>
      <c r="V52" s="108"/>
      <c r="W52" s="305"/>
      <c r="X52" s="99">
        <f t="shared" si="5"/>
        <v>100</v>
      </c>
      <c r="Y52" s="101">
        <f t="shared" si="6"/>
        <v>0</v>
      </c>
      <c r="Z52" s="50" t="s">
        <v>168</v>
      </c>
      <c r="AA52" s="29">
        <f>X52*IFERROR(VLOOKUP(D52,'Brand List'!$B:$D,3,0),0)</f>
        <v>960000</v>
      </c>
      <c r="AB52" s="29">
        <f>H52*IFERROR(VLOOKUP(D52,'Brand List'!$B:$D,3,0),0)</f>
        <v>960000</v>
      </c>
      <c r="AC52" s="29">
        <f t="shared" si="7"/>
        <v>0</v>
      </c>
      <c r="AD52" s="2"/>
    </row>
    <row r="53" spans="1:30" ht="14.25" customHeight="1">
      <c r="A53" s="20" t="str">
        <f t="shared" si="8"/>
        <v>OEB16</v>
      </c>
      <c r="B53" s="94" t="s">
        <v>144</v>
      </c>
      <c r="C53" s="50" t="s">
        <v>76</v>
      </c>
      <c r="D53" s="50" t="s">
        <v>169</v>
      </c>
      <c r="E53" s="51" t="s">
        <v>170</v>
      </c>
      <c r="F53" s="95" t="s">
        <v>139</v>
      </c>
      <c r="G53" s="96"/>
      <c r="H53" s="97">
        <v>0</v>
      </c>
      <c r="I53" s="98" t="str">
        <f t="shared" si="4"/>
        <v>No Delivery</v>
      </c>
      <c r="J53" s="103"/>
      <c r="K53" s="301"/>
      <c r="L53" s="103"/>
      <c r="M53" s="301"/>
      <c r="N53" s="99"/>
      <c r="O53" s="301"/>
      <c r="P53" s="99"/>
      <c r="Q53" s="301"/>
      <c r="R53" s="100"/>
      <c r="S53" s="305"/>
      <c r="T53" s="103"/>
      <c r="U53" s="301"/>
      <c r="V53" s="108"/>
      <c r="W53" s="305"/>
      <c r="X53" s="99">
        <f t="shared" si="5"/>
        <v>0</v>
      </c>
      <c r="Y53" s="101">
        <f t="shared" si="6"/>
        <v>0</v>
      </c>
      <c r="Z53" s="50"/>
      <c r="AA53" s="29">
        <f>X53*IFERROR(VLOOKUP(D53,'Brand List'!$B:$D,3,0),0)</f>
        <v>0</v>
      </c>
      <c r="AB53" s="29">
        <f>H53*IFERROR(VLOOKUP(D53,'Brand List'!$B:$D,3,0),0)</f>
        <v>0</v>
      </c>
      <c r="AC53" s="29">
        <f t="shared" si="7"/>
        <v>0</v>
      </c>
      <c r="AD53" s="2"/>
    </row>
    <row r="54" spans="1:30" ht="14.25" customHeight="1">
      <c r="A54" s="20" t="str">
        <f t="shared" si="8"/>
        <v>OEB20</v>
      </c>
      <c r="B54" s="94" t="s">
        <v>144</v>
      </c>
      <c r="C54" s="50" t="s">
        <v>56</v>
      </c>
      <c r="D54" s="50" t="s">
        <v>171</v>
      </c>
      <c r="E54" s="51" t="s">
        <v>172</v>
      </c>
      <c r="F54" s="95" t="s">
        <v>139</v>
      </c>
      <c r="G54" s="96"/>
      <c r="H54" s="97">
        <v>0</v>
      </c>
      <c r="I54" s="98" t="str">
        <f t="shared" si="4"/>
        <v>No Delivery</v>
      </c>
      <c r="J54" s="103"/>
      <c r="K54" s="302"/>
      <c r="L54" s="103"/>
      <c r="M54" s="302"/>
      <c r="N54" s="99"/>
      <c r="O54" s="301"/>
      <c r="P54" s="99"/>
      <c r="Q54" s="302"/>
      <c r="R54" s="100"/>
      <c r="S54" s="306"/>
      <c r="T54" s="103"/>
      <c r="U54" s="302"/>
      <c r="V54" s="108"/>
      <c r="W54" s="306"/>
      <c r="X54" s="99">
        <f t="shared" si="5"/>
        <v>0</v>
      </c>
      <c r="Y54" s="101">
        <f t="shared" si="6"/>
        <v>0</v>
      </c>
      <c r="Z54" s="50"/>
      <c r="AA54" s="29">
        <f>X54*IFERROR(VLOOKUP(D54,'Brand List'!$B:$D,3,0),0)</f>
        <v>0</v>
      </c>
      <c r="AB54" s="29">
        <f>H54*IFERROR(VLOOKUP(D54,'Brand List'!$B:$D,3,0),0)</f>
        <v>0</v>
      </c>
      <c r="AC54" s="29">
        <f t="shared" si="7"/>
        <v>0</v>
      </c>
      <c r="AD54" s="2"/>
    </row>
    <row r="55" spans="1:30" ht="14.25" customHeight="1">
      <c r="A55" s="20" t="str">
        <f t="shared" si="8"/>
        <v>ONG16</v>
      </c>
      <c r="B55" s="94" t="s">
        <v>144</v>
      </c>
      <c r="C55" s="50" t="s">
        <v>95</v>
      </c>
      <c r="D55" s="50" t="s">
        <v>173</v>
      </c>
      <c r="E55" s="51" t="s">
        <v>170</v>
      </c>
      <c r="F55" s="95" t="s">
        <v>139</v>
      </c>
      <c r="G55" s="96"/>
      <c r="H55" s="97">
        <v>100</v>
      </c>
      <c r="I55" s="98" t="str">
        <f t="shared" si="4"/>
        <v>Delivery</v>
      </c>
      <c r="J55" s="103"/>
      <c r="K55" s="109"/>
      <c r="L55" s="103">
        <v>50</v>
      </c>
      <c r="M55" s="109"/>
      <c r="N55" s="99"/>
      <c r="O55" s="302"/>
      <c r="P55" s="99"/>
      <c r="Q55" s="101"/>
      <c r="R55" s="100"/>
      <c r="S55" s="110"/>
      <c r="T55" s="103"/>
      <c r="U55" s="109"/>
      <c r="V55" s="108"/>
      <c r="W55" s="110"/>
      <c r="X55" s="99">
        <f t="shared" si="5"/>
        <v>50</v>
      </c>
      <c r="Y55" s="101">
        <f t="shared" si="6"/>
        <v>-50</v>
      </c>
      <c r="Z55" s="50" t="s">
        <v>306</v>
      </c>
      <c r="AA55" s="29">
        <f>X55*IFERROR(VLOOKUP(D55,'Brand List'!$B:$D,3,0),0)</f>
        <v>480000</v>
      </c>
      <c r="AB55" s="29">
        <f>H55*IFERROR(VLOOKUP(D55,'Brand List'!$B:$D,3,0),0)</f>
        <v>960000</v>
      </c>
      <c r="AC55" s="29">
        <f t="shared" si="7"/>
        <v>-480000</v>
      </c>
      <c r="AD55" s="2"/>
    </row>
    <row r="56" spans="1:30" ht="14.25" customHeight="1">
      <c r="A56" s="111"/>
      <c r="B56" s="83" t="s">
        <v>175</v>
      </c>
      <c r="C56" s="84" t="s">
        <v>24</v>
      </c>
      <c r="D56" s="84" t="s">
        <v>176</v>
      </c>
      <c r="E56" s="85" t="s">
        <v>177</v>
      </c>
      <c r="F56" s="86" t="s">
        <v>307</v>
      </c>
      <c r="G56" s="87"/>
      <c r="H56" s="88">
        <v>275</v>
      </c>
      <c r="I56" s="89" t="str">
        <f t="shared" si="4"/>
        <v>Will be Updated</v>
      </c>
      <c r="J56" s="90"/>
      <c r="K56" s="300"/>
      <c r="L56" s="90"/>
      <c r="M56" s="300"/>
      <c r="N56" s="90"/>
      <c r="O56" s="300"/>
      <c r="P56" s="90"/>
      <c r="Q56" s="300"/>
      <c r="R56" s="92"/>
      <c r="S56" s="300"/>
      <c r="T56" s="90"/>
      <c r="U56" s="300"/>
      <c r="V56" s="92"/>
      <c r="W56" s="300"/>
      <c r="X56" s="90">
        <f t="shared" si="5"/>
        <v>0</v>
      </c>
      <c r="Y56" s="91">
        <f t="shared" si="6"/>
        <v>-275</v>
      </c>
      <c r="Z56" s="84" t="s">
        <v>308</v>
      </c>
      <c r="AA56" s="29">
        <f>X56*IFERROR(VLOOKUP(D56,'Brand List'!$B:$D,3,0),0)</f>
        <v>0</v>
      </c>
      <c r="AB56" s="29">
        <f>H56*IFERROR(VLOOKUP(D56,'Brand List'!$B:$D,3,0),0)</f>
        <v>2640000</v>
      </c>
      <c r="AC56" s="29">
        <f t="shared" si="7"/>
        <v>-2640000</v>
      </c>
    </row>
    <row r="57" spans="1:30" ht="14.25" customHeight="1">
      <c r="A57" s="111"/>
      <c r="B57" s="83" t="s">
        <v>175</v>
      </c>
      <c r="C57" s="84" t="s">
        <v>24</v>
      </c>
      <c r="D57" s="84" t="s">
        <v>179</v>
      </c>
      <c r="E57" s="85" t="s">
        <v>180</v>
      </c>
      <c r="F57" s="86" t="s">
        <v>307</v>
      </c>
      <c r="G57" s="87"/>
      <c r="H57" s="88">
        <v>100</v>
      </c>
      <c r="I57" s="89" t="str">
        <f t="shared" si="4"/>
        <v>Will be Updated</v>
      </c>
      <c r="J57" s="90"/>
      <c r="K57" s="301"/>
      <c r="L57" s="90"/>
      <c r="M57" s="301"/>
      <c r="N57" s="90"/>
      <c r="O57" s="301"/>
      <c r="P57" s="90"/>
      <c r="Q57" s="301"/>
      <c r="R57" s="92"/>
      <c r="S57" s="301"/>
      <c r="T57" s="90"/>
      <c r="U57" s="301"/>
      <c r="V57" s="92"/>
      <c r="W57" s="301"/>
      <c r="X57" s="90">
        <f t="shared" si="5"/>
        <v>0</v>
      </c>
      <c r="Y57" s="91">
        <f t="shared" si="6"/>
        <v>-100</v>
      </c>
      <c r="Z57" s="84" t="s">
        <v>309</v>
      </c>
      <c r="AA57" s="29">
        <f>X57*IFERROR(VLOOKUP(D57,'Brand List'!$B:$D,3,0),0)</f>
        <v>0</v>
      </c>
      <c r="AB57" s="29">
        <f>H57*IFERROR(VLOOKUP(D57,'Brand List'!$B:$D,3,0),0)</f>
        <v>960000</v>
      </c>
      <c r="AC57" s="29">
        <f t="shared" si="7"/>
        <v>-960000</v>
      </c>
    </row>
    <row r="58" spans="1:30" ht="14.25" customHeight="1">
      <c r="A58" s="111"/>
      <c r="B58" s="83" t="s">
        <v>175</v>
      </c>
      <c r="C58" s="84" t="s">
        <v>24</v>
      </c>
      <c r="D58" s="84" t="s">
        <v>182</v>
      </c>
      <c r="E58" s="85" t="s">
        <v>183</v>
      </c>
      <c r="F58" s="86" t="s">
        <v>307</v>
      </c>
      <c r="G58" s="87"/>
      <c r="H58" s="88">
        <v>0</v>
      </c>
      <c r="I58" s="89" t="str">
        <f t="shared" si="4"/>
        <v>No Delivery</v>
      </c>
      <c r="J58" s="90"/>
      <c r="K58" s="302"/>
      <c r="L58" s="90"/>
      <c r="M58" s="302"/>
      <c r="N58" s="90"/>
      <c r="O58" s="302"/>
      <c r="P58" s="90"/>
      <c r="Q58" s="302"/>
      <c r="R58" s="92"/>
      <c r="S58" s="302"/>
      <c r="T58" s="90"/>
      <c r="U58" s="302"/>
      <c r="V58" s="92"/>
      <c r="W58" s="302"/>
      <c r="X58" s="90">
        <f t="shared" si="5"/>
        <v>0</v>
      </c>
      <c r="Y58" s="91">
        <f t="shared" si="6"/>
        <v>0</v>
      </c>
      <c r="Z58" s="84" t="s">
        <v>310</v>
      </c>
      <c r="AA58" s="29">
        <f>X58*IFERROR(VLOOKUP(D58,'Brand List'!$B:$D,3,0),0)</f>
        <v>0</v>
      </c>
      <c r="AB58" s="29">
        <f>H58*IFERROR(VLOOKUP(D58,'Brand List'!$B:$D,3,0),0)</f>
        <v>0</v>
      </c>
      <c r="AC58" s="29">
        <f t="shared" si="7"/>
        <v>0</v>
      </c>
    </row>
    <row r="59" spans="1:30" ht="14.25" customHeight="1">
      <c r="A59" s="20" t="str">
        <f t="shared" ref="A59:A64" si="9">D59</f>
        <v>LOJ12</v>
      </c>
      <c r="B59" s="94" t="s">
        <v>185</v>
      </c>
      <c r="C59" s="50" t="s">
        <v>24</v>
      </c>
      <c r="D59" s="50" t="s">
        <v>186</v>
      </c>
      <c r="E59" s="104" t="s">
        <v>187</v>
      </c>
      <c r="F59" s="105" t="s">
        <v>188</v>
      </c>
      <c r="G59" s="96"/>
      <c r="H59" s="106">
        <v>40</v>
      </c>
      <c r="I59" s="107" t="str">
        <f t="shared" si="4"/>
        <v>Delivery</v>
      </c>
      <c r="J59" s="99"/>
      <c r="K59" s="303"/>
      <c r="L59" s="99"/>
      <c r="M59" s="303"/>
      <c r="N59" s="99">
        <v>40</v>
      </c>
      <c r="O59" s="303">
        <v>1</v>
      </c>
      <c r="P59" s="99"/>
      <c r="Q59" s="303"/>
      <c r="R59" s="100"/>
      <c r="S59" s="308"/>
      <c r="T59" s="99"/>
      <c r="U59" s="303"/>
      <c r="V59" s="100"/>
      <c r="W59" s="308"/>
      <c r="X59" s="99">
        <f t="shared" si="5"/>
        <v>40</v>
      </c>
      <c r="Y59" s="101">
        <f t="shared" si="6"/>
        <v>0</v>
      </c>
      <c r="Z59" s="50"/>
      <c r="AA59" s="29">
        <f>X59*IFERROR(VLOOKUP(D59,'Brand List'!$B:$D,3,0),0)</f>
        <v>384000</v>
      </c>
      <c r="AB59" s="29">
        <f>H59*IFERROR(VLOOKUP(D59,'Brand List'!$B:$D,3,0),0)</f>
        <v>384000</v>
      </c>
      <c r="AC59" s="29">
        <f t="shared" si="7"/>
        <v>0</v>
      </c>
    </row>
    <row r="60" spans="1:30" ht="14.25" customHeight="1">
      <c r="A60" s="20" t="str">
        <f t="shared" si="9"/>
        <v>LOK12</v>
      </c>
      <c r="B60" s="94" t="s">
        <v>185</v>
      </c>
      <c r="C60" s="50" t="s">
        <v>24</v>
      </c>
      <c r="D60" s="50" t="s">
        <v>189</v>
      </c>
      <c r="E60" s="104" t="s">
        <v>190</v>
      </c>
      <c r="F60" s="105" t="s">
        <v>188</v>
      </c>
      <c r="G60" s="96"/>
      <c r="H60" s="106">
        <v>0</v>
      </c>
      <c r="I60" s="107" t="str">
        <f t="shared" si="4"/>
        <v>No Delivery</v>
      </c>
      <c r="J60" s="99"/>
      <c r="K60" s="302"/>
      <c r="L60" s="99"/>
      <c r="M60" s="302"/>
      <c r="N60" s="99"/>
      <c r="O60" s="302"/>
      <c r="P60" s="99"/>
      <c r="Q60" s="302"/>
      <c r="R60" s="100"/>
      <c r="S60" s="310"/>
      <c r="T60" s="99"/>
      <c r="U60" s="302"/>
      <c r="V60" s="100"/>
      <c r="W60" s="310"/>
      <c r="X60" s="99">
        <f t="shared" si="5"/>
        <v>0</v>
      </c>
      <c r="Y60" s="101">
        <f t="shared" si="6"/>
        <v>0</v>
      </c>
      <c r="Z60" s="50"/>
      <c r="AA60" s="29">
        <f>X60*IFERROR(VLOOKUP(D60,'Brand List'!$B:$D,3,0),0)</f>
        <v>0</v>
      </c>
      <c r="AB60" s="29">
        <f>H60*IFERROR(VLOOKUP(D60,'Brand List'!$B:$D,3,0),0)</f>
        <v>0</v>
      </c>
      <c r="AC60" s="29">
        <f t="shared" si="7"/>
        <v>0</v>
      </c>
    </row>
    <row r="61" spans="1:30" ht="14.25" customHeight="1">
      <c r="A61" s="111" t="str">
        <f t="shared" si="9"/>
        <v>SGR12</v>
      </c>
      <c r="B61" s="83" t="s">
        <v>191</v>
      </c>
      <c r="C61" s="84" t="s">
        <v>24</v>
      </c>
      <c r="D61" s="84" t="s">
        <v>192</v>
      </c>
      <c r="E61" s="85" t="s">
        <v>193</v>
      </c>
      <c r="F61" s="86" t="s">
        <v>188</v>
      </c>
      <c r="G61" s="87"/>
      <c r="H61" s="88">
        <v>30</v>
      </c>
      <c r="I61" s="89" t="str">
        <f t="shared" si="4"/>
        <v>Delivery</v>
      </c>
      <c r="J61" s="90"/>
      <c r="K61" s="300"/>
      <c r="L61" s="90"/>
      <c r="M61" s="300"/>
      <c r="N61" s="90"/>
      <c r="O61" s="300"/>
      <c r="P61" s="90"/>
      <c r="Q61" s="300"/>
      <c r="R61" s="92"/>
      <c r="S61" s="300"/>
      <c r="T61" s="90">
        <v>30</v>
      </c>
      <c r="U61" s="300">
        <v>1</v>
      </c>
      <c r="V61" s="92"/>
      <c r="W61" s="300"/>
      <c r="X61" s="90">
        <f t="shared" si="5"/>
        <v>30</v>
      </c>
      <c r="Y61" s="91">
        <f t="shared" si="6"/>
        <v>0</v>
      </c>
      <c r="Z61" s="84"/>
      <c r="AA61" s="29">
        <f>X61*IFERROR(VLOOKUP(D61,'Brand List'!$B:$D,3,0),0)</f>
        <v>288000</v>
      </c>
      <c r="AB61" s="29">
        <f>H61*IFERROR(VLOOKUP(D61,'Brand List'!$B:$D,3,0),0)</f>
        <v>288000</v>
      </c>
      <c r="AC61" s="29">
        <f t="shared" si="7"/>
        <v>0</v>
      </c>
    </row>
    <row r="62" spans="1:30" ht="14.25" customHeight="1">
      <c r="A62" s="111" t="str">
        <f t="shared" si="9"/>
        <v>MAU12</v>
      </c>
      <c r="B62" s="83" t="s">
        <v>311</v>
      </c>
      <c r="C62" s="84" t="s">
        <v>24</v>
      </c>
      <c r="D62" s="84" t="s">
        <v>195</v>
      </c>
      <c r="E62" s="85" t="s">
        <v>196</v>
      </c>
      <c r="F62" s="86" t="s">
        <v>188</v>
      </c>
      <c r="G62" s="87"/>
      <c r="H62" s="88">
        <v>150</v>
      </c>
      <c r="I62" s="89" t="str">
        <f t="shared" si="4"/>
        <v>Delivery</v>
      </c>
      <c r="J62" s="90"/>
      <c r="K62" s="302"/>
      <c r="L62" s="90"/>
      <c r="M62" s="302"/>
      <c r="N62" s="90"/>
      <c r="O62" s="302"/>
      <c r="P62" s="90"/>
      <c r="Q62" s="302"/>
      <c r="R62" s="92"/>
      <c r="S62" s="302"/>
      <c r="T62" s="90">
        <v>75</v>
      </c>
      <c r="U62" s="302"/>
      <c r="V62" s="92"/>
      <c r="W62" s="302"/>
      <c r="X62" s="90">
        <f t="shared" si="5"/>
        <v>75</v>
      </c>
      <c r="Y62" s="91">
        <f t="shared" si="6"/>
        <v>-75</v>
      </c>
      <c r="Z62" s="84" t="s">
        <v>312</v>
      </c>
      <c r="AA62" s="29">
        <f>X62*IFERROR(VLOOKUP(D62,'Brand List'!$B:$D,3,0),0)</f>
        <v>720000</v>
      </c>
      <c r="AB62" s="29">
        <f>H62*IFERROR(VLOOKUP(D62,'Brand List'!$B:$D,3,0),0)</f>
        <v>1440000</v>
      </c>
      <c r="AC62" s="29">
        <f t="shared" si="7"/>
        <v>-720000</v>
      </c>
    </row>
    <row r="63" spans="1:30" ht="14.25" customHeight="1">
      <c r="A63" s="20" t="str">
        <f t="shared" si="9"/>
        <v>DRJ12</v>
      </c>
      <c r="B63" s="94" t="s">
        <v>198</v>
      </c>
      <c r="C63" s="50" t="s">
        <v>24</v>
      </c>
      <c r="D63" s="50" t="s">
        <v>199</v>
      </c>
      <c r="E63" s="104" t="s">
        <v>200</v>
      </c>
      <c r="F63" s="105" t="s">
        <v>201</v>
      </c>
      <c r="G63" s="96"/>
      <c r="H63" s="106">
        <v>160</v>
      </c>
      <c r="I63" s="107" t="str">
        <f t="shared" si="4"/>
        <v>Delivery</v>
      </c>
      <c r="J63" s="99"/>
      <c r="K63" s="101"/>
      <c r="L63" s="99"/>
      <c r="M63" s="101"/>
      <c r="N63" s="99"/>
      <c r="O63" s="101"/>
      <c r="P63" s="99"/>
      <c r="Q63" s="101"/>
      <c r="R63" s="108">
        <v>160</v>
      </c>
      <c r="S63" s="102">
        <v>1</v>
      </c>
      <c r="T63" s="99"/>
      <c r="U63" s="101"/>
      <c r="V63" s="100"/>
      <c r="W63" s="102"/>
      <c r="X63" s="99">
        <f t="shared" si="5"/>
        <v>160</v>
      </c>
      <c r="Y63" s="101">
        <f t="shared" si="6"/>
        <v>0</v>
      </c>
      <c r="Z63" s="50"/>
      <c r="AA63" s="29">
        <f>X63*IFERROR(VLOOKUP(D63,'Brand List'!$B:$D,3,0),0)</f>
        <v>1536000</v>
      </c>
      <c r="AB63" s="29">
        <f>H63*IFERROR(VLOOKUP(D63,'Brand List'!$B:$D,3,0),0)</f>
        <v>1536000</v>
      </c>
      <c r="AC63" s="29">
        <f t="shared" si="7"/>
        <v>0</v>
      </c>
    </row>
    <row r="64" spans="1:30" ht="14.25" customHeight="1">
      <c r="A64" s="111" t="str">
        <f t="shared" si="9"/>
        <v>BHU12</v>
      </c>
      <c r="B64" s="83" t="s">
        <v>202</v>
      </c>
      <c r="C64" s="84" t="s">
        <v>24</v>
      </c>
      <c r="D64" s="84" t="s">
        <v>203</v>
      </c>
      <c r="E64" s="85" t="s">
        <v>204</v>
      </c>
      <c r="F64" s="86" t="s">
        <v>201</v>
      </c>
      <c r="G64" s="87"/>
      <c r="H64" s="88">
        <v>925</v>
      </c>
      <c r="I64" s="89" t="str">
        <f t="shared" si="4"/>
        <v>Partial Delivery</v>
      </c>
      <c r="J64" s="90">
        <v>275</v>
      </c>
      <c r="K64" s="300">
        <v>1</v>
      </c>
      <c r="L64" s="90">
        <v>650</v>
      </c>
      <c r="M64" s="300">
        <v>1</v>
      </c>
      <c r="N64" s="90"/>
      <c r="O64" s="300">
        <v>1</v>
      </c>
      <c r="P64" s="90"/>
      <c r="Q64" s="300"/>
      <c r="R64" s="92"/>
      <c r="S64" s="300">
        <v>1</v>
      </c>
      <c r="T64" s="90"/>
      <c r="U64" s="300"/>
      <c r="V64" s="92"/>
      <c r="W64" s="300"/>
      <c r="X64" s="90">
        <f t="shared" si="5"/>
        <v>925</v>
      </c>
      <c r="Y64" s="91">
        <f t="shared" si="6"/>
        <v>0</v>
      </c>
      <c r="Z64" s="84"/>
      <c r="AA64" s="29">
        <f>X64*IFERROR(VLOOKUP(D64,'Brand List'!$B:$D,3,0),0)</f>
        <v>6660000</v>
      </c>
      <c r="AB64" s="29">
        <f>H64*IFERROR(VLOOKUP(D64,'Brand List'!$B:$D,3,0),0)</f>
        <v>6660000</v>
      </c>
      <c r="AC64" s="29">
        <f t="shared" si="7"/>
        <v>0</v>
      </c>
    </row>
    <row r="65" spans="1:29" ht="14.25" customHeight="1">
      <c r="A65" s="111"/>
      <c r="B65" s="83" t="s">
        <v>202</v>
      </c>
      <c r="C65" s="84" t="s">
        <v>24</v>
      </c>
      <c r="D65" s="84" t="s">
        <v>206</v>
      </c>
      <c r="E65" s="85" t="s">
        <v>207</v>
      </c>
      <c r="F65" s="86" t="s">
        <v>201</v>
      </c>
      <c r="G65" s="87"/>
      <c r="H65" s="88">
        <v>240</v>
      </c>
      <c r="I65" s="89" t="str">
        <f t="shared" si="4"/>
        <v>Delivery</v>
      </c>
      <c r="J65" s="90"/>
      <c r="K65" s="301"/>
      <c r="L65" s="90">
        <v>240</v>
      </c>
      <c r="M65" s="301"/>
      <c r="N65" s="112"/>
      <c r="O65" s="301"/>
      <c r="P65" s="90"/>
      <c r="Q65" s="301"/>
      <c r="R65" s="92"/>
      <c r="S65" s="301"/>
      <c r="T65" s="90"/>
      <c r="U65" s="301"/>
      <c r="V65" s="92"/>
      <c r="W65" s="301"/>
      <c r="X65" s="90">
        <f t="shared" si="5"/>
        <v>240</v>
      </c>
      <c r="Y65" s="91">
        <f t="shared" si="6"/>
        <v>0</v>
      </c>
      <c r="Z65" s="84" t="s">
        <v>208</v>
      </c>
      <c r="AA65" s="29">
        <f>X65*IFERROR(VLOOKUP(D65,'Brand List'!$B:$D,3,0),0)</f>
        <v>2880000</v>
      </c>
      <c r="AB65" s="29">
        <f>H65*IFERROR(VLOOKUP(D65,'Brand List'!$B:$D,3,0),0)</f>
        <v>2880000</v>
      </c>
      <c r="AC65" s="29">
        <f t="shared" si="7"/>
        <v>0</v>
      </c>
    </row>
    <row r="66" spans="1:29" ht="14.25" customHeight="1">
      <c r="A66" s="111" t="str">
        <f>D66</f>
        <v>UTG12</v>
      </c>
      <c r="B66" s="83" t="s">
        <v>209</v>
      </c>
      <c r="C66" s="84" t="s">
        <v>24</v>
      </c>
      <c r="D66" s="84" t="s">
        <v>210</v>
      </c>
      <c r="E66" s="85" t="s">
        <v>211</v>
      </c>
      <c r="F66" s="86" t="s">
        <v>201</v>
      </c>
      <c r="G66" s="87"/>
      <c r="H66" s="88">
        <v>80</v>
      </c>
      <c r="I66" s="89" t="str">
        <f t="shared" si="4"/>
        <v>Delivery</v>
      </c>
      <c r="J66" s="90"/>
      <c r="K66" s="301"/>
      <c r="L66" s="90"/>
      <c r="M66" s="301"/>
      <c r="N66" s="90"/>
      <c r="O66" s="301"/>
      <c r="P66" s="90"/>
      <c r="Q66" s="301"/>
      <c r="R66" s="92">
        <v>80</v>
      </c>
      <c r="S66" s="301"/>
      <c r="T66" s="90"/>
      <c r="U66" s="301"/>
      <c r="V66" s="92"/>
      <c r="W66" s="301"/>
      <c r="X66" s="90">
        <f t="shared" si="5"/>
        <v>80</v>
      </c>
      <c r="Y66" s="91">
        <f t="shared" si="6"/>
        <v>0</v>
      </c>
      <c r="Z66" s="84"/>
      <c r="AA66" s="29">
        <f>X66*IFERROR(VLOOKUP(D66,'Brand List'!$B:$D,3,0),0)</f>
        <v>768000</v>
      </c>
      <c r="AB66" s="29">
        <f>H66*IFERROR(VLOOKUP(D66,'Brand List'!$B:$D,3,0),0)</f>
        <v>768000</v>
      </c>
      <c r="AC66" s="29">
        <f t="shared" si="7"/>
        <v>0</v>
      </c>
    </row>
    <row r="67" spans="1:29" ht="14.25" customHeight="1">
      <c r="A67" s="111"/>
      <c r="B67" s="83" t="s">
        <v>212</v>
      </c>
      <c r="C67" s="84" t="s">
        <v>95</v>
      </c>
      <c r="D67" s="84" t="s">
        <v>213</v>
      </c>
      <c r="E67" s="85" t="s">
        <v>214</v>
      </c>
      <c r="F67" s="86" t="s">
        <v>201</v>
      </c>
      <c r="G67" s="87"/>
      <c r="H67" s="88">
        <v>50</v>
      </c>
      <c r="I67" s="89" t="str">
        <f t="shared" si="4"/>
        <v>Delivery</v>
      </c>
      <c r="J67" s="90"/>
      <c r="K67" s="301"/>
      <c r="L67" s="90"/>
      <c r="M67" s="301"/>
      <c r="N67" s="90">
        <v>50</v>
      </c>
      <c r="O67" s="301"/>
      <c r="P67" s="90"/>
      <c r="Q67" s="301"/>
      <c r="R67" s="92"/>
      <c r="S67" s="301"/>
      <c r="T67" s="90"/>
      <c r="U67" s="301"/>
      <c r="V67" s="92"/>
      <c r="W67" s="301"/>
      <c r="X67" s="90">
        <f t="shared" si="5"/>
        <v>50</v>
      </c>
      <c r="Y67" s="91">
        <f t="shared" si="6"/>
        <v>0</v>
      </c>
      <c r="Z67" s="84"/>
      <c r="AA67" s="29">
        <f>X67*IFERROR(VLOOKUP(D67,'Brand List'!$B:$D,3,0),0)</f>
        <v>480000</v>
      </c>
      <c r="AB67" s="29">
        <f>H67*IFERROR(VLOOKUP(D67,'Brand List'!$B:$D,3,0),0)</f>
        <v>480000</v>
      </c>
      <c r="AC67" s="29">
        <f t="shared" si="7"/>
        <v>0</v>
      </c>
    </row>
    <row r="68" spans="1:29" ht="14.25" customHeight="1">
      <c r="A68" s="111" t="str">
        <f t="shared" ref="A68:A99" si="10">D68</f>
        <v>TBS12</v>
      </c>
      <c r="B68" s="83" t="s">
        <v>215</v>
      </c>
      <c r="C68" s="84" t="s">
        <v>24</v>
      </c>
      <c r="D68" s="84" t="s">
        <v>216</v>
      </c>
      <c r="E68" s="85" t="s">
        <v>217</v>
      </c>
      <c r="F68" s="86" t="s">
        <v>201</v>
      </c>
      <c r="G68" s="87"/>
      <c r="H68" s="88">
        <v>0</v>
      </c>
      <c r="I68" s="89" t="str">
        <f t="shared" si="4"/>
        <v>No Delivery</v>
      </c>
      <c r="J68" s="90"/>
      <c r="K68" s="301"/>
      <c r="L68" s="90"/>
      <c r="M68" s="301"/>
      <c r="N68" s="90">
        <v>460</v>
      </c>
      <c r="O68" s="301"/>
      <c r="P68" s="90"/>
      <c r="Q68" s="301"/>
      <c r="R68" s="92"/>
      <c r="S68" s="301"/>
      <c r="T68" s="90"/>
      <c r="U68" s="301"/>
      <c r="V68" s="92"/>
      <c r="W68" s="301"/>
      <c r="X68" s="90">
        <f t="shared" si="5"/>
        <v>460</v>
      </c>
      <c r="Y68" s="91">
        <f t="shared" si="6"/>
        <v>460</v>
      </c>
      <c r="Z68" s="84" t="s">
        <v>313</v>
      </c>
      <c r="AA68" s="29">
        <f>X68*IFERROR(VLOOKUP(D68,'Brand List'!$B:$D,3,0),0)</f>
        <v>5520000</v>
      </c>
      <c r="AB68" s="29">
        <f>H68*IFERROR(VLOOKUP(D68,'Brand List'!$B:$D,3,0),0)</f>
        <v>0</v>
      </c>
      <c r="AC68" s="29">
        <f t="shared" si="7"/>
        <v>5520000</v>
      </c>
    </row>
    <row r="69" spans="1:29" ht="14.25" customHeight="1">
      <c r="A69" s="111" t="str">
        <f t="shared" si="10"/>
        <v>TBB12</v>
      </c>
      <c r="B69" s="83" t="s">
        <v>215</v>
      </c>
      <c r="C69" s="84" t="s">
        <v>70</v>
      </c>
      <c r="D69" s="84" t="s">
        <v>220</v>
      </c>
      <c r="E69" s="85" t="s">
        <v>314</v>
      </c>
      <c r="F69" s="86" t="s">
        <v>201</v>
      </c>
      <c r="G69" s="87"/>
      <c r="H69" s="88">
        <v>0</v>
      </c>
      <c r="I69" s="89" t="str">
        <f t="shared" si="4"/>
        <v>No Delivery</v>
      </c>
      <c r="J69" s="90"/>
      <c r="K69" s="302"/>
      <c r="L69" s="90"/>
      <c r="M69" s="302"/>
      <c r="N69" s="90"/>
      <c r="O69" s="302"/>
      <c r="P69" s="90"/>
      <c r="Q69" s="302"/>
      <c r="R69" s="92"/>
      <c r="S69" s="302"/>
      <c r="T69" s="90"/>
      <c r="U69" s="302"/>
      <c r="V69" s="92"/>
      <c r="W69" s="302"/>
      <c r="X69" s="90">
        <f t="shared" si="5"/>
        <v>0</v>
      </c>
      <c r="Y69" s="91">
        <f t="shared" si="6"/>
        <v>0</v>
      </c>
      <c r="Z69" s="84"/>
      <c r="AA69" s="29">
        <f>X69*IFERROR(VLOOKUP(D69,'Brand List'!$B:$D,3,0),0)</f>
        <v>0</v>
      </c>
      <c r="AB69" s="29">
        <f>H69*IFERROR(VLOOKUP(D69,'Brand List'!$B:$D,3,0),0)</f>
        <v>0</v>
      </c>
      <c r="AC69" s="29">
        <f t="shared" si="7"/>
        <v>0</v>
      </c>
    </row>
    <row r="70" spans="1:29" ht="14.25" customHeight="1">
      <c r="A70" s="20" t="str">
        <f t="shared" si="10"/>
        <v>TWY16</v>
      </c>
      <c r="B70" s="94" t="s">
        <v>222</v>
      </c>
      <c r="C70" s="50" t="s">
        <v>223</v>
      </c>
      <c r="D70" s="50" t="s">
        <v>224</v>
      </c>
      <c r="E70" s="104" t="s">
        <v>225</v>
      </c>
      <c r="F70" s="105" t="s">
        <v>226</v>
      </c>
      <c r="G70" s="96"/>
      <c r="H70" s="106">
        <v>250</v>
      </c>
      <c r="I70" s="107" t="str">
        <f>IF(AND(H70=0,G70=0),"No Delivery",IF(COUNTA(J71,L70,N70,P70,R70,T70,V70)=1,"Delivery",IF(COUNTA(J71,L70,N70,P70,R70,T70,V70)&gt;1,"Partial Delivery",IF(COUNTA(J71,L70,N70,P70,R70,T70,V70)=0,"Will be Updated"))))</f>
        <v>Partial Delivery</v>
      </c>
      <c r="J70" s="103"/>
      <c r="K70" s="307">
        <v>2</v>
      </c>
      <c r="L70" s="99"/>
      <c r="M70" s="303">
        <v>2</v>
      </c>
      <c r="N70" s="99"/>
      <c r="O70" s="307">
        <v>1</v>
      </c>
      <c r="P70" s="103">
        <v>250</v>
      </c>
      <c r="Q70" s="307">
        <v>2</v>
      </c>
      <c r="R70" s="108"/>
      <c r="S70" s="311">
        <v>1</v>
      </c>
      <c r="T70" s="103"/>
      <c r="U70" s="307"/>
      <c r="V70" s="108"/>
      <c r="W70" s="308"/>
      <c r="X70" s="99">
        <f t="shared" si="5"/>
        <v>250</v>
      </c>
      <c r="Y70" s="101">
        <f t="shared" si="6"/>
        <v>0</v>
      </c>
      <c r="Z70" s="50"/>
      <c r="AA70" s="29">
        <f>X70*IFERROR(VLOOKUP(D70,'Brand List'!$B:$D,3,0),0)</f>
        <v>2400000</v>
      </c>
      <c r="AB70" s="29">
        <f>H70*IFERROR(VLOOKUP(D70,'Brand List'!$B:$D,3,0),0)</f>
        <v>2400000</v>
      </c>
      <c r="AC70" s="29">
        <f t="shared" si="7"/>
        <v>0</v>
      </c>
    </row>
    <row r="71" spans="1:29" ht="14.25" customHeight="1">
      <c r="A71" s="20" t="str">
        <f t="shared" si="10"/>
        <v>TWR16</v>
      </c>
      <c r="B71" s="94" t="s">
        <v>222</v>
      </c>
      <c r="C71" s="50" t="s">
        <v>223</v>
      </c>
      <c r="D71" s="50" t="s">
        <v>227</v>
      </c>
      <c r="E71" s="104" t="s">
        <v>228</v>
      </c>
      <c r="F71" s="105" t="s">
        <v>226</v>
      </c>
      <c r="G71" s="96"/>
      <c r="H71" s="106">
        <v>3500</v>
      </c>
      <c r="I71" s="107" t="str">
        <f>IF(AND(H71=0,G71=0),"No Delivery",IF(COUNTA(#REF!,L71,N71,P71,R71,T71,V71)=1,"Delivery",IF(COUNTA(#REF!,L71,N71,P71,R71,T71,V71)&gt;1,"Partial Delivery",IF(COUNTA(#REF!,L71,N71,P71,R71,T71,V71)=0,"Will be Updated"))))</f>
        <v>Partial Delivery</v>
      </c>
      <c r="J71" s="103">
        <v>504</v>
      </c>
      <c r="K71" s="301"/>
      <c r="L71" s="99">
        <v>836</v>
      </c>
      <c r="M71" s="301"/>
      <c r="N71" s="99">
        <v>300</v>
      </c>
      <c r="O71" s="301"/>
      <c r="P71" s="103">
        <v>1024</v>
      </c>
      <c r="Q71" s="301"/>
      <c r="R71" s="103">
        <v>836</v>
      </c>
      <c r="S71" s="305"/>
      <c r="T71" s="103"/>
      <c r="U71" s="301"/>
      <c r="V71" s="108"/>
      <c r="W71" s="309"/>
      <c r="X71" s="99">
        <f t="shared" si="5"/>
        <v>3500</v>
      </c>
      <c r="Y71" s="101">
        <f t="shared" si="6"/>
        <v>0</v>
      </c>
      <c r="Z71" s="50"/>
      <c r="AA71" s="29">
        <f>X71*IFERROR(VLOOKUP(D71,'Brand List'!$B:$D,3,0),0)</f>
        <v>33600000</v>
      </c>
      <c r="AB71" s="29">
        <f>H71*IFERROR(VLOOKUP(D71,'Brand List'!$B:$D,3,0),0)</f>
        <v>33600000</v>
      </c>
      <c r="AC71" s="29">
        <f t="shared" si="7"/>
        <v>0</v>
      </c>
    </row>
    <row r="72" spans="1:29" ht="14.25" customHeight="1">
      <c r="A72" s="20" t="str">
        <f t="shared" si="10"/>
        <v>TWG16</v>
      </c>
      <c r="B72" s="94" t="s">
        <v>222</v>
      </c>
      <c r="C72" s="50" t="s">
        <v>223</v>
      </c>
      <c r="D72" s="50" t="s">
        <v>230</v>
      </c>
      <c r="E72" s="104" t="s">
        <v>231</v>
      </c>
      <c r="F72" s="105" t="s">
        <v>226</v>
      </c>
      <c r="G72" s="96"/>
      <c r="H72" s="106">
        <v>0</v>
      </c>
      <c r="I72" s="107" t="str">
        <f t="shared" ref="I72:I99" si="11">IF(AND(H72=0,G72=0),"No Delivery",IF(COUNTA(J72,L72,N72,P72,R72,T72,V72)=1,"Delivery",IF(COUNTA(J72,L72,N72,P72,R72,T72,V72)&gt;1,"Partial Delivery",IF(COUNTA(J72,L72,N72,P72,R72,T72,V72)=0,"Will be Updated"))))</f>
        <v>No Delivery</v>
      </c>
      <c r="J72" s="103"/>
      <c r="K72" s="301"/>
      <c r="L72" s="99"/>
      <c r="M72" s="301"/>
      <c r="N72" s="99"/>
      <c r="O72" s="301"/>
      <c r="P72" s="103"/>
      <c r="Q72" s="301"/>
      <c r="R72" s="108"/>
      <c r="S72" s="305"/>
      <c r="T72" s="103"/>
      <c r="U72" s="301"/>
      <c r="V72" s="108"/>
      <c r="W72" s="309"/>
      <c r="X72" s="99">
        <f t="shared" si="5"/>
        <v>0</v>
      </c>
      <c r="Y72" s="101">
        <f t="shared" si="6"/>
        <v>0</v>
      </c>
      <c r="Z72" s="50"/>
      <c r="AA72" s="29">
        <f>X72*IFERROR(VLOOKUP(D72,'Brand List'!$B:$D,3,0),0)</f>
        <v>0</v>
      </c>
      <c r="AB72" s="29">
        <f>H72*IFERROR(VLOOKUP(D72,'Brand List'!$B:$D,3,0),0)</f>
        <v>0</v>
      </c>
      <c r="AC72" s="29">
        <f t="shared" si="7"/>
        <v>0</v>
      </c>
    </row>
    <row r="73" spans="1:29" ht="14.25" customHeight="1">
      <c r="A73" s="20" t="str">
        <f t="shared" si="10"/>
        <v>TWS16</v>
      </c>
      <c r="B73" s="94" t="s">
        <v>222</v>
      </c>
      <c r="C73" s="50" t="s">
        <v>223</v>
      </c>
      <c r="D73" s="50" t="s">
        <v>232</v>
      </c>
      <c r="E73" s="104" t="s">
        <v>233</v>
      </c>
      <c r="F73" s="105" t="s">
        <v>226</v>
      </c>
      <c r="G73" s="96"/>
      <c r="H73" s="106">
        <v>0</v>
      </c>
      <c r="I73" s="107" t="str">
        <f t="shared" si="11"/>
        <v>No Delivery</v>
      </c>
      <c r="J73" s="103"/>
      <c r="K73" s="301"/>
      <c r="L73" s="99"/>
      <c r="M73" s="301"/>
      <c r="N73" s="99"/>
      <c r="O73" s="301"/>
      <c r="P73" s="103"/>
      <c r="Q73" s="301"/>
      <c r="R73" s="108"/>
      <c r="S73" s="305"/>
      <c r="T73" s="103"/>
      <c r="U73" s="301"/>
      <c r="V73" s="108"/>
      <c r="W73" s="309"/>
      <c r="X73" s="99">
        <f t="shared" si="5"/>
        <v>0</v>
      </c>
      <c r="Y73" s="101">
        <f t="shared" si="6"/>
        <v>0</v>
      </c>
      <c r="Z73" s="50"/>
      <c r="AA73" s="29">
        <f>X73*IFERROR(VLOOKUP(D73,'Brand List'!$B:$D,3,0),0)</f>
        <v>0</v>
      </c>
      <c r="AB73" s="29">
        <f>H73*IFERROR(VLOOKUP(D73,'Brand List'!$B:$D,3,0),0)</f>
        <v>0</v>
      </c>
      <c r="AC73" s="29">
        <f t="shared" si="7"/>
        <v>0</v>
      </c>
    </row>
    <row r="74" spans="1:29" ht="14.25" customHeight="1">
      <c r="A74" s="20" t="str">
        <f t="shared" si="10"/>
        <v>TWD16</v>
      </c>
      <c r="B74" s="94" t="s">
        <v>222</v>
      </c>
      <c r="C74" s="50" t="s">
        <v>223</v>
      </c>
      <c r="D74" s="50" t="s">
        <v>234</v>
      </c>
      <c r="E74" s="104" t="s">
        <v>235</v>
      </c>
      <c r="F74" s="105" t="s">
        <v>226</v>
      </c>
      <c r="G74" s="96"/>
      <c r="H74" s="106">
        <v>0</v>
      </c>
      <c r="I74" s="107" t="str">
        <f t="shared" si="11"/>
        <v>No Delivery</v>
      </c>
      <c r="J74" s="103"/>
      <c r="K74" s="301"/>
      <c r="L74" s="99"/>
      <c r="M74" s="301"/>
      <c r="N74" s="99"/>
      <c r="O74" s="301"/>
      <c r="P74" s="103"/>
      <c r="Q74" s="301"/>
      <c r="R74" s="108"/>
      <c r="S74" s="305"/>
      <c r="T74" s="103"/>
      <c r="U74" s="301"/>
      <c r="V74" s="108"/>
      <c r="W74" s="309"/>
      <c r="X74" s="99">
        <f t="shared" si="5"/>
        <v>0</v>
      </c>
      <c r="Y74" s="101">
        <f t="shared" si="6"/>
        <v>0</v>
      </c>
      <c r="Z74" s="50"/>
      <c r="AA74" s="29">
        <f>X74*IFERROR(VLOOKUP(D74,'Brand List'!$B:$D,3,0),0)</f>
        <v>0</v>
      </c>
      <c r="AB74" s="29">
        <f>H74*IFERROR(VLOOKUP(D74,'Brand List'!$B:$D,3,0),0)</f>
        <v>0</v>
      </c>
      <c r="AC74" s="29">
        <f t="shared" si="7"/>
        <v>0</v>
      </c>
    </row>
    <row r="75" spans="1:29" ht="14.25" customHeight="1">
      <c r="A75" s="20" t="str">
        <f t="shared" si="10"/>
        <v>TWP16</v>
      </c>
      <c r="B75" s="94" t="s">
        <v>222</v>
      </c>
      <c r="C75" s="50" t="s">
        <v>63</v>
      </c>
      <c r="D75" s="50" t="s">
        <v>236</v>
      </c>
      <c r="E75" s="104" t="s">
        <v>237</v>
      </c>
      <c r="F75" s="105" t="s">
        <v>226</v>
      </c>
      <c r="G75" s="96"/>
      <c r="H75" s="106">
        <v>800</v>
      </c>
      <c r="I75" s="107" t="str">
        <f t="shared" si="11"/>
        <v>Partial Delivery</v>
      </c>
      <c r="J75" s="103"/>
      <c r="K75" s="301"/>
      <c r="L75" s="99">
        <v>500</v>
      </c>
      <c r="M75" s="301"/>
      <c r="N75" s="99">
        <v>300</v>
      </c>
      <c r="O75" s="301"/>
      <c r="P75" s="103"/>
      <c r="Q75" s="301"/>
      <c r="R75" s="108"/>
      <c r="S75" s="305"/>
      <c r="T75" s="103"/>
      <c r="U75" s="301"/>
      <c r="V75" s="108"/>
      <c r="W75" s="309"/>
      <c r="X75" s="99">
        <f t="shared" si="5"/>
        <v>800</v>
      </c>
      <c r="Y75" s="101">
        <f t="shared" si="6"/>
        <v>0</v>
      </c>
      <c r="Z75" s="50"/>
      <c r="AA75" s="29">
        <f>X75*IFERROR(VLOOKUP(D75,'Brand List'!$B:$D,3,0),0)</f>
        <v>7680000</v>
      </c>
      <c r="AB75" s="29">
        <f>H75*IFERROR(VLOOKUP(D75,'Brand List'!$B:$D,3,0),0)</f>
        <v>7680000</v>
      </c>
      <c r="AC75" s="29">
        <f t="shared" si="7"/>
        <v>0</v>
      </c>
    </row>
    <row r="76" spans="1:29" ht="14.25" customHeight="1">
      <c r="A76" s="20" t="str">
        <f t="shared" si="10"/>
        <v>TWR12</v>
      </c>
      <c r="B76" s="94" t="s">
        <v>222</v>
      </c>
      <c r="C76" s="50" t="s">
        <v>238</v>
      </c>
      <c r="D76" s="50" t="s">
        <v>239</v>
      </c>
      <c r="E76" s="104" t="s">
        <v>240</v>
      </c>
      <c r="F76" s="105" t="s">
        <v>226</v>
      </c>
      <c r="G76" s="96"/>
      <c r="H76" s="106">
        <v>250</v>
      </c>
      <c r="I76" s="107" t="str">
        <f t="shared" si="11"/>
        <v>Partial Delivery</v>
      </c>
      <c r="J76" s="103">
        <v>100</v>
      </c>
      <c r="K76" s="301"/>
      <c r="L76" s="99"/>
      <c r="M76" s="301"/>
      <c r="N76" s="99"/>
      <c r="O76" s="301"/>
      <c r="P76" s="103">
        <v>150</v>
      </c>
      <c r="Q76" s="301"/>
      <c r="R76" s="108"/>
      <c r="S76" s="305"/>
      <c r="T76" s="103"/>
      <c r="U76" s="301"/>
      <c r="V76" s="108"/>
      <c r="W76" s="309"/>
      <c r="X76" s="99">
        <f t="shared" si="5"/>
        <v>250</v>
      </c>
      <c r="Y76" s="101">
        <f t="shared" si="6"/>
        <v>0</v>
      </c>
      <c r="Z76" s="50"/>
      <c r="AA76" s="29">
        <f>X76*IFERROR(VLOOKUP(D76,'Brand List'!$B:$D,3,0),0)</f>
        <v>2400000</v>
      </c>
      <c r="AB76" s="29">
        <f>H76*IFERROR(VLOOKUP(D76,'Brand List'!$B:$D,3,0),0)</f>
        <v>2400000</v>
      </c>
      <c r="AC76" s="29">
        <f t="shared" si="7"/>
        <v>0</v>
      </c>
    </row>
    <row r="77" spans="1:29" ht="14.25" customHeight="1">
      <c r="A77" s="20" t="str">
        <f t="shared" si="10"/>
        <v>TPT16</v>
      </c>
      <c r="B77" s="94" t="s">
        <v>222</v>
      </c>
      <c r="C77" s="50" t="s">
        <v>63</v>
      </c>
      <c r="D77" s="50" t="s">
        <v>241</v>
      </c>
      <c r="E77" s="104" t="s">
        <v>242</v>
      </c>
      <c r="F77" s="105" t="s">
        <v>226</v>
      </c>
      <c r="G77" s="96"/>
      <c r="H77" s="106">
        <v>0</v>
      </c>
      <c r="I77" s="107" t="str">
        <f t="shared" si="11"/>
        <v>No Delivery</v>
      </c>
      <c r="J77" s="103"/>
      <c r="K77" s="301"/>
      <c r="L77" s="99"/>
      <c r="M77" s="301"/>
      <c r="N77" s="99"/>
      <c r="O77" s="301"/>
      <c r="P77" s="103"/>
      <c r="Q77" s="301"/>
      <c r="R77" s="108"/>
      <c r="S77" s="305"/>
      <c r="T77" s="103"/>
      <c r="U77" s="301"/>
      <c r="V77" s="108"/>
      <c r="W77" s="309"/>
      <c r="X77" s="99">
        <f t="shared" si="5"/>
        <v>0</v>
      </c>
      <c r="Y77" s="101">
        <f t="shared" si="6"/>
        <v>0</v>
      </c>
      <c r="Z77" s="50"/>
      <c r="AA77" s="29">
        <f>X77*IFERROR(VLOOKUP(D77,'Brand List'!$B:$D,3,0),0)</f>
        <v>0</v>
      </c>
      <c r="AB77" s="29">
        <f>H77*IFERROR(VLOOKUP(D77,'Brand List'!$B:$D,3,0),0)</f>
        <v>0</v>
      </c>
      <c r="AC77" s="29">
        <f t="shared" si="7"/>
        <v>0</v>
      </c>
    </row>
    <row r="78" spans="1:29" ht="14.25" customHeight="1">
      <c r="A78" s="20" t="str">
        <f t="shared" si="10"/>
        <v>TPR16</v>
      </c>
      <c r="B78" s="94" t="s">
        <v>222</v>
      </c>
      <c r="C78" s="50" t="s">
        <v>63</v>
      </c>
      <c r="D78" s="50" t="s">
        <v>243</v>
      </c>
      <c r="E78" s="104" t="s">
        <v>244</v>
      </c>
      <c r="F78" s="105" t="s">
        <v>226</v>
      </c>
      <c r="G78" s="96"/>
      <c r="H78" s="106">
        <v>0</v>
      </c>
      <c r="I78" s="107" t="str">
        <f t="shared" si="11"/>
        <v>No Delivery</v>
      </c>
      <c r="J78" s="103"/>
      <c r="K78" s="301"/>
      <c r="L78" s="99"/>
      <c r="M78" s="301"/>
      <c r="N78" s="99"/>
      <c r="O78" s="301"/>
      <c r="P78" s="103"/>
      <c r="Q78" s="301"/>
      <c r="R78" s="108"/>
      <c r="S78" s="305"/>
      <c r="T78" s="103"/>
      <c r="U78" s="301"/>
      <c r="V78" s="108"/>
      <c r="W78" s="309"/>
      <c r="X78" s="99">
        <f t="shared" si="5"/>
        <v>0</v>
      </c>
      <c r="Y78" s="101">
        <f t="shared" si="6"/>
        <v>0</v>
      </c>
      <c r="Z78" s="50"/>
      <c r="AA78" s="29">
        <f>X78*IFERROR(VLOOKUP(D78,'Brand List'!$B:$D,3,0),0)</f>
        <v>0</v>
      </c>
      <c r="AB78" s="29">
        <f>H78*IFERROR(VLOOKUP(D78,'Brand List'!$B:$D,3,0),0)</f>
        <v>0</v>
      </c>
      <c r="AC78" s="29">
        <f t="shared" si="7"/>
        <v>0</v>
      </c>
    </row>
    <row r="79" spans="1:29" ht="14.25" customHeight="1">
      <c r="A79" s="20" t="str">
        <f t="shared" si="10"/>
        <v>DFB12</v>
      </c>
      <c r="B79" s="94" t="s">
        <v>222</v>
      </c>
      <c r="C79" s="50" t="s">
        <v>70</v>
      </c>
      <c r="D79" s="50" t="s">
        <v>245</v>
      </c>
      <c r="E79" s="104" t="s">
        <v>246</v>
      </c>
      <c r="F79" s="105" t="s">
        <v>226</v>
      </c>
      <c r="G79" s="96"/>
      <c r="H79" s="106">
        <v>0</v>
      </c>
      <c r="I79" s="107" t="str">
        <f t="shared" si="11"/>
        <v>No Delivery</v>
      </c>
      <c r="J79" s="103"/>
      <c r="K79" s="301"/>
      <c r="L79" s="99"/>
      <c r="M79" s="301"/>
      <c r="N79" s="99"/>
      <c r="O79" s="301"/>
      <c r="P79" s="103"/>
      <c r="Q79" s="301"/>
      <c r="R79" s="108"/>
      <c r="S79" s="305"/>
      <c r="T79" s="103"/>
      <c r="U79" s="301"/>
      <c r="V79" s="108"/>
      <c r="W79" s="309"/>
      <c r="X79" s="99">
        <f t="shared" si="5"/>
        <v>0</v>
      </c>
      <c r="Y79" s="101">
        <f t="shared" si="6"/>
        <v>0</v>
      </c>
      <c r="Z79" s="50"/>
      <c r="AA79" s="29">
        <f>X79*IFERROR(VLOOKUP(D79,'Brand List'!$B:$D,3,0),0)</f>
        <v>0</v>
      </c>
      <c r="AB79" s="29">
        <f>H79*IFERROR(VLOOKUP(D79,'Brand List'!$B:$D,3,0),0)</f>
        <v>0</v>
      </c>
      <c r="AC79" s="29">
        <f t="shared" si="7"/>
        <v>0</v>
      </c>
    </row>
    <row r="80" spans="1:29" ht="14.25" customHeight="1">
      <c r="A80" s="20" t="str">
        <f t="shared" si="10"/>
        <v>DFB20</v>
      </c>
      <c r="B80" s="94" t="s">
        <v>222</v>
      </c>
      <c r="C80" s="50" t="s">
        <v>56</v>
      </c>
      <c r="D80" s="50" t="s">
        <v>247</v>
      </c>
      <c r="E80" s="104" t="s">
        <v>248</v>
      </c>
      <c r="F80" s="105" t="s">
        <v>226</v>
      </c>
      <c r="G80" s="96"/>
      <c r="H80" s="106">
        <v>0</v>
      </c>
      <c r="I80" s="107" t="str">
        <f t="shared" si="11"/>
        <v>No Delivery</v>
      </c>
      <c r="J80" s="103">
        <v>600</v>
      </c>
      <c r="K80" s="301"/>
      <c r="L80" s="99"/>
      <c r="M80" s="301"/>
      <c r="N80" s="99"/>
      <c r="O80" s="301"/>
      <c r="P80" s="103"/>
      <c r="Q80" s="301"/>
      <c r="R80" s="108"/>
      <c r="S80" s="305"/>
      <c r="T80" s="103"/>
      <c r="U80" s="301"/>
      <c r="V80" s="108"/>
      <c r="W80" s="309"/>
      <c r="X80" s="99">
        <f t="shared" si="5"/>
        <v>600</v>
      </c>
      <c r="Y80" s="101">
        <f t="shared" si="6"/>
        <v>600</v>
      </c>
      <c r="Z80" s="50" t="s">
        <v>315</v>
      </c>
      <c r="AA80" s="29">
        <f>X80*IFERROR(VLOOKUP(D80,'Brand List'!$B:$D,3,0),0)</f>
        <v>7200000</v>
      </c>
      <c r="AB80" s="29">
        <f>H80*IFERROR(VLOOKUP(D80,'Brand List'!$B:$D,3,0),0)</f>
        <v>0</v>
      </c>
      <c r="AC80" s="29">
        <f t="shared" si="7"/>
        <v>7200000</v>
      </c>
    </row>
    <row r="81" spans="1:29" ht="14.25" customHeight="1">
      <c r="A81" s="20" t="str">
        <f t="shared" si="10"/>
        <v>DFI12</v>
      </c>
      <c r="B81" s="94" t="s">
        <v>222</v>
      </c>
      <c r="C81" s="50" t="s">
        <v>70</v>
      </c>
      <c r="D81" s="50" t="s">
        <v>250</v>
      </c>
      <c r="E81" s="104" t="s">
        <v>251</v>
      </c>
      <c r="F81" s="105" t="s">
        <v>226</v>
      </c>
      <c r="G81" s="96"/>
      <c r="H81" s="106">
        <v>0</v>
      </c>
      <c r="I81" s="107" t="str">
        <f t="shared" si="11"/>
        <v>No Delivery</v>
      </c>
      <c r="J81" s="103"/>
      <c r="K81" s="301"/>
      <c r="L81" s="99"/>
      <c r="M81" s="301"/>
      <c r="N81" s="99"/>
      <c r="O81" s="301"/>
      <c r="P81" s="103"/>
      <c r="Q81" s="301"/>
      <c r="R81" s="108"/>
      <c r="S81" s="305"/>
      <c r="T81" s="103"/>
      <c r="U81" s="301"/>
      <c r="V81" s="108"/>
      <c r="W81" s="309"/>
      <c r="X81" s="99">
        <f t="shared" si="5"/>
        <v>0</v>
      </c>
      <c r="Y81" s="101">
        <f t="shared" si="6"/>
        <v>0</v>
      </c>
      <c r="Z81" s="50"/>
      <c r="AA81" s="29">
        <f>X81*IFERROR(VLOOKUP(D81,'Brand List'!$B:$D,3,0),0)</f>
        <v>0</v>
      </c>
      <c r="AB81" s="29">
        <f>H81*IFERROR(VLOOKUP(D81,'Brand List'!$B:$D,3,0),0)</f>
        <v>0</v>
      </c>
      <c r="AC81" s="29">
        <f t="shared" si="7"/>
        <v>0</v>
      </c>
    </row>
    <row r="82" spans="1:29" ht="14.25" customHeight="1">
      <c r="A82" s="20" t="str">
        <f t="shared" si="10"/>
        <v>DFI16</v>
      </c>
      <c r="B82" s="94" t="s">
        <v>222</v>
      </c>
      <c r="C82" s="50" t="s">
        <v>76</v>
      </c>
      <c r="D82" s="50" t="s">
        <v>252</v>
      </c>
      <c r="E82" s="104" t="s">
        <v>253</v>
      </c>
      <c r="F82" s="105" t="s">
        <v>226</v>
      </c>
      <c r="G82" s="96"/>
      <c r="H82" s="106">
        <v>0</v>
      </c>
      <c r="I82" s="107" t="str">
        <f t="shared" si="11"/>
        <v>No Delivery</v>
      </c>
      <c r="J82" s="103"/>
      <c r="K82" s="301"/>
      <c r="L82" s="99"/>
      <c r="M82" s="301"/>
      <c r="N82" s="99"/>
      <c r="O82" s="301"/>
      <c r="P82" s="103"/>
      <c r="Q82" s="301"/>
      <c r="R82" s="108"/>
      <c r="S82" s="305"/>
      <c r="T82" s="103"/>
      <c r="U82" s="301"/>
      <c r="V82" s="108"/>
      <c r="W82" s="309"/>
      <c r="X82" s="99">
        <f t="shared" si="5"/>
        <v>0</v>
      </c>
      <c r="Y82" s="101">
        <f t="shared" si="6"/>
        <v>0</v>
      </c>
      <c r="Z82" s="50"/>
      <c r="AA82" s="29">
        <f>X82*IFERROR(VLOOKUP(D82,'Brand List'!$B:$D,3,0),0)</f>
        <v>0</v>
      </c>
      <c r="AB82" s="29">
        <f>H82*IFERROR(VLOOKUP(D82,'Brand List'!$B:$D,3,0),0)</f>
        <v>0</v>
      </c>
      <c r="AC82" s="29">
        <f t="shared" si="7"/>
        <v>0</v>
      </c>
    </row>
    <row r="83" spans="1:29" ht="14.25" customHeight="1">
      <c r="A83" s="20" t="str">
        <f t="shared" si="10"/>
        <v>VTX16</v>
      </c>
      <c r="B83" s="94" t="s">
        <v>222</v>
      </c>
      <c r="C83" s="50" t="s">
        <v>63</v>
      </c>
      <c r="D83" s="50" t="s">
        <v>254</v>
      </c>
      <c r="E83" s="104" t="s">
        <v>255</v>
      </c>
      <c r="F83" s="105" t="s">
        <v>226</v>
      </c>
      <c r="G83" s="96"/>
      <c r="H83" s="106">
        <v>0</v>
      </c>
      <c r="I83" s="107" t="str">
        <f t="shared" si="11"/>
        <v>No Delivery</v>
      </c>
      <c r="J83" s="103"/>
      <c r="K83" s="301"/>
      <c r="L83" s="99"/>
      <c r="M83" s="301"/>
      <c r="N83" s="99"/>
      <c r="O83" s="301"/>
      <c r="P83" s="103"/>
      <c r="Q83" s="301"/>
      <c r="R83" s="108"/>
      <c r="S83" s="305"/>
      <c r="T83" s="103"/>
      <c r="U83" s="301"/>
      <c r="V83" s="108"/>
      <c r="W83" s="309"/>
      <c r="X83" s="99">
        <f t="shared" si="5"/>
        <v>0</v>
      </c>
      <c r="Y83" s="101">
        <f t="shared" si="6"/>
        <v>0</v>
      </c>
      <c r="Z83" s="50"/>
      <c r="AA83" s="29">
        <f>X83*IFERROR(VLOOKUP(D83,'Brand List'!$B:$D,3,0),0)</f>
        <v>0</v>
      </c>
      <c r="AB83" s="29">
        <f>H83*IFERROR(VLOOKUP(D83,'Brand List'!$B:$D,3,0),0)</f>
        <v>0</v>
      </c>
      <c r="AC83" s="29">
        <f t="shared" si="7"/>
        <v>0</v>
      </c>
    </row>
    <row r="84" spans="1:29" ht="14.25" customHeight="1">
      <c r="A84" s="20" t="str">
        <f t="shared" si="10"/>
        <v>TEH12</v>
      </c>
      <c r="B84" s="94" t="s">
        <v>222</v>
      </c>
      <c r="C84" s="50" t="s">
        <v>24</v>
      </c>
      <c r="D84" s="50" t="s">
        <v>256</v>
      </c>
      <c r="E84" s="104" t="s">
        <v>257</v>
      </c>
      <c r="F84" s="105" t="s">
        <v>226</v>
      </c>
      <c r="G84" s="96"/>
      <c r="H84" s="106">
        <v>0</v>
      </c>
      <c r="I84" s="107" t="str">
        <f t="shared" si="11"/>
        <v>No Delivery</v>
      </c>
      <c r="J84" s="103"/>
      <c r="K84" s="301"/>
      <c r="L84" s="99"/>
      <c r="M84" s="301"/>
      <c r="N84" s="99"/>
      <c r="O84" s="301"/>
      <c r="P84" s="103"/>
      <c r="Q84" s="301"/>
      <c r="R84" s="108"/>
      <c r="S84" s="305"/>
      <c r="T84" s="103"/>
      <c r="U84" s="301"/>
      <c r="V84" s="108"/>
      <c r="W84" s="309"/>
      <c r="X84" s="99">
        <f t="shared" si="5"/>
        <v>0</v>
      </c>
      <c r="Y84" s="101">
        <f t="shared" si="6"/>
        <v>0</v>
      </c>
      <c r="Z84" s="50"/>
      <c r="AA84" s="29">
        <f>X84*IFERROR(VLOOKUP(D84,'Brand List'!$B:$D,3,0),0)</f>
        <v>0</v>
      </c>
      <c r="AB84" s="29">
        <f>H84*IFERROR(VLOOKUP(D84,'Brand List'!$B:$D,3,0),0)</f>
        <v>0</v>
      </c>
      <c r="AC84" s="29">
        <f t="shared" si="7"/>
        <v>0</v>
      </c>
    </row>
    <row r="85" spans="1:29" ht="14.25" customHeight="1">
      <c r="A85" s="20" t="str">
        <f t="shared" si="10"/>
        <v>TEK12</v>
      </c>
      <c r="B85" s="94" t="s">
        <v>222</v>
      </c>
      <c r="C85" s="50" t="s">
        <v>24</v>
      </c>
      <c r="D85" s="50" t="s">
        <v>258</v>
      </c>
      <c r="E85" s="104" t="s">
        <v>259</v>
      </c>
      <c r="F85" s="105" t="s">
        <v>226</v>
      </c>
      <c r="G85" s="96"/>
      <c r="H85" s="106">
        <v>100</v>
      </c>
      <c r="I85" s="107" t="str">
        <f t="shared" si="11"/>
        <v>Delivery</v>
      </c>
      <c r="J85" s="103">
        <v>100</v>
      </c>
      <c r="K85" s="301"/>
      <c r="L85" s="99"/>
      <c r="M85" s="301"/>
      <c r="N85" s="99"/>
      <c r="O85" s="301"/>
      <c r="P85" s="103"/>
      <c r="Q85" s="301"/>
      <c r="R85" s="108"/>
      <c r="S85" s="305"/>
      <c r="T85" s="103"/>
      <c r="U85" s="301"/>
      <c r="V85" s="108"/>
      <c r="W85" s="309"/>
      <c r="X85" s="99">
        <f t="shared" si="5"/>
        <v>100</v>
      </c>
      <c r="Y85" s="101">
        <f t="shared" si="6"/>
        <v>0</v>
      </c>
      <c r="Z85" s="50"/>
      <c r="AA85" s="29">
        <f>X85*IFERROR(VLOOKUP(D85,'Brand List'!$B:$D,3,0),0)</f>
        <v>960000</v>
      </c>
      <c r="AB85" s="29">
        <f>H85*IFERROR(VLOOKUP(D85,'Brand List'!$B:$D,3,0),0)</f>
        <v>960000</v>
      </c>
      <c r="AC85" s="29">
        <f t="shared" si="7"/>
        <v>0</v>
      </c>
    </row>
    <row r="86" spans="1:29" ht="14.25" customHeight="1">
      <c r="A86" s="20" t="str">
        <f t="shared" si="10"/>
        <v>TEK16</v>
      </c>
      <c r="B86" s="94" t="s">
        <v>222</v>
      </c>
      <c r="C86" s="50" t="s">
        <v>95</v>
      </c>
      <c r="D86" s="50" t="s">
        <v>260</v>
      </c>
      <c r="E86" s="104" t="s">
        <v>261</v>
      </c>
      <c r="F86" s="105" t="s">
        <v>226</v>
      </c>
      <c r="G86" s="96"/>
      <c r="H86" s="106">
        <v>0</v>
      </c>
      <c r="I86" s="107" t="str">
        <f t="shared" si="11"/>
        <v>No Delivery</v>
      </c>
      <c r="J86" s="103"/>
      <c r="K86" s="301"/>
      <c r="L86" s="99"/>
      <c r="M86" s="301"/>
      <c r="N86" s="99"/>
      <c r="O86" s="301"/>
      <c r="P86" s="103"/>
      <c r="Q86" s="301"/>
      <c r="R86" s="108"/>
      <c r="S86" s="305"/>
      <c r="T86" s="103"/>
      <c r="U86" s="301"/>
      <c r="V86" s="108"/>
      <c r="W86" s="309"/>
      <c r="X86" s="99">
        <f t="shared" si="5"/>
        <v>0</v>
      </c>
      <c r="Y86" s="101">
        <f t="shared" si="6"/>
        <v>0</v>
      </c>
      <c r="Z86" s="50"/>
      <c r="AA86" s="29">
        <f>X86*IFERROR(VLOOKUP(D86,'Brand List'!$B:$D,3,0),0)</f>
        <v>0</v>
      </c>
      <c r="AB86" s="29">
        <f>H86*IFERROR(VLOOKUP(D86,'Brand List'!$B:$D,3,0),0)</f>
        <v>0</v>
      </c>
      <c r="AC86" s="29">
        <f t="shared" si="7"/>
        <v>0</v>
      </c>
    </row>
    <row r="87" spans="1:29" ht="14.25" customHeight="1">
      <c r="A87" s="20" t="str">
        <f t="shared" si="10"/>
        <v>TEM12</v>
      </c>
      <c r="B87" s="94" t="s">
        <v>222</v>
      </c>
      <c r="C87" s="50" t="s">
        <v>24</v>
      </c>
      <c r="D87" s="50" t="s">
        <v>262</v>
      </c>
      <c r="E87" s="104" t="s">
        <v>263</v>
      </c>
      <c r="F87" s="105" t="s">
        <v>226</v>
      </c>
      <c r="G87" s="96"/>
      <c r="H87" s="106">
        <v>0</v>
      </c>
      <c r="I87" s="107" t="str">
        <f t="shared" si="11"/>
        <v>No Delivery</v>
      </c>
      <c r="J87" s="103"/>
      <c r="K87" s="301"/>
      <c r="L87" s="99"/>
      <c r="M87" s="301"/>
      <c r="N87" s="99"/>
      <c r="O87" s="301"/>
      <c r="P87" s="103"/>
      <c r="Q87" s="301"/>
      <c r="R87" s="108"/>
      <c r="S87" s="305"/>
      <c r="T87" s="103"/>
      <c r="U87" s="301"/>
      <c r="V87" s="108"/>
      <c r="W87" s="309"/>
      <c r="X87" s="99">
        <f t="shared" si="5"/>
        <v>0</v>
      </c>
      <c r="Y87" s="101">
        <f t="shared" si="6"/>
        <v>0</v>
      </c>
      <c r="Z87" s="50"/>
      <c r="AA87" s="29">
        <f>X87*IFERROR(VLOOKUP(D87,'Brand List'!$B:$D,3,0),0)</f>
        <v>0</v>
      </c>
      <c r="AB87" s="29">
        <f>H87*IFERROR(VLOOKUP(D87,'Brand List'!$B:$D,3,0),0)</f>
        <v>0</v>
      </c>
      <c r="AC87" s="29">
        <f t="shared" si="7"/>
        <v>0</v>
      </c>
    </row>
    <row r="88" spans="1:29" ht="14.25" customHeight="1">
      <c r="A88" s="20" t="str">
        <f t="shared" si="10"/>
        <v>KIT12</v>
      </c>
      <c r="B88" s="94" t="s">
        <v>222</v>
      </c>
      <c r="C88" s="50" t="s">
        <v>24</v>
      </c>
      <c r="D88" s="50" t="s">
        <v>264</v>
      </c>
      <c r="E88" s="104" t="s">
        <v>265</v>
      </c>
      <c r="F88" s="105" t="s">
        <v>226</v>
      </c>
      <c r="G88" s="96"/>
      <c r="H88" s="106">
        <v>0</v>
      </c>
      <c r="I88" s="107" t="str">
        <f t="shared" si="11"/>
        <v>No Delivery</v>
      </c>
      <c r="J88" s="103"/>
      <c r="K88" s="301"/>
      <c r="L88" s="99"/>
      <c r="M88" s="301"/>
      <c r="N88" s="99"/>
      <c r="O88" s="301"/>
      <c r="P88" s="103"/>
      <c r="Q88" s="301"/>
      <c r="R88" s="108"/>
      <c r="S88" s="305"/>
      <c r="T88" s="103"/>
      <c r="U88" s="301"/>
      <c r="V88" s="108"/>
      <c r="W88" s="309"/>
      <c r="X88" s="99">
        <f t="shared" si="5"/>
        <v>0</v>
      </c>
      <c r="Y88" s="101">
        <f t="shared" si="6"/>
        <v>0</v>
      </c>
      <c r="Z88" s="50"/>
      <c r="AA88" s="29">
        <f>X88*IFERROR(VLOOKUP(D88,'Brand List'!$B:$D,3,0),0)</f>
        <v>0</v>
      </c>
      <c r="AB88" s="29">
        <f>H88*IFERROR(VLOOKUP(D88,'Brand List'!$B:$D,3,0),0)</f>
        <v>0</v>
      </c>
      <c r="AC88" s="29">
        <f t="shared" si="7"/>
        <v>0</v>
      </c>
    </row>
    <row r="89" spans="1:29" ht="14.25" customHeight="1">
      <c r="A89" s="20" t="str">
        <f t="shared" si="10"/>
        <v>KIT16</v>
      </c>
      <c r="B89" s="94" t="s">
        <v>222</v>
      </c>
      <c r="C89" s="50" t="s">
        <v>95</v>
      </c>
      <c r="D89" s="50" t="s">
        <v>266</v>
      </c>
      <c r="E89" s="104" t="s">
        <v>267</v>
      </c>
      <c r="F89" s="105" t="s">
        <v>226</v>
      </c>
      <c r="G89" s="96"/>
      <c r="H89" s="106">
        <v>140</v>
      </c>
      <c r="I89" s="107" t="str">
        <f t="shared" si="11"/>
        <v>Delivery</v>
      </c>
      <c r="J89" s="103"/>
      <c r="K89" s="301"/>
      <c r="L89" s="99"/>
      <c r="M89" s="301"/>
      <c r="N89" s="99">
        <v>140</v>
      </c>
      <c r="O89" s="301"/>
      <c r="P89" s="103"/>
      <c r="Q89" s="301"/>
      <c r="R89" s="108"/>
      <c r="S89" s="305"/>
      <c r="T89" s="103"/>
      <c r="U89" s="301"/>
      <c r="V89" s="108"/>
      <c r="W89" s="309"/>
      <c r="X89" s="99">
        <f t="shared" si="5"/>
        <v>140</v>
      </c>
      <c r="Y89" s="101">
        <f t="shared" si="6"/>
        <v>0</v>
      </c>
      <c r="Z89" s="50"/>
      <c r="AA89" s="29">
        <f>X89*IFERROR(VLOOKUP(D89,'Brand List'!$B:$D,3,0),0)</f>
        <v>1344000</v>
      </c>
      <c r="AB89" s="29">
        <f>H89*IFERROR(VLOOKUP(D89,'Brand List'!$B:$D,3,0),0)</f>
        <v>1344000</v>
      </c>
      <c r="AC89" s="29">
        <f t="shared" si="7"/>
        <v>0</v>
      </c>
    </row>
    <row r="90" spans="1:29" ht="14.25" customHeight="1">
      <c r="A90" s="20" t="str">
        <f t="shared" si="10"/>
        <v>SOA12</v>
      </c>
      <c r="B90" s="94" t="s">
        <v>222</v>
      </c>
      <c r="C90" s="50" t="s">
        <v>24</v>
      </c>
      <c r="D90" s="50" t="s">
        <v>268</v>
      </c>
      <c r="E90" s="104" t="s">
        <v>269</v>
      </c>
      <c r="F90" s="105" t="s">
        <v>226</v>
      </c>
      <c r="G90" s="96"/>
      <c r="H90" s="106">
        <v>0</v>
      </c>
      <c r="I90" s="107" t="str">
        <f t="shared" si="11"/>
        <v>No Delivery</v>
      </c>
      <c r="J90" s="103"/>
      <c r="K90" s="301"/>
      <c r="L90" s="99"/>
      <c r="M90" s="301"/>
      <c r="N90" s="99"/>
      <c r="O90" s="301"/>
      <c r="P90" s="103"/>
      <c r="Q90" s="301"/>
      <c r="R90" s="108"/>
      <c r="S90" s="305"/>
      <c r="T90" s="103"/>
      <c r="U90" s="301"/>
      <c r="V90" s="108"/>
      <c r="W90" s="309"/>
      <c r="X90" s="99">
        <f t="shared" si="5"/>
        <v>0</v>
      </c>
      <c r="Y90" s="101">
        <f t="shared" si="6"/>
        <v>0</v>
      </c>
      <c r="Z90" s="50"/>
      <c r="AA90" s="29">
        <f>X90*IFERROR(VLOOKUP(D90,'Brand List'!$B:$D,3,0),0)</f>
        <v>0</v>
      </c>
      <c r="AB90" s="29">
        <f>H90*IFERROR(VLOOKUP(D90,'Brand List'!$B:$D,3,0),0)</f>
        <v>0</v>
      </c>
      <c r="AC90" s="29">
        <f t="shared" si="7"/>
        <v>0</v>
      </c>
    </row>
    <row r="91" spans="1:29" ht="14.25" customHeight="1">
      <c r="A91" s="20" t="str">
        <f t="shared" si="10"/>
        <v>DFH12</v>
      </c>
      <c r="B91" s="94" t="s">
        <v>222</v>
      </c>
      <c r="C91" s="50" t="s">
        <v>24</v>
      </c>
      <c r="D91" s="50" t="s">
        <v>270</v>
      </c>
      <c r="E91" s="104" t="s">
        <v>271</v>
      </c>
      <c r="F91" s="105" t="s">
        <v>226</v>
      </c>
      <c r="G91" s="96"/>
      <c r="H91" s="106">
        <v>0</v>
      </c>
      <c r="I91" s="107" t="str">
        <f t="shared" si="11"/>
        <v>No Delivery</v>
      </c>
      <c r="J91" s="103"/>
      <c r="K91" s="302"/>
      <c r="L91" s="99"/>
      <c r="M91" s="302"/>
      <c r="N91" s="99"/>
      <c r="O91" s="302"/>
      <c r="P91" s="103"/>
      <c r="Q91" s="302"/>
      <c r="R91" s="108"/>
      <c r="S91" s="306"/>
      <c r="T91" s="103"/>
      <c r="U91" s="302"/>
      <c r="V91" s="108"/>
      <c r="W91" s="310"/>
      <c r="X91" s="99">
        <f t="shared" si="5"/>
        <v>0</v>
      </c>
      <c r="Y91" s="101">
        <f t="shared" si="6"/>
        <v>0</v>
      </c>
      <c r="Z91" s="50"/>
      <c r="AA91" s="29">
        <f>X91*IFERROR(VLOOKUP(D91,'Brand List'!$B:$D,3,0),0)</f>
        <v>0</v>
      </c>
      <c r="AB91" s="29">
        <f>H91*IFERROR(VLOOKUP(D91,'Brand List'!$B:$D,3,0),0)</f>
        <v>0</v>
      </c>
      <c r="AC91" s="29">
        <f t="shared" si="7"/>
        <v>0</v>
      </c>
    </row>
    <row r="92" spans="1:29" ht="14.25" customHeight="1">
      <c r="A92" s="111" t="str">
        <f t="shared" si="10"/>
        <v>APB12</v>
      </c>
      <c r="B92" s="83" t="s">
        <v>272</v>
      </c>
      <c r="C92" s="84" t="s">
        <v>70</v>
      </c>
      <c r="D92" s="84" t="s">
        <v>273</v>
      </c>
      <c r="E92" s="85" t="s">
        <v>274</v>
      </c>
      <c r="F92" s="86" t="s">
        <v>27</v>
      </c>
      <c r="G92" s="87"/>
      <c r="H92" s="88">
        <v>75</v>
      </c>
      <c r="I92" s="89" t="str">
        <f t="shared" si="11"/>
        <v>Delivery</v>
      </c>
      <c r="J92" s="90"/>
      <c r="K92" s="300">
        <v>2</v>
      </c>
      <c r="L92" s="90"/>
      <c r="M92" s="300">
        <v>1</v>
      </c>
      <c r="N92" s="90">
        <v>75</v>
      </c>
      <c r="O92" s="300">
        <v>1</v>
      </c>
      <c r="P92" s="90"/>
      <c r="Q92" s="300"/>
      <c r="R92" s="92"/>
      <c r="S92" s="304"/>
      <c r="T92" s="90"/>
      <c r="U92" s="300"/>
      <c r="V92" s="92"/>
      <c r="W92" s="304"/>
      <c r="X92" s="90">
        <f t="shared" si="5"/>
        <v>75</v>
      </c>
      <c r="Y92" s="91">
        <f t="shared" si="6"/>
        <v>0</v>
      </c>
      <c r="Z92" s="84"/>
      <c r="AA92" s="29">
        <f>X92*IFERROR(VLOOKUP(D92,'Brand List'!$B:$D,3,0),0)</f>
        <v>720000</v>
      </c>
      <c r="AB92" s="29">
        <f>H92*IFERROR(VLOOKUP(D92,'Brand List'!$B:$D,3,0),0)</f>
        <v>720000</v>
      </c>
      <c r="AC92" s="29">
        <f t="shared" si="7"/>
        <v>0</v>
      </c>
    </row>
    <row r="93" spans="1:29" ht="14.25" customHeight="1">
      <c r="A93" s="111" t="str">
        <f t="shared" si="10"/>
        <v>APB20</v>
      </c>
      <c r="B93" s="83" t="s">
        <v>272</v>
      </c>
      <c r="C93" s="84" t="s">
        <v>56</v>
      </c>
      <c r="D93" s="84" t="s">
        <v>275</v>
      </c>
      <c r="E93" s="85" t="s">
        <v>276</v>
      </c>
      <c r="F93" s="86" t="s">
        <v>27</v>
      </c>
      <c r="G93" s="87"/>
      <c r="H93" s="88">
        <v>1700</v>
      </c>
      <c r="I93" s="89" t="str">
        <f t="shared" si="11"/>
        <v>Partial Delivery</v>
      </c>
      <c r="J93" s="90">
        <v>710</v>
      </c>
      <c r="K93" s="301"/>
      <c r="L93" s="90">
        <v>530</v>
      </c>
      <c r="M93" s="301"/>
      <c r="N93" s="90">
        <v>460</v>
      </c>
      <c r="O93" s="301"/>
      <c r="P93" s="90"/>
      <c r="Q93" s="301"/>
      <c r="R93" s="92"/>
      <c r="S93" s="305"/>
      <c r="T93" s="90"/>
      <c r="U93" s="301"/>
      <c r="V93" s="92"/>
      <c r="W93" s="305"/>
      <c r="X93" s="90">
        <f t="shared" si="5"/>
        <v>1700</v>
      </c>
      <c r="Y93" s="91">
        <f t="shared" si="6"/>
        <v>0</v>
      </c>
      <c r="Z93" s="84"/>
      <c r="AA93" s="29">
        <f>X93*IFERROR(VLOOKUP(D93,'Brand List'!$B:$D,3,0),0)</f>
        <v>20400000</v>
      </c>
      <c r="AB93" s="29">
        <f>H93*IFERROR(VLOOKUP(D93,'Brand List'!$B:$D,3,0),0)</f>
        <v>20400000</v>
      </c>
      <c r="AC93" s="29">
        <f t="shared" si="7"/>
        <v>0</v>
      </c>
    </row>
    <row r="94" spans="1:29" ht="14.25" customHeight="1">
      <c r="A94" s="111" t="str">
        <f t="shared" si="10"/>
        <v>APR20</v>
      </c>
      <c r="B94" s="83" t="s">
        <v>272</v>
      </c>
      <c r="C94" s="84" t="s">
        <v>56</v>
      </c>
      <c r="D94" s="113" t="s">
        <v>277</v>
      </c>
      <c r="E94" s="85" t="s">
        <v>278</v>
      </c>
      <c r="F94" s="86" t="s">
        <v>27</v>
      </c>
      <c r="G94" s="87"/>
      <c r="H94" s="88">
        <v>250</v>
      </c>
      <c r="I94" s="89" t="str">
        <f t="shared" si="11"/>
        <v>Partial Delivery</v>
      </c>
      <c r="J94" s="90">
        <v>200</v>
      </c>
      <c r="K94" s="301"/>
      <c r="L94" s="90"/>
      <c r="M94" s="301"/>
      <c r="N94" s="90">
        <v>50</v>
      </c>
      <c r="O94" s="301"/>
      <c r="P94" s="90"/>
      <c r="Q94" s="301"/>
      <c r="R94" s="92"/>
      <c r="S94" s="305"/>
      <c r="T94" s="90"/>
      <c r="U94" s="301"/>
      <c r="V94" s="92"/>
      <c r="W94" s="305"/>
      <c r="X94" s="90">
        <f t="shared" si="5"/>
        <v>250</v>
      </c>
      <c r="Y94" s="91">
        <f t="shared" si="6"/>
        <v>0</v>
      </c>
      <c r="Z94" s="84"/>
      <c r="AA94" s="29">
        <f>X94*IFERROR(VLOOKUP(D94,'Brand List'!$B:$D,3,0),0)</f>
        <v>3000000</v>
      </c>
      <c r="AB94" s="29">
        <f>H94*IFERROR(VLOOKUP(D94,'Brand List'!$B:$D,3,0),0)</f>
        <v>3000000</v>
      </c>
      <c r="AC94" s="29">
        <f t="shared" si="7"/>
        <v>0</v>
      </c>
    </row>
    <row r="95" spans="1:29" ht="14.25" customHeight="1">
      <c r="A95" s="111" t="str">
        <f t="shared" si="10"/>
        <v>API12</v>
      </c>
      <c r="B95" s="83" t="s">
        <v>272</v>
      </c>
      <c r="C95" s="84" t="s">
        <v>70</v>
      </c>
      <c r="D95" s="84" t="s">
        <v>279</v>
      </c>
      <c r="E95" s="85" t="s">
        <v>280</v>
      </c>
      <c r="F95" s="86" t="s">
        <v>27</v>
      </c>
      <c r="G95" s="87"/>
      <c r="H95" s="88">
        <v>50</v>
      </c>
      <c r="I95" s="89" t="str">
        <f t="shared" si="11"/>
        <v>Delivery</v>
      </c>
      <c r="J95" s="90"/>
      <c r="K95" s="301"/>
      <c r="L95" s="90"/>
      <c r="M95" s="301"/>
      <c r="N95" s="90">
        <v>50</v>
      </c>
      <c r="O95" s="301"/>
      <c r="P95" s="90"/>
      <c r="Q95" s="301"/>
      <c r="R95" s="92"/>
      <c r="S95" s="305"/>
      <c r="T95" s="90"/>
      <c r="U95" s="301"/>
      <c r="V95" s="92"/>
      <c r="W95" s="305"/>
      <c r="X95" s="90">
        <f t="shared" si="5"/>
        <v>50</v>
      </c>
      <c r="Y95" s="91">
        <f t="shared" si="6"/>
        <v>0</v>
      </c>
      <c r="Z95" s="84"/>
      <c r="AA95" s="29">
        <f>X95*IFERROR(VLOOKUP(D95,'Brand List'!$B:$D,3,0),0)</f>
        <v>480000</v>
      </c>
      <c r="AB95" s="29">
        <f>H95*IFERROR(VLOOKUP(D95,'Brand List'!$B:$D,3,0),0)</f>
        <v>480000</v>
      </c>
      <c r="AC95" s="29">
        <f t="shared" si="7"/>
        <v>0</v>
      </c>
    </row>
    <row r="96" spans="1:29" ht="14.25" customHeight="1">
      <c r="A96" s="111" t="str">
        <f t="shared" si="10"/>
        <v>API16</v>
      </c>
      <c r="B96" s="83" t="s">
        <v>272</v>
      </c>
      <c r="C96" s="84" t="s">
        <v>76</v>
      </c>
      <c r="D96" s="84" t="s">
        <v>281</v>
      </c>
      <c r="E96" s="85" t="s">
        <v>282</v>
      </c>
      <c r="F96" s="86" t="s">
        <v>27</v>
      </c>
      <c r="G96" s="87"/>
      <c r="H96" s="88">
        <v>250</v>
      </c>
      <c r="I96" s="89" t="str">
        <f t="shared" si="11"/>
        <v>Partial Delivery</v>
      </c>
      <c r="J96" s="90">
        <v>200</v>
      </c>
      <c r="K96" s="302"/>
      <c r="L96" s="90"/>
      <c r="M96" s="302"/>
      <c r="N96" s="90">
        <v>50</v>
      </c>
      <c r="O96" s="302"/>
      <c r="P96" s="90"/>
      <c r="Q96" s="302"/>
      <c r="R96" s="92"/>
      <c r="S96" s="306"/>
      <c r="T96" s="90"/>
      <c r="U96" s="302"/>
      <c r="V96" s="92"/>
      <c r="W96" s="306"/>
      <c r="X96" s="90">
        <f t="shared" si="5"/>
        <v>250</v>
      </c>
      <c r="Y96" s="91">
        <f t="shared" si="6"/>
        <v>0</v>
      </c>
      <c r="Z96" s="84"/>
      <c r="AA96" s="29">
        <f>X96*IFERROR(VLOOKUP(D96,'Brand List'!$B:$D,3,0),0)</f>
        <v>2400000</v>
      </c>
      <c r="AB96" s="29">
        <f>H96*IFERROR(VLOOKUP(D96,'Brand List'!$B:$D,3,0),0)</f>
        <v>2400000</v>
      </c>
      <c r="AC96" s="29">
        <f t="shared" si="7"/>
        <v>0</v>
      </c>
    </row>
    <row r="97" spans="1:29" ht="14.25" customHeight="1">
      <c r="A97" s="20" t="str">
        <f t="shared" si="10"/>
        <v>DFR20</v>
      </c>
      <c r="B97" s="94" t="s">
        <v>283</v>
      </c>
      <c r="C97" s="50" t="s">
        <v>56</v>
      </c>
      <c r="D97" s="50" t="s">
        <v>284</v>
      </c>
      <c r="E97" s="104" t="s">
        <v>285</v>
      </c>
      <c r="F97" s="105" t="s">
        <v>226</v>
      </c>
      <c r="G97" s="96"/>
      <c r="H97" s="106">
        <v>150</v>
      </c>
      <c r="I97" s="107" t="str">
        <f t="shared" si="11"/>
        <v>Partial Delivery</v>
      </c>
      <c r="J97" s="99"/>
      <c r="K97" s="101"/>
      <c r="L97" s="99">
        <v>100</v>
      </c>
      <c r="M97" s="101">
        <v>1</v>
      </c>
      <c r="N97" s="99">
        <v>50</v>
      </c>
      <c r="O97" s="101">
        <v>1</v>
      </c>
      <c r="P97" s="99"/>
      <c r="Q97" s="101"/>
      <c r="R97" s="100"/>
      <c r="S97" s="102"/>
      <c r="T97" s="99"/>
      <c r="U97" s="101"/>
      <c r="V97" s="100"/>
      <c r="W97" s="102"/>
      <c r="X97" s="99">
        <f t="shared" si="5"/>
        <v>150</v>
      </c>
      <c r="Y97" s="101">
        <f t="shared" si="6"/>
        <v>0</v>
      </c>
      <c r="Z97" s="50"/>
      <c r="AA97" s="29">
        <f>X97*IFERROR(VLOOKUP(D97,'Brand List'!$B:$D,3,0),0)</f>
        <v>1800000</v>
      </c>
      <c r="AB97" s="29">
        <f>H97*IFERROR(VLOOKUP(D97,'Brand List'!$B:$D,3,0),0)</f>
        <v>1800000</v>
      </c>
      <c r="AC97" s="29">
        <f t="shared" si="7"/>
        <v>0</v>
      </c>
    </row>
    <row r="98" spans="1:29" ht="14.25" customHeight="1">
      <c r="A98" s="20" t="str">
        <f t="shared" si="10"/>
        <v>GLP16</v>
      </c>
      <c r="B98" s="94" t="s">
        <v>283</v>
      </c>
      <c r="C98" s="50" t="s">
        <v>76</v>
      </c>
      <c r="D98" s="50" t="s">
        <v>286</v>
      </c>
      <c r="E98" s="104" t="s">
        <v>287</v>
      </c>
      <c r="F98" s="105" t="s">
        <v>226</v>
      </c>
      <c r="G98" s="96"/>
      <c r="H98" s="106">
        <v>0</v>
      </c>
      <c r="I98" s="107" t="str">
        <f t="shared" si="11"/>
        <v>No Delivery</v>
      </c>
      <c r="J98" s="99"/>
      <c r="K98" s="303"/>
      <c r="L98" s="99"/>
      <c r="M98" s="303"/>
      <c r="N98" s="99"/>
      <c r="O98" s="303"/>
      <c r="P98" s="99"/>
      <c r="Q98" s="303"/>
      <c r="R98" s="100"/>
      <c r="S98" s="308"/>
      <c r="T98" s="99"/>
      <c r="U98" s="303"/>
      <c r="V98" s="100"/>
      <c r="W98" s="308"/>
      <c r="X98" s="99">
        <f t="shared" si="5"/>
        <v>0</v>
      </c>
      <c r="Y98" s="101">
        <f t="shared" si="6"/>
        <v>0</v>
      </c>
      <c r="Z98" s="50"/>
      <c r="AA98" s="29">
        <f>X98*IFERROR(VLOOKUP(D98,'Brand List'!$B:$D,3,0),0)</f>
        <v>0</v>
      </c>
      <c r="AB98" s="29">
        <f>H98*IFERROR(VLOOKUP(D98,'Brand List'!$B:$D,3,0),0)</f>
        <v>0</v>
      </c>
      <c r="AC98" s="29">
        <f t="shared" si="7"/>
        <v>0</v>
      </c>
    </row>
    <row r="99" spans="1:29" ht="14.25" customHeight="1">
      <c r="A99" s="20" t="str">
        <f t="shared" si="10"/>
        <v>GLY16</v>
      </c>
      <c r="B99" s="94" t="s">
        <v>283</v>
      </c>
      <c r="C99" s="50" t="s">
        <v>76</v>
      </c>
      <c r="D99" s="50" t="s">
        <v>288</v>
      </c>
      <c r="E99" s="104" t="s">
        <v>289</v>
      </c>
      <c r="F99" s="105" t="s">
        <v>226</v>
      </c>
      <c r="G99" s="96"/>
      <c r="H99" s="106">
        <v>0</v>
      </c>
      <c r="I99" s="107" t="str">
        <f t="shared" si="11"/>
        <v>No Delivery</v>
      </c>
      <c r="J99" s="99"/>
      <c r="K99" s="302"/>
      <c r="L99" s="99"/>
      <c r="M99" s="302"/>
      <c r="N99" s="99"/>
      <c r="O99" s="302"/>
      <c r="P99" s="99"/>
      <c r="Q99" s="302"/>
      <c r="R99" s="100"/>
      <c r="S99" s="310"/>
      <c r="T99" s="99"/>
      <c r="U99" s="302"/>
      <c r="V99" s="100"/>
      <c r="W99" s="310"/>
      <c r="X99" s="99">
        <f t="shared" si="5"/>
        <v>0</v>
      </c>
      <c r="Y99" s="101">
        <f t="shared" si="6"/>
        <v>0</v>
      </c>
      <c r="Z99" s="50"/>
      <c r="AA99" s="29">
        <f>X99*IFERROR(VLOOKUP(D99,'Brand List'!$B:$D,3,0),0)</f>
        <v>0</v>
      </c>
      <c r="AB99" s="29">
        <f>H99*IFERROR(VLOOKUP(D99,'Brand List'!$B:$D,3,0),0)</f>
        <v>0</v>
      </c>
      <c r="AC99" s="29">
        <f t="shared" si="7"/>
        <v>0</v>
      </c>
    </row>
    <row r="100" spans="1:29" ht="14.25" customHeight="1">
      <c r="A100" s="2"/>
      <c r="B100" s="114"/>
      <c r="C100" s="115"/>
      <c r="D100" s="115"/>
      <c r="E100" s="115"/>
      <c r="F100" s="116"/>
      <c r="G100" s="117">
        <f t="shared" ref="G100:H100" si="12">SUM(G6:G99)</f>
        <v>0</v>
      </c>
      <c r="H100" s="118">
        <f t="shared" si="12"/>
        <v>21945</v>
      </c>
      <c r="I100" s="119"/>
      <c r="J100" s="117">
        <f t="shared" ref="J100:Y100" si="13">SUM(J6:J99)</f>
        <v>4954</v>
      </c>
      <c r="K100" s="118">
        <f t="shared" si="13"/>
        <v>13</v>
      </c>
      <c r="L100" s="117">
        <f t="shared" si="13"/>
        <v>4841</v>
      </c>
      <c r="M100" s="118">
        <f t="shared" si="13"/>
        <v>13</v>
      </c>
      <c r="N100" s="117">
        <f t="shared" si="13"/>
        <v>3355</v>
      </c>
      <c r="O100" s="118">
        <f t="shared" si="13"/>
        <v>10</v>
      </c>
      <c r="P100" s="117">
        <f t="shared" si="13"/>
        <v>2224</v>
      </c>
      <c r="Q100" s="118">
        <f t="shared" si="13"/>
        <v>4</v>
      </c>
      <c r="R100" s="120">
        <f t="shared" si="13"/>
        <v>1826</v>
      </c>
      <c r="S100" s="121">
        <f t="shared" si="13"/>
        <v>5</v>
      </c>
      <c r="T100" s="117">
        <f t="shared" si="13"/>
        <v>955</v>
      </c>
      <c r="U100" s="118">
        <f t="shared" si="13"/>
        <v>4</v>
      </c>
      <c r="V100" s="120">
        <f t="shared" si="13"/>
        <v>0</v>
      </c>
      <c r="W100" s="121">
        <f t="shared" si="13"/>
        <v>0</v>
      </c>
      <c r="X100" s="117">
        <f t="shared" si="13"/>
        <v>18155</v>
      </c>
      <c r="Y100" s="118">
        <f t="shared" si="13"/>
        <v>-3790</v>
      </c>
      <c r="Z100" s="122">
        <f>'GR (for admin only)'!Z100</f>
        <v>0</v>
      </c>
      <c r="AA100" s="29">
        <f t="shared" ref="AA100:AC100" si="14">SUM(AA6:AA99)</f>
        <v>185616000</v>
      </c>
      <c r="AB100" s="29">
        <f t="shared" si="14"/>
        <v>223376000</v>
      </c>
      <c r="AC100" s="29">
        <f t="shared" si="14"/>
        <v>-37760000</v>
      </c>
    </row>
    <row r="101" spans="1:29" ht="14.25" customHeight="1">
      <c r="A101" s="58"/>
      <c r="B101" s="123"/>
      <c r="C101" s="123"/>
      <c r="D101" s="123"/>
      <c r="E101" s="123"/>
      <c r="F101" s="123"/>
      <c r="G101" s="123"/>
      <c r="H101" s="123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124"/>
      <c r="Y101" s="58"/>
      <c r="Z101" s="2"/>
      <c r="AA101" s="4"/>
      <c r="AB101" s="4"/>
      <c r="AC101" s="4"/>
    </row>
    <row r="102" spans="1:29" ht="14.25" customHeight="1">
      <c r="A102" s="58"/>
      <c r="B102" s="123"/>
      <c r="C102" s="123"/>
      <c r="D102" s="123"/>
      <c r="E102" s="123"/>
      <c r="F102" s="123"/>
      <c r="G102" s="123"/>
      <c r="H102" s="12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"/>
      <c r="AB102" s="4"/>
      <c r="AC102" s="4"/>
    </row>
    <row r="103" spans="1:29" ht="14.25" customHeight="1">
      <c r="A103" s="58"/>
      <c r="B103" s="123"/>
      <c r="C103" s="123"/>
      <c r="D103" s="123"/>
      <c r="E103" s="123"/>
      <c r="F103" s="123"/>
      <c r="G103" s="123"/>
      <c r="H103" s="12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"/>
      <c r="AB103" s="4"/>
      <c r="AC103" s="4"/>
    </row>
    <row r="104" spans="1:29" ht="14.25" customHeight="1">
      <c r="A104" s="58"/>
      <c r="B104" s="123"/>
      <c r="C104" s="123"/>
      <c r="D104" s="123"/>
      <c r="E104" s="123"/>
      <c r="F104" s="123"/>
      <c r="G104" s="123"/>
      <c r="H104" s="12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"/>
      <c r="AB104" s="4"/>
      <c r="AC104" s="4"/>
    </row>
    <row r="105" spans="1:29" ht="14.25" customHeight="1">
      <c r="A105" s="58"/>
      <c r="B105" s="123"/>
      <c r="C105" s="123"/>
      <c r="D105" s="123"/>
      <c r="E105" s="123"/>
      <c r="F105" s="123"/>
      <c r="G105" s="123"/>
      <c r="H105" s="12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"/>
      <c r="AB105" s="4"/>
      <c r="AC105" s="4"/>
    </row>
    <row r="106" spans="1:29" ht="14.25" customHeight="1">
      <c r="A106" s="58"/>
      <c r="B106" s="123"/>
      <c r="C106" s="123"/>
      <c r="D106" s="123"/>
      <c r="E106" s="123"/>
      <c r="F106" s="123"/>
      <c r="G106" s="123"/>
      <c r="H106" s="12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"/>
      <c r="AB106" s="4"/>
      <c r="AC106" s="4"/>
    </row>
    <row r="107" spans="1:29" ht="14.25" customHeight="1">
      <c r="A107" s="58"/>
      <c r="B107" s="123"/>
      <c r="C107" s="123"/>
      <c r="D107" s="123"/>
      <c r="E107" s="123"/>
      <c r="F107" s="123"/>
      <c r="G107" s="123"/>
      <c r="H107" s="12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"/>
      <c r="AB107" s="4"/>
      <c r="AC107" s="4"/>
    </row>
    <row r="108" spans="1:29" ht="14.25" customHeight="1">
      <c r="A108" s="58"/>
      <c r="B108" s="123"/>
      <c r="C108" s="123"/>
      <c r="D108" s="123"/>
      <c r="E108" s="123"/>
      <c r="F108" s="123"/>
      <c r="G108" s="123"/>
      <c r="H108" s="12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"/>
      <c r="AB108" s="4"/>
      <c r="AC108" s="4"/>
    </row>
    <row r="109" spans="1:29" ht="14.25" customHeight="1">
      <c r="A109" s="58"/>
      <c r="B109" s="123"/>
      <c r="C109" s="123"/>
      <c r="D109" s="123"/>
      <c r="E109" s="123"/>
      <c r="F109" s="123"/>
      <c r="G109" s="123"/>
      <c r="H109" s="12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"/>
      <c r="AB109" s="4"/>
      <c r="AC109" s="4"/>
    </row>
    <row r="110" spans="1:29" ht="14.25" customHeight="1">
      <c r="A110" s="58"/>
      <c r="B110" s="123"/>
      <c r="C110" s="123"/>
      <c r="D110" s="123"/>
      <c r="E110" s="123"/>
      <c r="F110" s="123"/>
      <c r="G110" s="123"/>
      <c r="H110" s="12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"/>
      <c r="AB110" s="4"/>
      <c r="AC110" s="4"/>
    </row>
    <row r="111" spans="1:29" ht="14.25" customHeight="1">
      <c r="A111" s="58"/>
      <c r="B111" s="123"/>
      <c r="C111" s="123"/>
      <c r="D111" s="123"/>
      <c r="E111" s="123"/>
      <c r="F111" s="123"/>
      <c r="G111" s="123"/>
      <c r="H111" s="12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"/>
      <c r="AB111" s="4"/>
      <c r="AC111" s="4"/>
    </row>
    <row r="112" spans="1:29" ht="14.25" customHeight="1">
      <c r="A112" s="58"/>
      <c r="B112" s="123"/>
      <c r="C112" s="123"/>
      <c r="D112" s="123"/>
      <c r="E112" s="123"/>
      <c r="F112" s="123"/>
      <c r="G112" s="123"/>
      <c r="H112" s="12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"/>
      <c r="AB112" s="4"/>
      <c r="AC112" s="4"/>
    </row>
    <row r="113" spans="1:29" ht="14.25" customHeight="1">
      <c r="A113" s="58"/>
      <c r="B113" s="123"/>
      <c r="C113" s="123"/>
      <c r="D113" s="123"/>
      <c r="E113" s="123"/>
      <c r="F113" s="123"/>
      <c r="G113" s="123"/>
      <c r="H113" s="12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"/>
      <c r="AB113" s="4"/>
      <c r="AC113" s="4"/>
    </row>
    <row r="114" spans="1:29" ht="14.25" customHeight="1">
      <c r="A114" s="58"/>
      <c r="B114" s="123"/>
      <c r="C114" s="123"/>
      <c r="D114" s="123"/>
      <c r="E114" s="123"/>
      <c r="F114" s="123"/>
      <c r="G114" s="123"/>
      <c r="H114" s="12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"/>
      <c r="AB114" s="4"/>
      <c r="AC114" s="4"/>
    </row>
    <row r="115" spans="1:29" ht="14.25" customHeight="1">
      <c r="A115" s="58"/>
      <c r="B115" s="123"/>
      <c r="C115" s="123"/>
      <c r="D115" s="123"/>
      <c r="E115" s="123"/>
      <c r="F115" s="123"/>
      <c r="G115" s="123"/>
      <c r="H115" s="12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"/>
      <c r="AB115" s="4"/>
      <c r="AC115" s="4"/>
    </row>
    <row r="116" spans="1:29" ht="14.25" customHeight="1">
      <c r="A116" s="58"/>
      <c r="B116" s="123"/>
      <c r="C116" s="123"/>
      <c r="D116" s="123"/>
      <c r="E116" s="123"/>
      <c r="F116" s="123"/>
      <c r="G116" s="123"/>
      <c r="H116" s="12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"/>
      <c r="AB116" s="4"/>
      <c r="AC116" s="4"/>
    </row>
    <row r="117" spans="1:29" ht="14.25" customHeight="1">
      <c r="A117" s="58"/>
      <c r="B117" s="123"/>
      <c r="C117" s="123"/>
      <c r="D117" s="123"/>
      <c r="E117" s="123"/>
      <c r="F117" s="123"/>
      <c r="G117" s="123"/>
      <c r="H117" s="12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"/>
      <c r="AB117" s="4"/>
      <c r="AC117" s="4"/>
    </row>
    <row r="118" spans="1:29" ht="14.25" customHeight="1">
      <c r="A118" s="58"/>
      <c r="B118" s="123"/>
      <c r="C118" s="123"/>
      <c r="D118" s="123"/>
      <c r="E118" s="123"/>
      <c r="F118" s="123"/>
      <c r="G118" s="123"/>
      <c r="H118" s="12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"/>
      <c r="AB118" s="4"/>
      <c r="AC118" s="4"/>
    </row>
    <row r="119" spans="1:29" ht="14.25" customHeight="1">
      <c r="A119" s="58"/>
      <c r="B119" s="123"/>
      <c r="C119" s="123"/>
      <c r="D119" s="123"/>
      <c r="E119" s="123"/>
      <c r="F119" s="123"/>
      <c r="G119" s="123"/>
      <c r="H119" s="12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"/>
      <c r="AB119" s="4"/>
      <c r="AC119" s="4"/>
    </row>
    <row r="120" spans="1:29" ht="14.25" customHeight="1">
      <c r="A120" s="58"/>
      <c r="B120" s="123"/>
      <c r="C120" s="123"/>
      <c r="D120" s="123"/>
      <c r="E120" s="123"/>
      <c r="F120" s="123"/>
      <c r="G120" s="123"/>
      <c r="H120" s="12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"/>
      <c r="AB120" s="4"/>
      <c r="AC120" s="4"/>
    </row>
    <row r="121" spans="1:29" ht="14.25" customHeight="1">
      <c r="A121" s="58"/>
      <c r="B121" s="123"/>
      <c r="C121" s="123"/>
      <c r="D121" s="123"/>
      <c r="E121" s="123"/>
      <c r="F121" s="123"/>
      <c r="G121" s="123"/>
      <c r="H121" s="12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4"/>
      <c r="AB121" s="4"/>
      <c r="AC121" s="4"/>
    </row>
    <row r="122" spans="1:29" ht="14.25" customHeight="1">
      <c r="A122" s="58"/>
      <c r="B122" s="123"/>
      <c r="C122" s="123"/>
      <c r="D122" s="123"/>
      <c r="E122" s="123"/>
      <c r="F122" s="123"/>
      <c r="G122" s="123"/>
      <c r="H122" s="12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4"/>
      <c r="AB122" s="4"/>
      <c r="AC122" s="4"/>
    </row>
    <row r="123" spans="1:29" ht="14.25" customHeight="1">
      <c r="A123" s="58"/>
      <c r="B123" s="123"/>
      <c r="C123" s="123"/>
      <c r="D123" s="123"/>
      <c r="E123" s="123"/>
      <c r="F123" s="123"/>
      <c r="G123" s="123"/>
      <c r="H123" s="12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4"/>
      <c r="AB123" s="4"/>
      <c r="AC123" s="4"/>
    </row>
    <row r="124" spans="1:29" ht="14.25" customHeight="1">
      <c r="A124" s="58"/>
      <c r="B124" s="123"/>
      <c r="C124" s="123"/>
      <c r="D124" s="123"/>
      <c r="E124" s="123"/>
      <c r="F124" s="123"/>
      <c r="G124" s="123"/>
      <c r="H124" s="12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4"/>
      <c r="AB124" s="4"/>
      <c r="AC124" s="4"/>
    </row>
    <row r="125" spans="1:29" ht="14.25" customHeight="1">
      <c r="A125" s="58"/>
      <c r="B125" s="123"/>
      <c r="C125" s="123"/>
      <c r="D125" s="123"/>
      <c r="E125" s="123"/>
      <c r="F125" s="123"/>
      <c r="G125" s="123"/>
      <c r="H125" s="12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4"/>
      <c r="AB125" s="4"/>
      <c r="AC125" s="4"/>
    </row>
    <row r="126" spans="1:29" ht="14.25" customHeight="1">
      <c r="A126" s="58"/>
      <c r="B126" s="123"/>
      <c r="C126" s="123"/>
      <c r="D126" s="123"/>
      <c r="E126" s="123"/>
      <c r="F126" s="123"/>
      <c r="G126" s="123"/>
      <c r="H126" s="12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4"/>
      <c r="AB126" s="4"/>
      <c r="AC126" s="4"/>
    </row>
    <row r="127" spans="1:29" ht="14.25" customHeight="1">
      <c r="A127" s="58"/>
      <c r="B127" s="123"/>
      <c r="C127" s="123"/>
      <c r="D127" s="123"/>
      <c r="E127" s="123"/>
      <c r="F127" s="123"/>
      <c r="G127" s="123"/>
      <c r="H127" s="12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4"/>
      <c r="AB127" s="4"/>
      <c r="AC127" s="4"/>
    </row>
    <row r="128" spans="1:29" ht="14.25" customHeight="1">
      <c r="A128" s="58"/>
      <c r="B128" s="123"/>
      <c r="C128" s="123"/>
      <c r="D128" s="123"/>
      <c r="E128" s="123"/>
      <c r="F128" s="123"/>
      <c r="G128" s="123"/>
      <c r="H128" s="12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4"/>
      <c r="AB128" s="4"/>
      <c r="AC128" s="4"/>
    </row>
    <row r="129" spans="1:29" ht="14.25" customHeight="1">
      <c r="A129" s="58"/>
      <c r="B129" s="123"/>
      <c r="C129" s="123"/>
      <c r="D129" s="123"/>
      <c r="E129" s="123"/>
      <c r="F129" s="123"/>
      <c r="G129" s="123"/>
      <c r="H129" s="12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4"/>
      <c r="AB129" s="4"/>
      <c r="AC129" s="4"/>
    </row>
    <row r="130" spans="1:29" ht="14.25" customHeight="1">
      <c r="A130" s="58"/>
      <c r="B130" s="123"/>
      <c r="C130" s="123"/>
      <c r="D130" s="123"/>
      <c r="E130" s="123"/>
      <c r="F130" s="123"/>
      <c r="G130" s="123"/>
      <c r="H130" s="12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4"/>
      <c r="AB130" s="4"/>
      <c r="AC130" s="4"/>
    </row>
    <row r="131" spans="1:29" ht="14.25" customHeight="1">
      <c r="A131" s="58"/>
      <c r="B131" s="123"/>
      <c r="C131" s="123"/>
      <c r="D131" s="123"/>
      <c r="E131" s="123"/>
      <c r="F131" s="123"/>
      <c r="G131" s="123"/>
      <c r="H131" s="12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4"/>
      <c r="AB131" s="4"/>
      <c r="AC131" s="4"/>
    </row>
    <row r="132" spans="1:29" ht="14.25" customHeight="1">
      <c r="A132" s="58"/>
      <c r="B132" s="123"/>
      <c r="C132" s="123"/>
      <c r="D132" s="123"/>
      <c r="E132" s="123"/>
      <c r="F132" s="123"/>
      <c r="G132" s="123"/>
      <c r="H132" s="12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4"/>
      <c r="AB132" s="4"/>
      <c r="AC132" s="4"/>
    </row>
    <row r="133" spans="1:29" ht="14.25" customHeight="1">
      <c r="A133" s="58"/>
      <c r="B133" s="123"/>
      <c r="C133" s="123"/>
      <c r="D133" s="123"/>
      <c r="E133" s="123"/>
      <c r="F133" s="123"/>
      <c r="G133" s="123"/>
      <c r="H133" s="12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4"/>
      <c r="AB133" s="4"/>
      <c r="AC133" s="4"/>
    </row>
    <row r="134" spans="1:29" ht="14.25" customHeight="1">
      <c r="A134" s="58"/>
      <c r="B134" s="123"/>
      <c r="C134" s="123"/>
      <c r="D134" s="123"/>
      <c r="E134" s="123"/>
      <c r="F134" s="123"/>
      <c r="G134" s="123"/>
      <c r="H134" s="12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4"/>
      <c r="AB134" s="4"/>
      <c r="AC134" s="4"/>
    </row>
    <row r="135" spans="1:29" ht="14.25" customHeight="1">
      <c r="A135" s="58"/>
      <c r="B135" s="123"/>
      <c r="C135" s="123"/>
      <c r="D135" s="123"/>
      <c r="E135" s="123"/>
      <c r="F135" s="123"/>
      <c r="G135" s="123"/>
      <c r="H135" s="12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4"/>
      <c r="AB135" s="4"/>
      <c r="AC135" s="4"/>
    </row>
    <row r="136" spans="1:29" ht="14.25" customHeight="1">
      <c r="A136" s="58"/>
      <c r="B136" s="123"/>
      <c r="C136" s="123"/>
      <c r="D136" s="123"/>
      <c r="E136" s="123"/>
      <c r="F136" s="123"/>
      <c r="G136" s="123"/>
      <c r="H136" s="12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4"/>
      <c r="AB136" s="4"/>
      <c r="AC136" s="4"/>
    </row>
    <row r="137" spans="1:29" ht="14.25" customHeight="1">
      <c r="A137" s="58"/>
      <c r="B137" s="123"/>
      <c r="C137" s="123"/>
      <c r="D137" s="123"/>
      <c r="E137" s="123"/>
      <c r="F137" s="123"/>
      <c r="G137" s="123"/>
      <c r="H137" s="12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4"/>
      <c r="AB137" s="4"/>
      <c r="AC137" s="4"/>
    </row>
    <row r="138" spans="1:29" ht="14.25" customHeight="1">
      <c r="A138" s="58"/>
      <c r="B138" s="123"/>
      <c r="C138" s="123"/>
      <c r="D138" s="123"/>
      <c r="E138" s="123"/>
      <c r="F138" s="123"/>
      <c r="G138" s="123"/>
      <c r="H138" s="12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4"/>
      <c r="AB138" s="4"/>
      <c r="AC138" s="4"/>
    </row>
    <row r="139" spans="1:29" ht="14.25" customHeight="1">
      <c r="A139" s="58"/>
      <c r="B139" s="123"/>
      <c r="C139" s="123"/>
      <c r="D139" s="123"/>
      <c r="E139" s="123"/>
      <c r="F139" s="123"/>
      <c r="G139" s="123"/>
      <c r="H139" s="12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4"/>
      <c r="AB139" s="4"/>
      <c r="AC139" s="4"/>
    </row>
    <row r="140" spans="1:29" ht="14.25" customHeight="1">
      <c r="A140" s="58"/>
      <c r="B140" s="123"/>
      <c r="C140" s="123"/>
      <c r="D140" s="123"/>
      <c r="E140" s="123"/>
      <c r="F140" s="123"/>
      <c r="G140" s="123"/>
      <c r="H140" s="12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4"/>
      <c r="AB140" s="4"/>
      <c r="AC140" s="4"/>
    </row>
    <row r="141" spans="1:29" ht="14.25" customHeight="1">
      <c r="A141" s="58"/>
      <c r="B141" s="123"/>
      <c r="C141" s="123"/>
      <c r="D141" s="123"/>
      <c r="E141" s="123"/>
      <c r="F141" s="123"/>
      <c r="G141" s="123"/>
      <c r="H141" s="12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4"/>
      <c r="AB141" s="4"/>
      <c r="AC141" s="4"/>
    </row>
    <row r="142" spans="1:29" ht="14.25" customHeight="1">
      <c r="A142" s="58"/>
      <c r="B142" s="123"/>
      <c r="C142" s="123"/>
      <c r="D142" s="123"/>
      <c r="E142" s="123"/>
      <c r="F142" s="123"/>
      <c r="G142" s="123"/>
      <c r="H142" s="12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4"/>
      <c r="AB142" s="4"/>
      <c r="AC142" s="4"/>
    </row>
    <row r="143" spans="1:29" ht="14.25" customHeight="1">
      <c r="A143" s="58"/>
      <c r="B143" s="123"/>
      <c r="C143" s="123"/>
      <c r="D143" s="123"/>
      <c r="E143" s="123"/>
      <c r="F143" s="123"/>
      <c r="G143" s="123"/>
      <c r="H143" s="12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4"/>
      <c r="AB143" s="4"/>
      <c r="AC143" s="4"/>
    </row>
    <row r="144" spans="1:29" ht="14.25" customHeight="1">
      <c r="A144" s="58"/>
      <c r="B144" s="123"/>
      <c r="C144" s="123"/>
      <c r="D144" s="123"/>
      <c r="E144" s="123"/>
      <c r="F144" s="123"/>
      <c r="G144" s="123"/>
      <c r="H144" s="12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4"/>
      <c r="AB144" s="4"/>
      <c r="AC144" s="4"/>
    </row>
    <row r="145" spans="1:29" ht="14.25" customHeight="1">
      <c r="A145" s="58"/>
      <c r="B145" s="123"/>
      <c r="C145" s="123"/>
      <c r="D145" s="123"/>
      <c r="E145" s="123"/>
      <c r="F145" s="123"/>
      <c r="G145" s="123"/>
      <c r="H145" s="12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4"/>
      <c r="AB145" s="4"/>
      <c r="AC145" s="4"/>
    </row>
    <row r="146" spans="1:29" ht="14.25" customHeight="1">
      <c r="A146" s="58"/>
      <c r="B146" s="123"/>
      <c r="C146" s="123"/>
      <c r="D146" s="123"/>
      <c r="E146" s="123"/>
      <c r="F146" s="123"/>
      <c r="G146" s="123"/>
      <c r="H146" s="12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4"/>
      <c r="AB146" s="4"/>
      <c r="AC146" s="4"/>
    </row>
    <row r="147" spans="1:29" ht="14.25" customHeight="1">
      <c r="A147" s="58"/>
      <c r="B147" s="123"/>
      <c r="C147" s="123"/>
      <c r="D147" s="123"/>
      <c r="E147" s="123"/>
      <c r="F147" s="123"/>
      <c r="G147" s="123"/>
      <c r="H147" s="12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4"/>
      <c r="AB147" s="4"/>
      <c r="AC147" s="4"/>
    </row>
    <row r="148" spans="1:29" ht="14.25" customHeight="1">
      <c r="A148" s="58"/>
      <c r="B148" s="123"/>
      <c r="C148" s="123"/>
      <c r="D148" s="123"/>
      <c r="E148" s="123"/>
      <c r="F148" s="123"/>
      <c r="G148" s="123"/>
      <c r="H148" s="12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4"/>
      <c r="AB148" s="4"/>
      <c r="AC148" s="4"/>
    </row>
    <row r="149" spans="1:29" ht="14.25" customHeight="1">
      <c r="A149" s="58"/>
      <c r="B149" s="123"/>
      <c r="C149" s="123"/>
      <c r="D149" s="123"/>
      <c r="E149" s="123"/>
      <c r="F149" s="123"/>
      <c r="G149" s="123"/>
      <c r="H149" s="12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4"/>
      <c r="AB149" s="4"/>
      <c r="AC149" s="4"/>
    </row>
    <row r="150" spans="1:29" ht="14.25" customHeight="1">
      <c r="A150" s="58"/>
      <c r="B150" s="123"/>
      <c r="C150" s="123"/>
      <c r="D150" s="123"/>
      <c r="E150" s="123"/>
      <c r="F150" s="123"/>
      <c r="G150" s="123"/>
      <c r="H150" s="12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4"/>
      <c r="AB150" s="4"/>
      <c r="AC150" s="4"/>
    </row>
    <row r="151" spans="1:29" ht="14.25" customHeight="1">
      <c r="A151" s="58"/>
      <c r="B151" s="123"/>
      <c r="C151" s="123"/>
      <c r="D151" s="123"/>
      <c r="E151" s="123"/>
      <c r="F151" s="123"/>
      <c r="G151" s="123"/>
      <c r="H151" s="12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4"/>
      <c r="AB151" s="4"/>
      <c r="AC151" s="4"/>
    </row>
    <row r="152" spans="1:29" ht="14.25" customHeight="1">
      <c r="A152" s="58"/>
      <c r="B152" s="123"/>
      <c r="C152" s="123"/>
      <c r="D152" s="123"/>
      <c r="E152" s="123"/>
      <c r="F152" s="123"/>
      <c r="G152" s="123"/>
      <c r="H152" s="12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4"/>
      <c r="AB152" s="4"/>
      <c r="AC152" s="4"/>
    </row>
    <row r="153" spans="1:29" ht="14.25" customHeight="1">
      <c r="A153" s="58"/>
      <c r="B153" s="123"/>
      <c r="C153" s="123"/>
      <c r="D153" s="123"/>
      <c r="E153" s="123"/>
      <c r="F153" s="123"/>
      <c r="G153" s="123"/>
      <c r="H153" s="12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4"/>
      <c r="AB153" s="4"/>
      <c r="AC153" s="4"/>
    </row>
    <row r="154" spans="1:29" ht="14.25" customHeight="1">
      <c r="A154" s="58"/>
      <c r="B154" s="123"/>
      <c r="C154" s="123"/>
      <c r="D154" s="123"/>
      <c r="E154" s="123"/>
      <c r="F154" s="123"/>
      <c r="G154" s="123"/>
      <c r="H154" s="12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4"/>
      <c r="AB154" s="4"/>
      <c r="AC154" s="4"/>
    </row>
    <row r="155" spans="1:29" ht="14.25" customHeight="1">
      <c r="A155" s="58"/>
      <c r="B155" s="123"/>
      <c r="C155" s="123"/>
      <c r="D155" s="123"/>
      <c r="E155" s="123"/>
      <c r="F155" s="123"/>
      <c r="G155" s="123"/>
      <c r="H155" s="12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4"/>
      <c r="AB155" s="4"/>
      <c r="AC155" s="4"/>
    </row>
    <row r="156" spans="1:29" ht="14.25" customHeight="1">
      <c r="A156" s="58"/>
      <c r="B156" s="123"/>
      <c r="C156" s="123"/>
      <c r="D156" s="123"/>
      <c r="E156" s="123"/>
      <c r="F156" s="123"/>
      <c r="G156" s="123"/>
      <c r="H156" s="12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4"/>
      <c r="AB156" s="4"/>
      <c r="AC156" s="4"/>
    </row>
    <row r="157" spans="1:29" ht="14.25" customHeight="1">
      <c r="A157" s="58"/>
      <c r="B157" s="123"/>
      <c r="C157" s="123"/>
      <c r="D157" s="123"/>
      <c r="E157" s="123"/>
      <c r="F157" s="123"/>
      <c r="G157" s="123"/>
      <c r="H157" s="12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4"/>
      <c r="AB157" s="4"/>
      <c r="AC157" s="4"/>
    </row>
    <row r="158" spans="1:29" ht="14.25" customHeight="1">
      <c r="A158" s="58"/>
      <c r="B158" s="123"/>
      <c r="C158" s="123"/>
      <c r="D158" s="123"/>
      <c r="E158" s="123"/>
      <c r="F158" s="123"/>
      <c r="G158" s="123"/>
      <c r="H158" s="12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4"/>
      <c r="AB158" s="4"/>
      <c r="AC158" s="4"/>
    </row>
    <row r="159" spans="1:29" ht="14.25" customHeight="1">
      <c r="A159" s="58"/>
      <c r="B159" s="123"/>
      <c r="C159" s="123"/>
      <c r="D159" s="123"/>
      <c r="E159" s="123"/>
      <c r="F159" s="123"/>
      <c r="G159" s="123"/>
      <c r="H159" s="12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4"/>
      <c r="AB159" s="4"/>
      <c r="AC159" s="4"/>
    </row>
    <row r="160" spans="1:29" ht="14.25" customHeight="1">
      <c r="A160" s="58"/>
      <c r="B160" s="123"/>
      <c r="C160" s="123"/>
      <c r="D160" s="123"/>
      <c r="E160" s="123"/>
      <c r="F160" s="123"/>
      <c r="G160" s="123"/>
      <c r="H160" s="12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4"/>
      <c r="AB160" s="4"/>
      <c r="AC160" s="4"/>
    </row>
    <row r="161" spans="1:29" ht="14.25" customHeight="1">
      <c r="A161" s="58"/>
      <c r="B161" s="123"/>
      <c r="C161" s="123"/>
      <c r="D161" s="123"/>
      <c r="E161" s="123"/>
      <c r="F161" s="123"/>
      <c r="G161" s="123"/>
      <c r="H161" s="12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4"/>
      <c r="AB161" s="4"/>
      <c r="AC161" s="4"/>
    </row>
    <row r="162" spans="1:29" ht="14.25" customHeight="1">
      <c r="A162" s="58"/>
      <c r="B162" s="123"/>
      <c r="C162" s="123"/>
      <c r="D162" s="123"/>
      <c r="E162" s="123"/>
      <c r="F162" s="123"/>
      <c r="G162" s="123"/>
      <c r="H162" s="12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4"/>
      <c r="AB162" s="4"/>
      <c r="AC162" s="4"/>
    </row>
    <row r="163" spans="1:29" ht="14.25" customHeight="1">
      <c r="A163" s="58"/>
      <c r="B163" s="123"/>
      <c r="C163" s="123"/>
      <c r="D163" s="123"/>
      <c r="E163" s="123"/>
      <c r="F163" s="123"/>
      <c r="G163" s="123"/>
      <c r="H163" s="12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4"/>
      <c r="AB163" s="4"/>
      <c r="AC163" s="4"/>
    </row>
    <row r="164" spans="1:29" ht="14.25" customHeight="1">
      <c r="A164" s="58"/>
      <c r="B164" s="123"/>
      <c r="C164" s="123"/>
      <c r="D164" s="123"/>
      <c r="E164" s="123"/>
      <c r="F164" s="123"/>
      <c r="G164" s="123"/>
      <c r="H164" s="12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4"/>
      <c r="AB164" s="4"/>
      <c r="AC164" s="4"/>
    </row>
    <row r="165" spans="1:29" ht="14.25" customHeight="1">
      <c r="A165" s="58"/>
      <c r="B165" s="123"/>
      <c r="C165" s="123"/>
      <c r="D165" s="123"/>
      <c r="E165" s="123"/>
      <c r="F165" s="123"/>
      <c r="G165" s="123"/>
      <c r="H165" s="12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4"/>
      <c r="AB165" s="4"/>
      <c r="AC165" s="4"/>
    </row>
    <row r="166" spans="1:29" ht="14.25" customHeight="1">
      <c r="A166" s="58"/>
      <c r="B166" s="123"/>
      <c r="C166" s="123"/>
      <c r="D166" s="123"/>
      <c r="E166" s="123"/>
      <c r="F166" s="123"/>
      <c r="G166" s="123"/>
      <c r="H166" s="12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4"/>
      <c r="AB166" s="4"/>
      <c r="AC166" s="4"/>
    </row>
    <row r="167" spans="1:29" ht="14.25" customHeight="1">
      <c r="A167" s="58"/>
      <c r="B167" s="123"/>
      <c r="C167" s="123"/>
      <c r="D167" s="123"/>
      <c r="E167" s="123"/>
      <c r="F167" s="123"/>
      <c r="G167" s="123"/>
      <c r="H167" s="12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4"/>
      <c r="AB167" s="4"/>
      <c r="AC167" s="4"/>
    </row>
    <row r="168" spans="1:29" ht="14.25" customHeight="1">
      <c r="A168" s="58"/>
      <c r="B168" s="123"/>
      <c r="C168" s="123"/>
      <c r="D168" s="123"/>
      <c r="E168" s="123"/>
      <c r="F168" s="123"/>
      <c r="G168" s="123"/>
      <c r="H168" s="12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4"/>
      <c r="AB168" s="4"/>
      <c r="AC168" s="4"/>
    </row>
    <row r="169" spans="1:29" ht="14.25" customHeight="1">
      <c r="A169" s="58"/>
      <c r="B169" s="123"/>
      <c r="C169" s="123"/>
      <c r="D169" s="123"/>
      <c r="E169" s="123"/>
      <c r="F169" s="123"/>
      <c r="G169" s="123"/>
      <c r="H169" s="12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4"/>
      <c r="AB169" s="4"/>
      <c r="AC169" s="4"/>
    </row>
    <row r="170" spans="1:29" ht="14.25" customHeight="1">
      <c r="A170" s="58"/>
      <c r="B170" s="123"/>
      <c r="C170" s="123"/>
      <c r="D170" s="123"/>
      <c r="E170" s="123"/>
      <c r="F170" s="123"/>
      <c r="G170" s="123"/>
      <c r="H170" s="12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4"/>
      <c r="AB170" s="4"/>
      <c r="AC170" s="4"/>
    </row>
    <row r="171" spans="1:29" ht="14.25" customHeight="1">
      <c r="A171" s="58"/>
      <c r="B171" s="123"/>
      <c r="C171" s="123"/>
      <c r="D171" s="123"/>
      <c r="E171" s="123"/>
      <c r="F171" s="123"/>
      <c r="G171" s="123"/>
      <c r="H171" s="12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4"/>
      <c r="AB171" s="4"/>
      <c r="AC171" s="4"/>
    </row>
    <row r="172" spans="1:29" ht="14.25" customHeight="1">
      <c r="A172" s="58"/>
      <c r="B172" s="123"/>
      <c r="C172" s="123"/>
      <c r="D172" s="123"/>
      <c r="E172" s="123"/>
      <c r="F172" s="123"/>
      <c r="G172" s="123"/>
      <c r="H172" s="12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4"/>
      <c r="AB172" s="4"/>
      <c r="AC172" s="4"/>
    </row>
    <row r="173" spans="1:29" ht="14.25" customHeight="1">
      <c r="A173" s="58"/>
      <c r="B173" s="123"/>
      <c r="C173" s="123"/>
      <c r="D173" s="123"/>
      <c r="E173" s="123"/>
      <c r="F173" s="123"/>
      <c r="G173" s="123"/>
      <c r="H173" s="12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4"/>
      <c r="AB173" s="4"/>
      <c r="AC173" s="4"/>
    </row>
    <row r="174" spans="1:29" ht="14.25" customHeight="1">
      <c r="A174" s="58"/>
      <c r="B174" s="123"/>
      <c r="C174" s="123"/>
      <c r="D174" s="123"/>
      <c r="E174" s="123"/>
      <c r="F174" s="123"/>
      <c r="G174" s="123"/>
      <c r="H174" s="12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4"/>
      <c r="AB174" s="4"/>
      <c r="AC174" s="4"/>
    </row>
    <row r="175" spans="1:29" ht="14.25" customHeight="1">
      <c r="A175" s="58"/>
      <c r="B175" s="123"/>
      <c r="C175" s="123"/>
      <c r="D175" s="123"/>
      <c r="E175" s="123"/>
      <c r="F175" s="123"/>
      <c r="G175" s="123"/>
      <c r="H175" s="12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4"/>
      <c r="AB175" s="4"/>
      <c r="AC175" s="4"/>
    </row>
    <row r="176" spans="1:29" ht="14.25" customHeight="1">
      <c r="A176" s="58"/>
      <c r="B176" s="123"/>
      <c r="C176" s="123"/>
      <c r="D176" s="123"/>
      <c r="E176" s="123"/>
      <c r="F176" s="123"/>
      <c r="G176" s="123"/>
      <c r="H176" s="12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4"/>
      <c r="AB176" s="4"/>
      <c r="AC176" s="4"/>
    </row>
    <row r="177" spans="1:29" ht="14.25" customHeight="1">
      <c r="A177" s="58"/>
      <c r="B177" s="123"/>
      <c r="C177" s="123"/>
      <c r="D177" s="123"/>
      <c r="E177" s="123"/>
      <c r="F177" s="123"/>
      <c r="G177" s="123"/>
      <c r="H177" s="12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4"/>
      <c r="AB177" s="4"/>
      <c r="AC177" s="4"/>
    </row>
    <row r="178" spans="1:29" ht="14.25" customHeight="1">
      <c r="A178" s="58"/>
      <c r="B178" s="123"/>
      <c r="C178" s="123"/>
      <c r="D178" s="123"/>
      <c r="E178" s="123"/>
      <c r="F178" s="123"/>
      <c r="G178" s="123"/>
      <c r="H178" s="12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4"/>
      <c r="AB178" s="4"/>
      <c r="AC178" s="4"/>
    </row>
    <row r="179" spans="1:29" ht="14.25" customHeight="1">
      <c r="A179" s="58"/>
      <c r="B179" s="123"/>
      <c r="C179" s="123"/>
      <c r="D179" s="123"/>
      <c r="E179" s="123"/>
      <c r="F179" s="123"/>
      <c r="G179" s="123"/>
      <c r="H179" s="12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4"/>
      <c r="AB179" s="4"/>
      <c r="AC179" s="4"/>
    </row>
    <row r="180" spans="1:29" ht="14.25" customHeight="1">
      <c r="A180" s="58"/>
      <c r="B180" s="123"/>
      <c r="C180" s="123"/>
      <c r="D180" s="123"/>
      <c r="E180" s="123"/>
      <c r="F180" s="123"/>
      <c r="G180" s="123"/>
      <c r="H180" s="12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4"/>
      <c r="AB180" s="4"/>
      <c r="AC180" s="4"/>
    </row>
    <row r="181" spans="1:29" ht="14.25" customHeight="1">
      <c r="A181" s="58"/>
      <c r="B181" s="123"/>
      <c r="C181" s="123"/>
      <c r="D181" s="123"/>
      <c r="E181" s="123"/>
      <c r="F181" s="123"/>
      <c r="G181" s="123"/>
      <c r="H181" s="12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4"/>
      <c r="AB181" s="4"/>
      <c r="AC181" s="4"/>
    </row>
    <row r="182" spans="1:29" ht="14.25" customHeight="1">
      <c r="A182" s="58"/>
      <c r="B182" s="123"/>
      <c r="C182" s="123"/>
      <c r="D182" s="123"/>
      <c r="E182" s="123"/>
      <c r="F182" s="123"/>
      <c r="G182" s="123"/>
      <c r="H182" s="12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4"/>
      <c r="AB182" s="4"/>
      <c r="AC182" s="4"/>
    </row>
    <row r="183" spans="1:29" ht="14.25" customHeight="1">
      <c r="A183" s="58"/>
      <c r="B183" s="123"/>
      <c r="C183" s="123"/>
      <c r="D183" s="123"/>
      <c r="E183" s="123"/>
      <c r="F183" s="123"/>
      <c r="G183" s="123"/>
      <c r="H183" s="12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4"/>
      <c r="AB183" s="4"/>
      <c r="AC183" s="4"/>
    </row>
    <row r="184" spans="1:29" ht="14.25" customHeight="1">
      <c r="A184" s="58"/>
      <c r="B184" s="123"/>
      <c r="C184" s="123"/>
      <c r="D184" s="123"/>
      <c r="E184" s="123"/>
      <c r="F184" s="123"/>
      <c r="G184" s="123"/>
      <c r="H184" s="12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4"/>
      <c r="AB184" s="4"/>
      <c r="AC184" s="4"/>
    </row>
    <row r="185" spans="1:29" ht="14.25" customHeight="1">
      <c r="A185" s="58"/>
      <c r="B185" s="123"/>
      <c r="C185" s="123"/>
      <c r="D185" s="123"/>
      <c r="E185" s="123"/>
      <c r="F185" s="123"/>
      <c r="G185" s="123"/>
      <c r="H185" s="12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4"/>
      <c r="AB185" s="4"/>
      <c r="AC185" s="4"/>
    </row>
    <row r="186" spans="1:29" ht="14.25" customHeight="1">
      <c r="A186" s="58"/>
      <c r="B186" s="123"/>
      <c r="C186" s="123"/>
      <c r="D186" s="123"/>
      <c r="E186" s="123"/>
      <c r="F186" s="123"/>
      <c r="G186" s="123"/>
      <c r="H186" s="12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4"/>
      <c r="AB186" s="4"/>
      <c r="AC186" s="4"/>
    </row>
    <row r="187" spans="1:29" ht="14.25" customHeight="1">
      <c r="A187" s="58"/>
      <c r="B187" s="123"/>
      <c r="C187" s="123"/>
      <c r="D187" s="123"/>
      <c r="E187" s="123"/>
      <c r="F187" s="123"/>
      <c r="G187" s="123"/>
      <c r="H187" s="12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4"/>
      <c r="AB187" s="4"/>
      <c r="AC187" s="4"/>
    </row>
    <row r="188" spans="1:29" ht="14.25" customHeight="1">
      <c r="A188" s="58"/>
      <c r="B188" s="123"/>
      <c r="C188" s="123"/>
      <c r="D188" s="123"/>
      <c r="E188" s="123"/>
      <c r="F188" s="123"/>
      <c r="G188" s="123"/>
      <c r="H188" s="12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4"/>
      <c r="AB188" s="4"/>
      <c r="AC188" s="4"/>
    </row>
    <row r="189" spans="1:29" ht="14.25" customHeight="1">
      <c r="A189" s="58"/>
      <c r="B189" s="123"/>
      <c r="C189" s="123"/>
      <c r="D189" s="123"/>
      <c r="E189" s="123"/>
      <c r="F189" s="123"/>
      <c r="G189" s="123"/>
      <c r="H189" s="12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4"/>
      <c r="AB189" s="4"/>
      <c r="AC189" s="4"/>
    </row>
    <row r="190" spans="1:29" ht="14.25" customHeight="1">
      <c r="A190" s="58"/>
      <c r="B190" s="123"/>
      <c r="C190" s="123"/>
      <c r="D190" s="123"/>
      <c r="E190" s="123"/>
      <c r="F190" s="123"/>
      <c r="G190" s="123"/>
      <c r="H190" s="12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4"/>
      <c r="AB190" s="4"/>
      <c r="AC190" s="4"/>
    </row>
    <row r="191" spans="1:29" ht="14.25" customHeight="1">
      <c r="A191" s="58"/>
      <c r="B191" s="123"/>
      <c r="C191" s="123"/>
      <c r="D191" s="123"/>
      <c r="E191" s="123"/>
      <c r="F191" s="123"/>
      <c r="G191" s="123"/>
      <c r="H191" s="12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4"/>
      <c r="AB191" s="4"/>
      <c r="AC191" s="4"/>
    </row>
    <row r="192" spans="1:29" ht="14.25" customHeight="1">
      <c r="A192" s="58"/>
      <c r="B192" s="123"/>
      <c r="C192" s="123"/>
      <c r="D192" s="123"/>
      <c r="E192" s="123"/>
      <c r="F192" s="123"/>
      <c r="G192" s="123"/>
      <c r="H192" s="12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4"/>
      <c r="AB192" s="4"/>
      <c r="AC192" s="4"/>
    </row>
    <row r="193" spans="1:29" ht="14.25" customHeight="1">
      <c r="A193" s="58"/>
      <c r="B193" s="123"/>
      <c r="C193" s="123"/>
      <c r="D193" s="123"/>
      <c r="E193" s="123"/>
      <c r="F193" s="123"/>
      <c r="G193" s="123"/>
      <c r="H193" s="12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4"/>
      <c r="AB193" s="4"/>
      <c r="AC193" s="4"/>
    </row>
    <row r="194" spans="1:29" ht="14.25" customHeight="1">
      <c r="A194" s="58"/>
      <c r="B194" s="123"/>
      <c r="C194" s="123"/>
      <c r="D194" s="123"/>
      <c r="E194" s="123"/>
      <c r="F194" s="123"/>
      <c r="G194" s="123"/>
      <c r="H194" s="12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4"/>
      <c r="AB194" s="4"/>
      <c r="AC194" s="4"/>
    </row>
    <row r="195" spans="1:29" ht="14.25" customHeight="1">
      <c r="A195" s="58"/>
      <c r="B195" s="123"/>
      <c r="C195" s="123"/>
      <c r="D195" s="123"/>
      <c r="E195" s="123"/>
      <c r="F195" s="123"/>
      <c r="G195" s="123"/>
      <c r="H195" s="12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4"/>
      <c r="AB195" s="4"/>
      <c r="AC195" s="4"/>
    </row>
    <row r="196" spans="1:29" ht="14.25" customHeight="1">
      <c r="A196" s="58"/>
      <c r="B196" s="123"/>
      <c r="C196" s="123"/>
      <c r="D196" s="123"/>
      <c r="E196" s="123"/>
      <c r="F196" s="123"/>
      <c r="G196" s="123"/>
      <c r="H196" s="12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4"/>
      <c r="AB196" s="4"/>
      <c r="AC196" s="4"/>
    </row>
    <row r="197" spans="1:29" ht="14.25" customHeight="1">
      <c r="A197" s="58"/>
      <c r="B197" s="123"/>
      <c r="C197" s="123"/>
      <c r="D197" s="123"/>
      <c r="E197" s="123"/>
      <c r="F197" s="123"/>
      <c r="G197" s="123"/>
      <c r="H197" s="12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4"/>
      <c r="AB197" s="4"/>
      <c r="AC197" s="4"/>
    </row>
    <row r="198" spans="1:29" ht="14.25" customHeight="1">
      <c r="A198" s="58"/>
      <c r="B198" s="123"/>
      <c r="C198" s="123"/>
      <c r="D198" s="123"/>
      <c r="E198" s="123"/>
      <c r="F198" s="123"/>
      <c r="G198" s="123"/>
      <c r="H198" s="12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4"/>
      <c r="AB198" s="4"/>
      <c r="AC198" s="4"/>
    </row>
    <row r="199" spans="1:29" ht="14.25" customHeight="1">
      <c r="A199" s="58"/>
      <c r="B199" s="123"/>
      <c r="C199" s="123"/>
      <c r="D199" s="123"/>
      <c r="E199" s="123"/>
      <c r="F199" s="123"/>
      <c r="G199" s="123"/>
      <c r="H199" s="12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4"/>
      <c r="AB199" s="4"/>
      <c r="AC199" s="4"/>
    </row>
    <row r="200" spans="1:29" ht="14.25" customHeight="1">
      <c r="A200" s="58"/>
      <c r="B200" s="123"/>
      <c r="C200" s="123"/>
      <c r="D200" s="123"/>
      <c r="E200" s="123"/>
      <c r="F200" s="123"/>
      <c r="G200" s="123"/>
      <c r="H200" s="12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4"/>
      <c r="AB200" s="4"/>
      <c r="AC200" s="4"/>
    </row>
    <row r="201" spans="1:29" ht="14.25" customHeight="1">
      <c r="A201" s="58"/>
      <c r="B201" s="123"/>
      <c r="C201" s="123"/>
      <c r="D201" s="123"/>
      <c r="E201" s="123"/>
      <c r="F201" s="123"/>
      <c r="G201" s="123"/>
      <c r="H201" s="12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4"/>
      <c r="AB201" s="4"/>
      <c r="AC201" s="4"/>
    </row>
    <row r="202" spans="1:29" ht="14.25" customHeight="1">
      <c r="A202" s="58"/>
      <c r="B202" s="123"/>
      <c r="C202" s="123"/>
      <c r="D202" s="123"/>
      <c r="E202" s="123"/>
      <c r="F202" s="123"/>
      <c r="G202" s="123"/>
      <c r="H202" s="12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4"/>
      <c r="AB202" s="4"/>
      <c r="AC202" s="4"/>
    </row>
    <row r="203" spans="1:29" ht="14.25" customHeight="1">
      <c r="A203" s="58"/>
      <c r="B203" s="123"/>
      <c r="C203" s="123"/>
      <c r="D203" s="123"/>
      <c r="E203" s="123"/>
      <c r="F203" s="123"/>
      <c r="G203" s="123"/>
      <c r="H203" s="12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4"/>
      <c r="AB203" s="4"/>
      <c r="AC203" s="4"/>
    </row>
    <row r="204" spans="1:29" ht="14.25" customHeight="1">
      <c r="A204" s="58"/>
      <c r="B204" s="123"/>
      <c r="C204" s="123"/>
      <c r="D204" s="123"/>
      <c r="E204" s="123"/>
      <c r="F204" s="123"/>
      <c r="G204" s="123"/>
      <c r="H204" s="12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4"/>
      <c r="AB204" s="4"/>
      <c r="AC204" s="4"/>
    </row>
    <row r="205" spans="1:29" ht="14.25" customHeight="1">
      <c r="A205" s="58"/>
      <c r="B205" s="123"/>
      <c r="C205" s="123"/>
      <c r="D205" s="123"/>
      <c r="E205" s="123"/>
      <c r="F205" s="123"/>
      <c r="G205" s="123"/>
      <c r="H205" s="12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4"/>
      <c r="AB205" s="4"/>
      <c r="AC205" s="4"/>
    </row>
    <row r="206" spans="1:29" ht="14.25" customHeight="1">
      <c r="A206" s="58"/>
      <c r="B206" s="123"/>
      <c r="C206" s="123"/>
      <c r="D206" s="123"/>
      <c r="E206" s="123"/>
      <c r="F206" s="123"/>
      <c r="G206" s="123"/>
      <c r="H206" s="12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4"/>
      <c r="AB206" s="4"/>
      <c r="AC206" s="4"/>
    </row>
    <row r="207" spans="1:29" ht="14.25" customHeight="1">
      <c r="A207" s="58"/>
      <c r="B207" s="123"/>
      <c r="C207" s="123"/>
      <c r="D207" s="123"/>
      <c r="E207" s="123"/>
      <c r="F207" s="123"/>
      <c r="G207" s="123"/>
      <c r="H207" s="12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4"/>
      <c r="AB207" s="4"/>
      <c r="AC207" s="4"/>
    </row>
    <row r="208" spans="1:29" ht="14.25" customHeight="1">
      <c r="A208" s="58"/>
      <c r="B208" s="123"/>
      <c r="C208" s="123"/>
      <c r="D208" s="123"/>
      <c r="E208" s="123"/>
      <c r="F208" s="123"/>
      <c r="G208" s="123"/>
      <c r="H208" s="12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4"/>
      <c r="AB208" s="4"/>
      <c r="AC208" s="4"/>
    </row>
    <row r="209" spans="1:29" ht="14.25" customHeight="1">
      <c r="A209" s="58"/>
      <c r="B209" s="123"/>
      <c r="C209" s="123"/>
      <c r="D209" s="123"/>
      <c r="E209" s="123"/>
      <c r="F209" s="123"/>
      <c r="G209" s="123"/>
      <c r="H209" s="12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4"/>
      <c r="AB209" s="4"/>
      <c r="AC209" s="4"/>
    </row>
    <row r="210" spans="1:29" ht="14.25" customHeight="1">
      <c r="A210" s="58"/>
      <c r="B210" s="123"/>
      <c r="C210" s="123"/>
      <c r="D210" s="123"/>
      <c r="E210" s="123"/>
      <c r="F210" s="123"/>
      <c r="G210" s="123"/>
      <c r="H210" s="12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4"/>
      <c r="AB210" s="4"/>
      <c r="AC210" s="4"/>
    </row>
    <row r="211" spans="1:29" ht="14.25" customHeight="1">
      <c r="A211" s="58"/>
      <c r="B211" s="123"/>
      <c r="C211" s="123"/>
      <c r="D211" s="123"/>
      <c r="E211" s="123"/>
      <c r="F211" s="123"/>
      <c r="G211" s="123"/>
      <c r="H211" s="12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4"/>
      <c r="AB211" s="4"/>
      <c r="AC211" s="4"/>
    </row>
    <row r="212" spans="1:29" ht="14.25" customHeight="1">
      <c r="A212" s="58"/>
      <c r="B212" s="123"/>
      <c r="C212" s="123"/>
      <c r="D212" s="123"/>
      <c r="E212" s="123"/>
      <c r="F212" s="123"/>
      <c r="G212" s="123"/>
      <c r="H212" s="12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4"/>
      <c r="AB212" s="4"/>
      <c r="AC212" s="4"/>
    </row>
    <row r="213" spans="1:29" ht="14.25" customHeight="1">
      <c r="A213" s="58"/>
      <c r="B213" s="123"/>
      <c r="C213" s="123"/>
      <c r="D213" s="123"/>
      <c r="E213" s="123"/>
      <c r="F213" s="123"/>
      <c r="G213" s="123"/>
      <c r="H213" s="12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4"/>
      <c r="AB213" s="4"/>
      <c r="AC213" s="4"/>
    </row>
    <row r="214" spans="1:29" ht="14.25" customHeight="1">
      <c r="A214" s="58"/>
      <c r="B214" s="123"/>
      <c r="C214" s="123"/>
      <c r="D214" s="123"/>
      <c r="E214" s="123"/>
      <c r="F214" s="123"/>
      <c r="G214" s="123"/>
      <c r="H214" s="12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4"/>
      <c r="AB214" s="4"/>
      <c r="AC214" s="4"/>
    </row>
    <row r="215" spans="1:29" ht="14.25" customHeight="1">
      <c r="A215" s="58"/>
      <c r="B215" s="123"/>
      <c r="C215" s="123"/>
      <c r="D215" s="123"/>
      <c r="E215" s="123"/>
      <c r="F215" s="123"/>
      <c r="G215" s="123"/>
      <c r="H215" s="12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4"/>
      <c r="AB215" s="4"/>
      <c r="AC215" s="4"/>
    </row>
    <row r="216" spans="1:29" ht="14.25" customHeight="1">
      <c r="A216" s="58"/>
      <c r="B216" s="123"/>
      <c r="C216" s="123"/>
      <c r="D216" s="123"/>
      <c r="E216" s="123"/>
      <c r="F216" s="123"/>
      <c r="G216" s="123"/>
      <c r="H216" s="12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4"/>
      <c r="AB216" s="4"/>
      <c r="AC216" s="4"/>
    </row>
    <row r="217" spans="1:29" ht="14.25" customHeight="1">
      <c r="A217" s="58"/>
      <c r="B217" s="123"/>
      <c r="C217" s="123"/>
      <c r="D217" s="123"/>
      <c r="E217" s="123"/>
      <c r="F217" s="123"/>
      <c r="G217" s="123"/>
      <c r="H217" s="12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4"/>
      <c r="AB217" s="4"/>
      <c r="AC217" s="4"/>
    </row>
    <row r="218" spans="1:29" ht="14.25" customHeight="1">
      <c r="A218" s="58"/>
      <c r="B218" s="123"/>
      <c r="C218" s="123"/>
      <c r="D218" s="123"/>
      <c r="E218" s="123"/>
      <c r="F218" s="123"/>
      <c r="G218" s="123"/>
      <c r="H218" s="12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4"/>
      <c r="AB218" s="4"/>
      <c r="AC218" s="4"/>
    </row>
    <row r="219" spans="1:29" ht="14.25" customHeight="1">
      <c r="A219" s="58"/>
      <c r="B219" s="123"/>
      <c r="C219" s="123"/>
      <c r="D219" s="123"/>
      <c r="E219" s="123"/>
      <c r="F219" s="123"/>
      <c r="G219" s="123"/>
      <c r="H219" s="12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4"/>
      <c r="AB219" s="4"/>
      <c r="AC219" s="4"/>
    </row>
    <row r="220" spans="1:29" ht="14.25" customHeight="1">
      <c r="A220" s="58"/>
      <c r="B220" s="123"/>
      <c r="C220" s="123"/>
      <c r="D220" s="123"/>
      <c r="E220" s="123"/>
      <c r="F220" s="123"/>
      <c r="G220" s="123"/>
      <c r="H220" s="12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4"/>
      <c r="AB220" s="4"/>
      <c r="AC220" s="4"/>
    </row>
    <row r="221" spans="1:29" ht="14.25" customHeight="1">
      <c r="A221" s="58"/>
      <c r="B221" s="123"/>
      <c r="C221" s="123"/>
      <c r="D221" s="123"/>
      <c r="E221" s="123"/>
      <c r="F221" s="123"/>
      <c r="G221" s="123"/>
      <c r="H221" s="12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4"/>
      <c r="AB221" s="4"/>
      <c r="AC221" s="4"/>
    </row>
    <row r="222" spans="1:29" ht="14.25" customHeight="1">
      <c r="A222" s="58"/>
      <c r="B222" s="123"/>
      <c r="C222" s="123"/>
      <c r="D222" s="123"/>
      <c r="E222" s="123"/>
      <c r="F222" s="123"/>
      <c r="G222" s="123"/>
      <c r="H222" s="12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4"/>
      <c r="AB222" s="4"/>
      <c r="AC222" s="4"/>
    </row>
    <row r="223" spans="1:29" ht="14.25" customHeight="1">
      <c r="A223" s="58"/>
      <c r="B223" s="123"/>
      <c r="C223" s="123"/>
      <c r="D223" s="123"/>
      <c r="E223" s="123"/>
      <c r="F223" s="123"/>
      <c r="G223" s="123"/>
      <c r="H223" s="12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4"/>
      <c r="AB223" s="4"/>
      <c r="AC223" s="4"/>
    </row>
    <row r="224" spans="1:29" ht="14.25" customHeight="1">
      <c r="A224" s="58"/>
      <c r="B224" s="123"/>
      <c r="C224" s="123"/>
      <c r="D224" s="123"/>
      <c r="E224" s="123"/>
      <c r="F224" s="123"/>
      <c r="G224" s="123"/>
      <c r="H224" s="12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4"/>
      <c r="AB224" s="4"/>
      <c r="AC224" s="4"/>
    </row>
    <row r="225" spans="1:29" ht="14.25" customHeight="1">
      <c r="A225" s="58"/>
      <c r="B225" s="123"/>
      <c r="C225" s="123"/>
      <c r="D225" s="123"/>
      <c r="E225" s="123"/>
      <c r="F225" s="123"/>
      <c r="G225" s="123"/>
      <c r="H225" s="12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4"/>
      <c r="AB225" s="4"/>
      <c r="AC225" s="4"/>
    </row>
    <row r="226" spans="1:29" ht="14.25" customHeight="1">
      <c r="A226" s="58"/>
      <c r="B226" s="123"/>
      <c r="C226" s="123"/>
      <c r="D226" s="123"/>
      <c r="E226" s="123"/>
      <c r="F226" s="123"/>
      <c r="G226" s="123"/>
      <c r="H226" s="12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4"/>
      <c r="AB226" s="4"/>
      <c r="AC226" s="4"/>
    </row>
    <row r="227" spans="1:29" ht="14.25" customHeight="1">
      <c r="A227" s="58"/>
      <c r="B227" s="123"/>
      <c r="C227" s="123"/>
      <c r="D227" s="123"/>
      <c r="E227" s="123"/>
      <c r="F227" s="123"/>
      <c r="G227" s="123"/>
      <c r="H227" s="12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4"/>
      <c r="AB227" s="4"/>
      <c r="AC227" s="4"/>
    </row>
    <row r="228" spans="1:29" ht="14.25" customHeight="1">
      <c r="A228" s="58"/>
      <c r="B228" s="123"/>
      <c r="C228" s="123"/>
      <c r="D228" s="123"/>
      <c r="E228" s="123"/>
      <c r="F228" s="123"/>
      <c r="G228" s="123"/>
      <c r="H228" s="12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4"/>
      <c r="AB228" s="4"/>
      <c r="AC228" s="4"/>
    </row>
    <row r="229" spans="1:29" ht="14.25" customHeight="1">
      <c r="A229" s="58"/>
      <c r="B229" s="123"/>
      <c r="C229" s="123"/>
      <c r="D229" s="123"/>
      <c r="E229" s="123"/>
      <c r="F229" s="123"/>
      <c r="G229" s="123"/>
      <c r="H229" s="12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4"/>
      <c r="AB229" s="4"/>
      <c r="AC229" s="4"/>
    </row>
    <row r="230" spans="1:29" ht="14.25" customHeight="1">
      <c r="A230" s="58"/>
      <c r="B230" s="123"/>
      <c r="C230" s="123"/>
      <c r="D230" s="123"/>
      <c r="E230" s="123"/>
      <c r="F230" s="123"/>
      <c r="G230" s="123"/>
      <c r="H230" s="12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4"/>
      <c r="AB230" s="4"/>
      <c r="AC230" s="4"/>
    </row>
    <row r="231" spans="1:29" ht="14.25" customHeight="1">
      <c r="A231" s="58"/>
      <c r="B231" s="123"/>
      <c r="C231" s="123"/>
      <c r="D231" s="123"/>
      <c r="E231" s="123"/>
      <c r="F231" s="123"/>
      <c r="G231" s="123"/>
      <c r="H231" s="12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4"/>
      <c r="AB231" s="4"/>
      <c r="AC231" s="4"/>
    </row>
    <row r="232" spans="1:29" ht="14.25" customHeight="1">
      <c r="A232" s="58"/>
      <c r="B232" s="123"/>
      <c r="C232" s="123"/>
      <c r="D232" s="123"/>
      <c r="E232" s="123"/>
      <c r="F232" s="123"/>
      <c r="G232" s="123"/>
      <c r="H232" s="12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4"/>
      <c r="AB232" s="4"/>
      <c r="AC232" s="4"/>
    </row>
    <row r="233" spans="1:29" ht="14.25" customHeight="1">
      <c r="A233" s="58"/>
      <c r="B233" s="123"/>
      <c r="C233" s="123"/>
      <c r="D233" s="123"/>
      <c r="E233" s="123"/>
      <c r="F233" s="123"/>
      <c r="G233" s="123"/>
      <c r="H233" s="12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4"/>
      <c r="AB233" s="4"/>
      <c r="AC233" s="4"/>
    </row>
    <row r="234" spans="1:29" ht="14.25" customHeight="1">
      <c r="A234" s="58"/>
      <c r="B234" s="123"/>
      <c r="C234" s="123"/>
      <c r="D234" s="123"/>
      <c r="E234" s="123"/>
      <c r="F234" s="123"/>
      <c r="G234" s="123"/>
      <c r="H234" s="12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4"/>
      <c r="AB234" s="4"/>
      <c r="AC234" s="4"/>
    </row>
    <row r="235" spans="1:29" ht="14.25" customHeight="1">
      <c r="A235" s="58"/>
      <c r="B235" s="123"/>
      <c r="C235" s="123"/>
      <c r="D235" s="123"/>
      <c r="E235" s="123"/>
      <c r="F235" s="123"/>
      <c r="G235" s="123"/>
      <c r="H235" s="12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4"/>
      <c r="AB235" s="4"/>
      <c r="AC235" s="4"/>
    </row>
    <row r="236" spans="1:29" ht="14.25" customHeight="1">
      <c r="A236" s="58"/>
      <c r="B236" s="123"/>
      <c r="C236" s="123"/>
      <c r="D236" s="123"/>
      <c r="E236" s="123"/>
      <c r="F236" s="123"/>
      <c r="G236" s="123"/>
      <c r="H236" s="12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4"/>
      <c r="AB236" s="4"/>
      <c r="AC236" s="4"/>
    </row>
    <row r="237" spans="1:29" ht="14.25" customHeight="1">
      <c r="A237" s="58"/>
      <c r="B237" s="123"/>
      <c r="C237" s="123"/>
      <c r="D237" s="123"/>
      <c r="E237" s="123"/>
      <c r="F237" s="123"/>
      <c r="G237" s="123"/>
      <c r="H237" s="12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4"/>
      <c r="AB237" s="4"/>
      <c r="AC237" s="4"/>
    </row>
    <row r="238" spans="1:29" ht="14.25" customHeight="1">
      <c r="A238" s="58"/>
      <c r="B238" s="123"/>
      <c r="C238" s="123"/>
      <c r="D238" s="123"/>
      <c r="E238" s="123"/>
      <c r="F238" s="123"/>
      <c r="G238" s="123"/>
      <c r="H238" s="12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4"/>
      <c r="AB238" s="4"/>
      <c r="AC238" s="4"/>
    </row>
    <row r="239" spans="1:29" ht="14.25" customHeight="1">
      <c r="A239" s="58"/>
      <c r="B239" s="123"/>
      <c r="C239" s="123"/>
      <c r="D239" s="123"/>
      <c r="E239" s="123"/>
      <c r="F239" s="123"/>
      <c r="G239" s="123"/>
      <c r="H239" s="12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4"/>
      <c r="AB239" s="4"/>
      <c r="AC239" s="4"/>
    </row>
    <row r="240" spans="1:29" ht="14.25" customHeight="1">
      <c r="A240" s="58"/>
      <c r="B240" s="123"/>
      <c r="C240" s="123"/>
      <c r="D240" s="123"/>
      <c r="E240" s="123"/>
      <c r="F240" s="123"/>
      <c r="G240" s="123"/>
      <c r="H240" s="12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4"/>
      <c r="AB240" s="4"/>
      <c r="AC240" s="4"/>
    </row>
    <row r="241" spans="1:29" ht="14.25" customHeight="1">
      <c r="A241" s="58"/>
      <c r="B241" s="123"/>
      <c r="C241" s="123"/>
      <c r="D241" s="123"/>
      <c r="E241" s="123"/>
      <c r="F241" s="123"/>
      <c r="G241" s="123"/>
      <c r="H241" s="12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4"/>
      <c r="AB241" s="4"/>
      <c r="AC241" s="4"/>
    </row>
    <row r="242" spans="1:29" ht="14.25" customHeight="1">
      <c r="A242" s="58"/>
      <c r="B242" s="123"/>
      <c r="C242" s="123"/>
      <c r="D242" s="123"/>
      <c r="E242" s="123"/>
      <c r="F242" s="123"/>
      <c r="G242" s="123"/>
      <c r="H242" s="12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4"/>
      <c r="AB242" s="4"/>
      <c r="AC242" s="4"/>
    </row>
    <row r="243" spans="1:29" ht="14.25" customHeight="1">
      <c r="A243" s="58"/>
      <c r="B243" s="123"/>
      <c r="C243" s="123"/>
      <c r="D243" s="123"/>
      <c r="E243" s="123"/>
      <c r="F243" s="123"/>
      <c r="G243" s="123"/>
      <c r="H243" s="12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4"/>
      <c r="AB243" s="4"/>
      <c r="AC243" s="4"/>
    </row>
    <row r="244" spans="1:29" ht="14.25" customHeight="1">
      <c r="A244" s="58"/>
      <c r="B244" s="123"/>
      <c r="C244" s="123"/>
      <c r="D244" s="123"/>
      <c r="E244" s="123"/>
      <c r="F244" s="123"/>
      <c r="G244" s="123"/>
      <c r="H244" s="12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4"/>
      <c r="AB244" s="4"/>
      <c r="AC244" s="4"/>
    </row>
    <row r="245" spans="1:29" ht="14.25" customHeight="1">
      <c r="A245" s="58"/>
      <c r="B245" s="123"/>
      <c r="C245" s="123"/>
      <c r="D245" s="123"/>
      <c r="E245" s="123"/>
      <c r="F245" s="123"/>
      <c r="G245" s="123"/>
      <c r="H245" s="12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4"/>
      <c r="AB245" s="4"/>
      <c r="AC245" s="4"/>
    </row>
    <row r="246" spans="1:29" ht="14.25" customHeight="1">
      <c r="A246" s="58"/>
      <c r="B246" s="123"/>
      <c r="C246" s="123"/>
      <c r="D246" s="123"/>
      <c r="E246" s="123"/>
      <c r="F246" s="123"/>
      <c r="G246" s="123"/>
      <c r="H246" s="12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4"/>
      <c r="AB246" s="4"/>
      <c r="AC246" s="4"/>
    </row>
    <row r="247" spans="1:29" ht="14.25" customHeight="1">
      <c r="A247" s="58"/>
      <c r="B247" s="123"/>
      <c r="C247" s="123"/>
      <c r="D247" s="123"/>
      <c r="E247" s="123"/>
      <c r="F247" s="123"/>
      <c r="G247" s="123"/>
      <c r="H247" s="12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4"/>
      <c r="AB247" s="4"/>
      <c r="AC247" s="4"/>
    </row>
    <row r="248" spans="1:29" ht="14.25" customHeight="1">
      <c r="A248" s="58"/>
      <c r="B248" s="123"/>
      <c r="C248" s="123"/>
      <c r="D248" s="123"/>
      <c r="E248" s="123"/>
      <c r="F248" s="123"/>
      <c r="G248" s="123"/>
      <c r="H248" s="12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4"/>
      <c r="AB248" s="4"/>
      <c r="AC248" s="4"/>
    </row>
    <row r="249" spans="1:29" ht="14.25" customHeight="1">
      <c r="A249" s="58"/>
      <c r="B249" s="123"/>
      <c r="C249" s="123"/>
      <c r="D249" s="123"/>
      <c r="E249" s="123"/>
      <c r="F249" s="123"/>
      <c r="G249" s="123"/>
      <c r="H249" s="12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4"/>
      <c r="AB249" s="4"/>
      <c r="AC249" s="4"/>
    </row>
    <row r="250" spans="1:29" ht="14.25" customHeight="1">
      <c r="A250" s="58"/>
      <c r="B250" s="123"/>
      <c r="C250" s="123"/>
      <c r="D250" s="123"/>
      <c r="E250" s="123"/>
      <c r="F250" s="123"/>
      <c r="G250" s="123"/>
      <c r="H250" s="12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4"/>
      <c r="AB250" s="4"/>
      <c r="AC250" s="4"/>
    </row>
    <row r="251" spans="1:29" ht="14.25" customHeight="1">
      <c r="A251" s="58"/>
      <c r="B251" s="123"/>
      <c r="C251" s="123"/>
      <c r="D251" s="123"/>
      <c r="E251" s="123"/>
      <c r="F251" s="123"/>
      <c r="G251" s="123"/>
      <c r="H251" s="12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4"/>
      <c r="AB251" s="4"/>
      <c r="AC251" s="4"/>
    </row>
    <row r="252" spans="1:29" ht="14.25" customHeight="1">
      <c r="A252" s="58"/>
      <c r="B252" s="123"/>
      <c r="C252" s="123"/>
      <c r="D252" s="123"/>
      <c r="E252" s="123"/>
      <c r="F252" s="123"/>
      <c r="G252" s="123"/>
      <c r="H252" s="12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4"/>
      <c r="AB252" s="4"/>
      <c r="AC252" s="4"/>
    </row>
    <row r="253" spans="1:29" ht="14.25" customHeight="1">
      <c r="A253" s="58"/>
      <c r="B253" s="123"/>
      <c r="C253" s="123"/>
      <c r="D253" s="123"/>
      <c r="E253" s="123"/>
      <c r="F253" s="123"/>
      <c r="G253" s="123"/>
      <c r="H253" s="12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4"/>
      <c r="AB253" s="4"/>
      <c r="AC253" s="4"/>
    </row>
    <row r="254" spans="1:29" ht="14.25" customHeight="1">
      <c r="A254" s="58"/>
      <c r="B254" s="123"/>
      <c r="C254" s="123"/>
      <c r="D254" s="123"/>
      <c r="E254" s="123"/>
      <c r="F254" s="123"/>
      <c r="G254" s="123"/>
      <c r="H254" s="12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4"/>
      <c r="AB254" s="4"/>
      <c r="AC254" s="4"/>
    </row>
    <row r="255" spans="1:29" ht="14.25" customHeight="1">
      <c r="A255" s="58"/>
      <c r="B255" s="123"/>
      <c r="C255" s="123"/>
      <c r="D255" s="123"/>
      <c r="E255" s="123"/>
      <c r="F255" s="123"/>
      <c r="G255" s="123"/>
      <c r="H255" s="12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4"/>
      <c r="AB255" s="4"/>
      <c r="AC255" s="4"/>
    </row>
    <row r="256" spans="1:29" ht="14.25" customHeight="1">
      <c r="A256" s="58"/>
      <c r="B256" s="123"/>
      <c r="C256" s="123"/>
      <c r="D256" s="123"/>
      <c r="E256" s="123"/>
      <c r="F256" s="123"/>
      <c r="G256" s="123"/>
      <c r="H256" s="12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4"/>
      <c r="AB256" s="4"/>
      <c r="AC256" s="4"/>
    </row>
    <row r="257" spans="1:29" ht="14.25" customHeight="1">
      <c r="A257" s="58"/>
      <c r="B257" s="123"/>
      <c r="C257" s="123"/>
      <c r="D257" s="123"/>
      <c r="E257" s="123"/>
      <c r="F257" s="123"/>
      <c r="G257" s="123"/>
      <c r="H257" s="12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4"/>
      <c r="AB257" s="4"/>
      <c r="AC257" s="4"/>
    </row>
    <row r="258" spans="1:29" ht="14.25" customHeight="1">
      <c r="A258" s="58"/>
      <c r="B258" s="123"/>
      <c r="C258" s="123"/>
      <c r="D258" s="123"/>
      <c r="E258" s="123"/>
      <c r="F258" s="123"/>
      <c r="G258" s="123"/>
      <c r="H258" s="12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4"/>
      <c r="AB258" s="4"/>
      <c r="AC258" s="4"/>
    </row>
    <row r="259" spans="1:29" ht="14.25" customHeight="1">
      <c r="A259" s="58"/>
      <c r="B259" s="123"/>
      <c r="C259" s="123"/>
      <c r="D259" s="123"/>
      <c r="E259" s="123"/>
      <c r="F259" s="123"/>
      <c r="G259" s="123"/>
      <c r="H259" s="12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4"/>
      <c r="AB259" s="4"/>
      <c r="AC259" s="4"/>
    </row>
    <row r="260" spans="1:29" ht="14.25" customHeight="1">
      <c r="A260" s="58"/>
      <c r="B260" s="123"/>
      <c r="C260" s="123"/>
      <c r="D260" s="123"/>
      <c r="E260" s="123"/>
      <c r="F260" s="123"/>
      <c r="G260" s="123"/>
      <c r="H260" s="12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4"/>
      <c r="AB260" s="4"/>
      <c r="AC260" s="4"/>
    </row>
    <row r="261" spans="1:29" ht="14.25" customHeight="1">
      <c r="A261" s="58"/>
      <c r="B261" s="123"/>
      <c r="C261" s="123"/>
      <c r="D261" s="123"/>
      <c r="E261" s="123"/>
      <c r="F261" s="123"/>
      <c r="G261" s="123"/>
      <c r="H261" s="12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4"/>
      <c r="AB261" s="4"/>
      <c r="AC261" s="4"/>
    </row>
    <row r="262" spans="1:29" ht="14.25" customHeight="1">
      <c r="A262" s="58"/>
      <c r="B262" s="123"/>
      <c r="C262" s="123"/>
      <c r="D262" s="123"/>
      <c r="E262" s="123"/>
      <c r="F262" s="123"/>
      <c r="G262" s="123"/>
      <c r="H262" s="12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4"/>
      <c r="AB262" s="4"/>
      <c r="AC262" s="4"/>
    </row>
    <row r="263" spans="1:29" ht="14.25" customHeight="1">
      <c r="A263" s="58"/>
      <c r="B263" s="123"/>
      <c r="C263" s="123"/>
      <c r="D263" s="123"/>
      <c r="E263" s="123"/>
      <c r="F263" s="123"/>
      <c r="G263" s="123"/>
      <c r="H263" s="12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4"/>
      <c r="AB263" s="4"/>
      <c r="AC263" s="4"/>
    </row>
    <row r="264" spans="1:29" ht="14.25" customHeight="1">
      <c r="A264" s="58"/>
      <c r="B264" s="123"/>
      <c r="C264" s="123"/>
      <c r="D264" s="123"/>
      <c r="E264" s="123"/>
      <c r="F264" s="123"/>
      <c r="G264" s="123"/>
      <c r="H264" s="12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4"/>
      <c r="AB264" s="4"/>
      <c r="AC264" s="4"/>
    </row>
    <row r="265" spans="1:29" ht="14.25" customHeight="1">
      <c r="A265" s="58"/>
      <c r="B265" s="123"/>
      <c r="C265" s="123"/>
      <c r="D265" s="123"/>
      <c r="E265" s="123"/>
      <c r="F265" s="123"/>
      <c r="G265" s="123"/>
      <c r="H265" s="12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4"/>
      <c r="AB265" s="4"/>
      <c r="AC265" s="4"/>
    </row>
    <row r="266" spans="1:29" ht="14.25" customHeight="1">
      <c r="A266" s="58"/>
      <c r="B266" s="123"/>
      <c r="C266" s="123"/>
      <c r="D266" s="123"/>
      <c r="E266" s="123"/>
      <c r="F266" s="123"/>
      <c r="G266" s="123"/>
      <c r="H266" s="12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4"/>
      <c r="AB266" s="4"/>
      <c r="AC266" s="4"/>
    </row>
    <row r="267" spans="1:29" ht="14.25" customHeight="1">
      <c r="A267" s="58"/>
      <c r="B267" s="123"/>
      <c r="C267" s="123"/>
      <c r="D267" s="123"/>
      <c r="E267" s="123"/>
      <c r="F267" s="123"/>
      <c r="G267" s="123"/>
      <c r="H267" s="12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4"/>
      <c r="AB267" s="4"/>
      <c r="AC267" s="4"/>
    </row>
    <row r="268" spans="1:29" ht="14.25" customHeight="1">
      <c r="A268" s="58"/>
      <c r="B268" s="123"/>
      <c r="C268" s="123"/>
      <c r="D268" s="123"/>
      <c r="E268" s="123"/>
      <c r="F268" s="123"/>
      <c r="G268" s="123"/>
      <c r="H268" s="12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4"/>
      <c r="AB268" s="4"/>
      <c r="AC268" s="4"/>
    </row>
    <row r="269" spans="1:29" ht="14.25" customHeight="1">
      <c r="A269" s="58"/>
      <c r="B269" s="123"/>
      <c r="C269" s="123"/>
      <c r="D269" s="123"/>
      <c r="E269" s="123"/>
      <c r="F269" s="123"/>
      <c r="G269" s="123"/>
      <c r="H269" s="12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4"/>
      <c r="AB269" s="4"/>
      <c r="AC269" s="4"/>
    </row>
    <row r="270" spans="1:29" ht="14.25" customHeight="1">
      <c r="A270" s="58"/>
      <c r="B270" s="123"/>
      <c r="C270" s="123"/>
      <c r="D270" s="123"/>
      <c r="E270" s="123"/>
      <c r="F270" s="123"/>
      <c r="G270" s="123"/>
      <c r="H270" s="12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4"/>
      <c r="AB270" s="4"/>
      <c r="AC270" s="4"/>
    </row>
    <row r="271" spans="1:29" ht="14.25" customHeight="1">
      <c r="A271" s="58"/>
      <c r="B271" s="123"/>
      <c r="C271" s="123"/>
      <c r="D271" s="123"/>
      <c r="E271" s="123"/>
      <c r="F271" s="123"/>
      <c r="G271" s="123"/>
      <c r="H271" s="12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4"/>
      <c r="AB271" s="4"/>
      <c r="AC271" s="4"/>
    </row>
    <row r="272" spans="1:29" ht="14.25" customHeight="1">
      <c r="A272" s="58"/>
      <c r="B272" s="123"/>
      <c r="C272" s="123"/>
      <c r="D272" s="123"/>
      <c r="E272" s="123"/>
      <c r="F272" s="123"/>
      <c r="G272" s="123"/>
      <c r="H272" s="12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4"/>
      <c r="AB272" s="4"/>
      <c r="AC272" s="4"/>
    </row>
    <row r="273" spans="1:29" ht="14.25" customHeight="1">
      <c r="A273" s="58"/>
      <c r="B273" s="123"/>
      <c r="C273" s="123"/>
      <c r="D273" s="123"/>
      <c r="E273" s="123"/>
      <c r="F273" s="123"/>
      <c r="G273" s="123"/>
      <c r="H273" s="12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4"/>
      <c r="AB273" s="4"/>
      <c r="AC273" s="4"/>
    </row>
    <row r="274" spans="1:29" ht="14.25" customHeight="1">
      <c r="A274" s="58"/>
      <c r="B274" s="123"/>
      <c r="C274" s="123"/>
      <c r="D274" s="123"/>
      <c r="E274" s="123"/>
      <c r="F274" s="123"/>
      <c r="G274" s="123"/>
      <c r="H274" s="12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4"/>
      <c r="AB274" s="4"/>
      <c r="AC274" s="4"/>
    </row>
    <row r="275" spans="1:29" ht="14.25" customHeight="1">
      <c r="A275" s="58"/>
      <c r="B275" s="123"/>
      <c r="C275" s="123"/>
      <c r="D275" s="123"/>
      <c r="E275" s="123"/>
      <c r="F275" s="123"/>
      <c r="G275" s="123"/>
      <c r="H275" s="12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4"/>
      <c r="AB275" s="4"/>
      <c r="AC275" s="4"/>
    </row>
    <row r="276" spans="1:29" ht="14.25" customHeight="1">
      <c r="A276" s="58"/>
      <c r="B276" s="123"/>
      <c r="C276" s="123"/>
      <c r="D276" s="123"/>
      <c r="E276" s="123"/>
      <c r="F276" s="123"/>
      <c r="G276" s="123"/>
      <c r="H276" s="12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4"/>
      <c r="AB276" s="4"/>
      <c r="AC276" s="4"/>
    </row>
    <row r="277" spans="1:29" ht="14.25" customHeight="1">
      <c r="A277" s="58"/>
      <c r="B277" s="123"/>
      <c r="C277" s="123"/>
      <c r="D277" s="123"/>
      <c r="E277" s="123"/>
      <c r="F277" s="123"/>
      <c r="G277" s="123"/>
      <c r="H277" s="12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4"/>
      <c r="AB277" s="4"/>
      <c r="AC277" s="4"/>
    </row>
    <row r="278" spans="1:29" ht="14.25" customHeight="1">
      <c r="A278" s="58"/>
      <c r="B278" s="123"/>
      <c r="C278" s="123"/>
      <c r="D278" s="123"/>
      <c r="E278" s="123"/>
      <c r="F278" s="123"/>
      <c r="G278" s="123"/>
      <c r="H278" s="12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4"/>
      <c r="AB278" s="4"/>
      <c r="AC278" s="4"/>
    </row>
    <row r="279" spans="1:29" ht="14.25" customHeight="1">
      <c r="A279" s="58"/>
      <c r="B279" s="123"/>
      <c r="C279" s="123"/>
      <c r="D279" s="123"/>
      <c r="E279" s="123"/>
      <c r="F279" s="123"/>
      <c r="G279" s="123"/>
      <c r="H279" s="12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4"/>
      <c r="AB279" s="4"/>
      <c r="AC279" s="4"/>
    </row>
    <row r="280" spans="1:29" ht="14.25" customHeight="1">
      <c r="A280" s="58"/>
      <c r="B280" s="123"/>
      <c r="C280" s="123"/>
      <c r="D280" s="123"/>
      <c r="E280" s="123"/>
      <c r="F280" s="123"/>
      <c r="G280" s="123"/>
      <c r="H280" s="12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4"/>
      <c r="AB280" s="4"/>
      <c r="AC280" s="4"/>
    </row>
    <row r="281" spans="1:29" ht="14.25" customHeight="1">
      <c r="A281" s="58"/>
      <c r="B281" s="123"/>
      <c r="C281" s="123"/>
      <c r="D281" s="123"/>
      <c r="E281" s="123"/>
      <c r="F281" s="123"/>
      <c r="G281" s="123"/>
      <c r="H281" s="12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4"/>
      <c r="AB281" s="4"/>
      <c r="AC281" s="4"/>
    </row>
    <row r="282" spans="1:29" ht="14.25" customHeight="1">
      <c r="A282" s="58"/>
      <c r="B282" s="123"/>
      <c r="C282" s="123"/>
      <c r="D282" s="123"/>
      <c r="E282" s="123"/>
      <c r="F282" s="123"/>
      <c r="G282" s="123"/>
      <c r="H282" s="12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4"/>
      <c r="AB282" s="4"/>
      <c r="AC282" s="4"/>
    </row>
    <row r="283" spans="1:29" ht="14.25" customHeight="1">
      <c r="A283" s="58"/>
      <c r="B283" s="123"/>
      <c r="C283" s="123"/>
      <c r="D283" s="123"/>
      <c r="E283" s="123"/>
      <c r="F283" s="123"/>
      <c r="G283" s="123"/>
      <c r="H283" s="12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4"/>
      <c r="AB283" s="4"/>
      <c r="AC283" s="4"/>
    </row>
    <row r="284" spans="1:29" ht="14.25" customHeight="1">
      <c r="A284" s="58"/>
      <c r="B284" s="123"/>
      <c r="C284" s="123"/>
      <c r="D284" s="123"/>
      <c r="E284" s="123"/>
      <c r="F284" s="123"/>
      <c r="G284" s="123"/>
      <c r="H284" s="12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4"/>
      <c r="AB284" s="4"/>
      <c r="AC284" s="4"/>
    </row>
    <row r="285" spans="1:29" ht="14.25" customHeight="1">
      <c r="A285" s="58"/>
      <c r="B285" s="123"/>
      <c r="C285" s="123"/>
      <c r="D285" s="123"/>
      <c r="E285" s="123"/>
      <c r="F285" s="123"/>
      <c r="G285" s="123"/>
      <c r="H285" s="12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4"/>
      <c r="AB285" s="4"/>
      <c r="AC285" s="4"/>
    </row>
    <row r="286" spans="1:29" ht="14.25" customHeight="1">
      <c r="A286" s="58"/>
      <c r="B286" s="123"/>
      <c r="C286" s="123"/>
      <c r="D286" s="123"/>
      <c r="E286" s="123"/>
      <c r="F286" s="123"/>
      <c r="G286" s="123"/>
      <c r="H286" s="12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4"/>
      <c r="AB286" s="4"/>
      <c r="AC286" s="4"/>
    </row>
    <row r="287" spans="1:29" ht="14.25" customHeight="1">
      <c r="A287" s="58"/>
      <c r="B287" s="123"/>
      <c r="C287" s="123"/>
      <c r="D287" s="123"/>
      <c r="E287" s="123"/>
      <c r="F287" s="123"/>
      <c r="G287" s="123"/>
      <c r="H287" s="12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4"/>
      <c r="AB287" s="4"/>
      <c r="AC287" s="4"/>
    </row>
    <row r="288" spans="1:29" ht="14.25" customHeight="1">
      <c r="A288" s="58"/>
      <c r="B288" s="123"/>
      <c r="C288" s="123"/>
      <c r="D288" s="123"/>
      <c r="E288" s="123"/>
      <c r="F288" s="123"/>
      <c r="G288" s="123"/>
      <c r="H288" s="12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4"/>
      <c r="AB288" s="4"/>
      <c r="AC288" s="4"/>
    </row>
    <row r="289" spans="1:29" ht="14.25" customHeight="1">
      <c r="A289" s="58"/>
      <c r="B289" s="123"/>
      <c r="C289" s="123"/>
      <c r="D289" s="123"/>
      <c r="E289" s="123"/>
      <c r="F289" s="123"/>
      <c r="G289" s="123"/>
      <c r="H289" s="12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4"/>
      <c r="AB289" s="4"/>
      <c r="AC289" s="4"/>
    </row>
    <row r="290" spans="1:29" ht="14.25" customHeight="1">
      <c r="A290" s="58"/>
      <c r="B290" s="123"/>
      <c r="C290" s="123"/>
      <c r="D290" s="123"/>
      <c r="E290" s="123"/>
      <c r="F290" s="123"/>
      <c r="G290" s="123"/>
      <c r="H290" s="12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4"/>
      <c r="AB290" s="4"/>
      <c r="AC290" s="4"/>
    </row>
    <row r="291" spans="1:29" ht="14.25" customHeight="1">
      <c r="A291" s="58"/>
      <c r="B291" s="123"/>
      <c r="C291" s="123"/>
      <c r="D291" s="123"/>
      <c r="E291" s="123"/>
      <c r="F291" s="123"/>
      <c r="G291" s="123"/>
      <c r="H291" s="12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4"/>
      <c r="AB291" s="4"/>
      <c r="AC291" s="4"/>
    </row>
    <row r="292" spans="1:29" ht="14.25" customHeight="1">
      <c r="A292" s="58"/>
      <c r="B292" s="123"/>
      <c r="C292" s="123"/>
      <c r="D292" s="123"/>
      <c r="E292" s="123"/>
      <c r="F292" s="123"/>
      <c r="G292" s="123"/>
      <c r="H292" s="12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4"/>
      <c r="AB292" s="4"/>
      <c r="AC292" s="4"/>
    </row>
    <row r="293" spans="1:29" ht="14.25" customHeight="1">
      <c r="A293" s="58"/>
      <c r="B293" s="123"/>
      <c r="C293" s="123"/>
      <c r="D293" s="123"/>
      <c r="E293" s="123"/>
      <c r="F293" s="123"/>
      <c r="G293" s="123"/>
      <c r="H293" s="12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4"/>
      <c r="AB293" s="4"/>
      <c r="AC293" s="4"/>
    </row>
    <row r="294" spans="1:29" ht="14.25" customHeight="1">
      <c r="A294" s="58"/>
      <c r="B294" s="123"/>
      <c r="C294" s="123"/>
      <c r="D294" s="123"/>
      <c r="E294" s="123"/>
      <c r="F294" s="123"/>
      <c r="G294" s="123"/>
      <c r="H294" s="12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4"/>
      <c r="AB294" s="4"/>
      <c r="AC294" s="4"/>
    </row>
    <row r="295" spans="1:29" ht="14.25" customHeight="1">
      <c r="A295" s="58"/>
      <c r="B295" s="123"/>
      <c r="C295" s="123"/>
      <c r="D295" s="123"/>
      <c r="E295" s="123"/>
      <c r="F295" s="123"/>
      <c r="G295" s="123"/>
      <c r="H295" s="12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4"/>
      <c r="AB295" s="4"/>
      <c r="AC295" s="4"/>
    </row>
    <row r="296" spans="1:29" ht="14.25" customHeight="1">
      <c r="A296" s="58"/>
      <c r="B296" s="123"/>
      <c r="C296" s="123"/>
      <c r="D296" s="123"/>
      <c r="E296" s="123"/>
      <c r="F296" s="123"/>
      <c r="G296" s="123"/>
      <c r="H296" s="12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4"/>
      <c r="AB296" s="4"/>
      <c r="AC296" s="4"/>
    </row>
    <row r="297" spans="1:29" ht="14.25" customHeight="1">
      <c r="A297" s="58"/>
      <c r="B297" s="123"/>
      <c r="C297" s="123"/>
      <c r="D297" s="123"/>
      <c r="E297" s="123"/>
      <c r="F297" s="123"/>
      <c r="G297" s="123"/>
      <c r="H297" s="12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4"/>
      <c r="AB297" s="4"/>
      <c r="AC297" s="4"/>
    </row>
    <row r="298" spans="1:29" ht="14.25" customHeight="1">
      <c r="A298" s="58"/>
      <c r="B298" s="123"/>
      <c r="C298" s="123"/>
      <c r="D298" s="123"/>
      <c r="E298" s="123"/>
      <c r="F298" s="123"/>
      <c r="G298" s="123"/>
      <c r="H298" s="12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4"/>
      <c r="AB298" s="4"/>
      <c r="AC298" s="4"/>
    </row>
    <row r="299" spans="1:29" ht="14.25" customHeight="1">
      <c r="A299" s="58"/>
      <c r="B299" s="123"/>
      <c r="C299" s="123"/>
      <c r="D299" s="123"/>
      <c r="E299" s="123"/>
      <c r="F299" s="123"/>
      <c r="G299" s="123"/>
      <c r="H299" s="12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4"/>
      <c r="AB299" s="4"/>
      <c r="AC299" s="4"/>
    </row>
    <row r="300" spans="1:29" ht="14.25" customHeight="1">
      <c r="A300" s="58"/>
      <c r="B300" s="123"/>
      <c r="C300" s="123"/>
      <c r="D300" s="123"/>
      <c r="E300" s="123"/>
      <c r="F300" s="123"/>
      <c r="G300" s="123"/>
      <c r="H300" s="12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4"/>
      <c r="AB300" s="4"/>
      <c r="AC300" s="4"/>
    </row>
    <row r="301" spans="1:29" ht="14.25" customHeight="1">
      <c r="A301" s="58"/>
      <c r="B301" s="123"/>
      <c r="C301" s="123"/>
      <c r="D301" s="123"/>
      <c r="E301" s="123"/>
      <c r="F301" s="123"/>
      <c r="G301" s="123"/>
      <c r="H301" s="12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4"/>
      <c r="AB301" s="4"/>
      <c r="AC301" s="4"/>
    </row>
    <row r="302" spans="1:29" ht="14.25" customHeight="1">
      <c r="A302" s="58"/>
      <c r="B302" s="123"/>
      <c r="C302" s="123"/>
      <c r="D302" s="123"/>
      <c r="E302" s="123"/>
      <c r="F302" s="123"/>
      <c r="G302" s="123"/>
      <c r="H302" s="12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4"/>
      <c r="AB302" s="4"/>
      <c r="AC302" s="4"/>
    </row>
    <row r="303" spans="1:29" ht="14.25" customHeight="1">
      <c r="A303" s="58"/>
      <c r="B303" s="123"/>
      <c r="C303" s="123"/>
      <c r="D303" s="123"/>
      <c r="E303" s="123"/>
      <c r="F303" s="123"/>
      <c r="G303" s="123"/>
      <c r="H303" s="12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4"/>
      <c r="AB303" s="4"/>
      <c r="AC303" s="4"/>
    </row>
    <row r="304" spans="1:29" ht="14.25" customHeight="1">
      <c r="A304" s="58"/>
      <c r="B304" s="123"/>
      <c r="C304" s="123"/>
      <c r="D304" s="123"/>
      <c r="E304" s="123"/>
      <c r="F304" s="123"/>
      <c r="G304" s="123"/>
      <c r="H304" s="12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4"/>
      <c r="AB304" s="4"/>
      <c r="AC304" s="4"/>
    </row>
    <row r="305" spans="1:29" ht="14.25" customHeight="1">
      <c r="A305" s="58"/>
      <c r="B305" s="123"/>
      <c r="C305" s="123"/>
      <c r="D305" s="123"/>
      <c r="E305" s="123"/>
      <c r="F305" s="123"/>
      <c r="G305" s="123"/>
      <c r="H305" s="12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4"/>
      <c r="AB305" s="4"/>
      <c r="AC305" s="4"/>
    </row>
    <row r="306" spans="1:29" ht="14.25" customHeight="1">
      <c r="A306" s="58"/>
      <c r="B306" s="123"/>
      <c r="C306" s="123"/>
      <c r="D306" s="123"/>
      <c r="E306" s="123"/>
      <c r="F306" s="123"/>
      <c r="G306" s="123"/>
      <c r="H306" s="12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4"/>
      <c r="AB306" s="4"/>
      <c r="AC306" s="4"/>
    </row>
    <row r="307" spans="1:29" ht="14.25" customHeight="1">
      <c r="A307" s="58"/>
      <c r="B307" s="123"/>
      <c r="C307" s="123"/>
      <c r="D307" s="123"/>
      <c r="E307" s="123"/>
      <c r="F307" s="123"/>
      <c r="G307" s="123"/>
      <c r="H307" s="12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4"/>
      <c r="AB307" s="4"/>
      <c r="AC307" s="4"/>
    </row>
    <row r="308" spans="1:29" ht="14.25" customHeight="1">
      <c r="A308" s="58"/>
      <c r="B308" s="123"/>
      <c r="C308" s="123"/>
      <c r="D308" s="123"/>
      <c r="E308" s="123"/>
      <c r="F308" s="123"/>
      <c r="G308" s="123"/>
      <c r="H308" s="12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4"/>
      <c r="AB308" s="4"/>
      <c r="AC308" s="4"/>
    </row>
    <row r="309" spans="1:29" ht="14.25" customHeight="1">
      <c r="A309" s="58"/>
      <c r="B309" s="123"/>
      <c r="C309" s="123"/>
      <c r="D309" s="123"/>
      <c r="E309" s="123"/>
      <c r="F309" s="123"/>
      <c r="G309" s="123"/>
      <c r="H309" s="12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4"/>
      <c r="AB309" s="4"/>
      <c r="AC309" s="4"/>
    </row>
    <row r="310" spans="1:29" ht="14.25" customHeight="1">
      <c r="A310" s="58"/>
      <c r="B310" s="123"/>
      <c r="C310" s="123"/>
      <c r="D310" s="123"/>
      <c r="E310" s="123"/>
      <c r="F310" s="123"/>
      <c r="G310" s="123"/>
      <c r="H310" s="12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4"/>
      <c r="AB310" s="4"/>
      <c r="AC310" s="4"/>
    </row>
    <row r="311" spans="1:29" ht="14.25" customHeight="1">
      <c r="A311" s="58"/>
      <c r="B311" s="123"/>
      <c r="C311" s="123"/>
      <c r="D311" s="123"/>
      <c r="E311" s="123"/>
      <c r="F311" s="123"/>
      <c r="G311" s="123"/>
      <c r="H311" s="12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4"/>
      <c r="AB311" s="4"/>
      <c r="AC311" s="4"/>
    </row>
    <row r="312" spans="1:29" ht="14.25" customHeight="1">
      <c r="A312" s="58"/>
      <c r="B312" s="123"/>
      <c r="C312" s="123"/>
      <c r="D312" s="123"/>
      <c r="E312" s="123"/>
      <c r="F312" s="123"/>
      <c r="G312" s="123"/>
      <c r="H312" s="12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4"/>
      <c r="AB312" s="4"/>
      <c r="AC312" s="4"/>
    </row>
    <row r="313" spans="1:29" ht="14.25" customHeight="1">
      <c r="A313" s="58"/>
      <c r="B313" s="123"/>
      <c r="C313" s="123"/>
      <c r="D313" s="123"/>
      <c r="E313" s="123"/>
      <c r="F313" s="123"/>
      <c r="G313" s="123"/>
      <c r="H313" s="12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4"/>
      <c r="AB313" s="4"/>
      <c r="AC313" s="4"/>
    </row>
    <row r="314" spans="1:29" ht="14.25" customHeight="1">
      <c r="A314" s="58"/>
      <c r="B314" s="123"/>
      <c r="C314" s="123"/>
      <c r="D314" s="123"/>
      <c r="E314" s="123"/>
      <c r="F314" s="123"/>
      <c r="G314" s="123"/>
      <c r="H314" s="12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4"/>
      <c r="AB314" s="4"/>
      <c r="AC314" s="4"/>
    </row>
    <row r="315" spans="1:29" ht="14.25" customHeight="1">
      <c r="A315" s="58"/>
      <c r="B315" s="123"/>
      <c r="C315" s="123"/>
      <c r="D315" s="123"/>
      <c r="E315" s="123"/>
      <c r="F315" s="123"/>
      <c r="G315" s="123"/>
      <c r="H315" s="12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4"/>
      <c r="AB315" s="4"/>
      <c r="AC315" s="4"/>
    </row>
    <row r="316" spans="1:29" ht="14.25" customHeight="1">
      <c r="A316" s="58"/>
      <c r="B316" s="123"/>
      <c r="C316" s="123"/>
      <c r="D316" s="123"/>
      <c r="E316" s="123"/>
      <c r="F316" s="123"/>
      <c r="G316" s="123"/>
      <c r="H316" s="12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4"/>
      <c r="AB316" s="4"/>
      <c r="AC316" s="4"/>
    </row>
    <row r="317" spans="1:29" ht="14.25" customHeight="1">
      <c r="A317" s="58"/>
      <c r="B317" s="123"/>
      <c r="C317" s="123"/>
      <c r="D317" s="123"/>
      <c r="E317" s="123"/>
      <c r="F317" s="123"/>
      <c r="G317" s="123"/>
      <c r="H317" s="12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4"/>
      <c r="AB317" s="4"/>
      <c r="AC317" s="4"/>
    </row>
    <row r="318" spans="1:29" ht="14.25" customHeight="1">
      <c r="A318" s="58"/>
      <c r="B318" s="123"/>
      <c r="C318" s="123"/>
      <c r="D318" s="123"/>
      <c r="E318" s="123"/>
      <c r="F318" s="123"/>
      <c r="G318" s="123"/>
      <c r="H318" s="12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4"/>
      <c r="AB318" s="4"/>
      <c r="AC318" s="4"/>
    </row>
    <row r="319" spans="1:29" ht="14.25" customHeight="1">
      <c r="A319" s="58"/>
      <c r="B319" s="123"/>
      <c r="C319" s="123"/>
      <c r="D319" s="123"/>
      <c r="E319" s="123"/>
      <c r="F319" s="123"/>
      <c r="G319" s="123"/>
      <c r="H319" s="12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4"/>
      <c r="AB319" s="4"/>
      <c r="AC319" s="4"/>
    </row>
    <row r="320" spans="1:29" ht="14.25" customHeight="1">
      <c r="A320" s="58"/>
      <c r="B320" s="123"/>
      <c r="C320" s="123"/>
      <c r="D320" s="123"/>
      <c r="E320" s="123"/>
      <c r="F320" s="123"/>
      <c r="G320" s="123"/>
      <c r="H320" s="12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4"/>
      <c r="AB320" s="4"/>
      <c r="AC320" s="4"/>
    </row>
    <row r="321" spans="1:29" ht="14.25" customHeight="1">
      <c r="A321" s="58"/>
      <c r="B321" s="123"/>
      <c r="C321" s="123"/>
      <c r="D321" s="123"/>
      <c r="E321" s="123"/>
      <c r="F321" s="123"/>
      <c r="G321" s="123"/>
      <c r="H321" s="12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4"/>
      <c r="AB321" s="4"/>
      <c r="AC321" s="4"/>
    </row>
    <row r="322" spans="1:29" ht="14.25" customHeight="1">
      <c r="A322" s="58"/>
      <c r="B322" s="123"/>
      <c r="C322" s="123"/>
      <c r="D322" s="123"/>
      <c r="E322" s="123"/>
      <c r="F322" s="123"/>
      <c r="G322" s="123"/>
      <c r="H322" s="12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4"/>
      <c r="AB322" s="4"/>
      <c r="AC322" s="4"/>
    </row>
    <row r="323" spans="1:29" ht="14.25" customHeight="1">
      <c r="A323" s="58"/>
      <c r="B323" s="123"/>
      <c r="C323" s="123"/>
      <c r="D323" s="123"/>
      <c r="E323" s="123"/>
      <c r="F323" s="123"/>
      <c r="G323" s="123"/>
      <c r="H323" s="12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4"/>
      <c r="AB323" s="4"/>
      <c r="AC323" s="4"/>
    </row>
    <row r="324" spans="1:29" ht="14.25" customHeight="1">
      <c r="A324" s="58"/>
      <c r="B324" s="123"/>
      <c r="C324" s="123"/>
      <c r="D324" s="123"/>
      <c r="E324" s="123"/>
      <c r="F324" s="123"/>
      <c r="G324" s="123"/>
      <c r="H324" s="12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4"/>
      <c r="AB324" s="4"/>
      <c r="AC324" s="4"/>
    </row>
    <row r="325" spans="1:29" ht="14.25" customHeight="1">
      <c r="A325" s="58"/>
      <c r="B325" s="123"/>
      <c r="C325" s="123"/>
      <c r="D325" s="123"/>
      <c r="E325" s="123"/>
      <c r="F325" s="123"/>
      <c r="G325" s="123"/>
      <c r="H325" s="12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4"/>
      <c r="AB325" s="4"/>
      <c r="AC325" s="4"/>
    </row>
    <row r="326" spans="1:29" ht="14.25" customHeight="1">
      <c r="A326" s="58"/>
      <c r="B326" s="123"/>
      <c r="C326" s="123"/>
      <c r="D326" s="123"/>
      <c r="E326" s="123"/>
      <c r="F326" s="123"/>
      <c r="G326" s="123"/>
      <c r="H326" s="12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4"/>
      <c r="AB326" s="4"/>
      <c r="AC326" s="4"/>
    </row>
    <row r="327" spans="1:29" ht="14.25" customHeight="1">
      <c r="A327" s="58"/>
      <c r="B327" s="123"/>
      <c r="C327" s="123"/>
      <c r="D327" s="123"/>
      <c r="E327" s="123"/>
      <c r="F327" s="123"/>
      <c r="G327" s="123"/>
      <c r="H327" s="12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4"/>
      <c r="AB327" s="4"/>
      <c r="AC327" s="4"/>
    </row>
    <row r="328" spans="1:29" ht="14.25" customHeight="1">
      <c r="A328" s="58"/>
      <c r="B328" s="123"/>
      <c r="C328" s="123"/>
      <c r="D328" s="123"/>
      <c r="E328" s="123"/>
      <c r="F328" s="123"/>
      <c r="G328" s="123"/>
      <c r="H328" s="12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4"/>
      <c r="AB328" s="4"/>
      <c r="AC328" s="4"/>
    </row>
    <row r="329" spans="1:29" ht="14.25" customHeight="1">
      <c r="A329" s="58"/>
      <c r="B329" s="123"/>
      <c r="C329" s="123"/>
      <c r="D329" s="123"/>
      <c r="E329" s="123"/>
      <c r="F329" s="123"/>
      <c r="G329" s="123"/>
      <c r="H329" s="12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4"/>
      <c r="AB329" s="4"/>
      <c r="AC329" s="4"/>
    </row>
    <row r="330" spans="1:29" ht="14.25" customHeight="1">
      <c r="A330" s="58"/>
      <c r="B330" s="123"/>
      <c r="C330" s="123"/>
      <c r="D330" s="123"/>
      <c r="E330" s="123"/>
      <c r="F330" s="123"/>
      <c r="G330" s="123"/>
      <c r="H330" s="12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4"/>
      <c r="AB330" s="4"/>
      <c r="AC330" s="4"/>
    </row>
    <row r="331" spans="1:29" ht="14.25" customHeight="1">
      <c r="A331" s="58"/>
      <c r="B331" s="123"/>
      <c r="C331" s="123"/>
      <c r="D331" s="123"/>
      <c r="E331" s="123"/>
      <c r="F331" s="123"/>
      <c r="G331" s="123"/>
      <c r="H331" s="12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4"/>
      <c r="AB331" s="4"/>
      <c r="AC331" s="4"/>
    </row>
    <row r="332" spans="1:29" ht="14.25" customHeight="1">
      <c r="A332" s="58"/>
      <c r="B332" s="123"/>
      <c r="C332" s="123"/>
      <c r="D332" s="123"/>
      <c r="E332" s="123"/>
      <c r="F332" s="123"/>
      <c r="G332" s="123"/>
      <c r="H332" s="12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4"/>
      <c r="AB332" s="4"/>
      <c r="AC332" s="4"/>
    </row>
    <row r="333" spans="1:29" ht="14.25" customHeight="1">
      <c r="A333" s="58"/>
      <c r="B333" s="123"/>
      <c r="C333" s="123"/>
      <c r="D333" s="123"/>
      <c r="E333" s="123"/>
      <c r="F333" s="123"/>
      <c r="G333" s="123"/>
      <c r="H333" s="12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4"/>
      <c r="AB333" s="4"/>
      <c r="AC333" s="4"/>
    </row>
    <row r="334" spans="1:29" ht="14.25" customHeight="1">
      <c r="A334" s="58"/>
      <c r="B334" s="123"/>
      <c r="C334" s="123"/>
      <c r="D334" s="123"/>
      <c r="E334" s="123"/>
      <c r="F334" s="123"/>
      <c r="G334" s="123"/>
      <c r="H334" s="12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4"/>
      <c r="AB334" s="4"/>
      <c r="AC334" s="4"/>
    </row>
    <row r="335" spans="1:29" ht="14.25" customHeight="1">
      <c r="A335" s="58"/>
      <c r="B335" s="123"/>
      <c r="C335" s="123"/>
      <c r="D335" s="123"/>
      <c r="E335" s="123"/>
      <c r="F335" s="123"/>
      <c r="G335" s="123"/>
      <c r="H335" s="12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4"/>
      <c r="AB335" s="4"/>
      <c r="AC335" s="4"/>
    </row>
    <row r="336" spans="1:29" ht="14.25" customHeight="1">
      <c r="A336" s="58"/>
      <c r="B336" s="123"/>
      <c r="C336" s="123"/>
      <c r="D336" s="123"/>
      <c r="E336" s="123"/>
      <c r="F336" s="123"/>
      <c r="G336" s="123"/>
      <c r="H336" s="12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4"/>
      <c r="AB336" s="4"/>
      <c r="AC336" s="4"/>
    </row>
    <row r="337" spans="1:29" ht="14.25" customHeight="1">
      <c r="A337" s="58"/>
      <c r="B337" s="123"/>
      <c r="C337" s="123"/>
      <c r="D337" s="123"/>
      <c r="E337" s="123"/>
      <c r="F337" s="123"/>
      <c r="G337" s="123"/>
      <c r="H337" s="12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4"/>
      <c r="AB337" s="4"/>
      <c r="AC337" s="4"/>
    </row>
    <row r="338" spans="1:29" ht="14.25" customHeight="1">
      <c r="A338" s="58"/>
      <c r="B338" s="123"/>
      <c r="C338" s="123"/>
      <c r="D338" s="123"/>
      <c r="E338" s="123"/>
      <c r="F338" s="123"/>
      <c r="G338" s="123"/>
      <c r="H338" s="12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4"/>
      <c r="AB338" s="4"/>
      <c r="AC338" s="4"/>
    </row>
    <row r="339" spans="1:29" ht="14.25" customHeight="1">
      <c r="A339" s="58"/>
      <c r="B339" s="123"/>
      <c r="C339" s="123"/>
      <c r="D339" s="123"/>
      <c r="E339" s="123"/>
      <c r="F339" s="123"/>
      <c r="G339" s="123"/>
      <c r="H339" s="12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4"/>
      <c r="AB339" s="4"/>
      <c r="AC339" s="4"/>
    </row>
    <row r="340" spans="1:29" ht="14.25" customHeight="1">
      <c r="A340" s="58"/>
      <c r="B340" s="123"/>
      <c r="C340" s="123"/>
      <c r="D340" s="123"/>
      <c r="E340" s="123"/>
      <c r="F340" s="123"/>
      <c r="G340" s="123"/>
      <c r="H340" s="12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4"/>
      <c r="AB340" s="4"/>
      <c r="AC340" s="4"/>
    </row>
    <row r="341" spans="1:29" ht="14.25" customHeight="1">
      <c r="A341" s="58"/>
      <c r="B341" s="123"/>
      <c r="C341" s="123"/>
      <c r="D341" s="123"/>
      <c r="E341" s="123"/>
      <c r="F341" s="123"/>
      <c r="G341" s="123"/>
      <c r="H341" s="12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4"/>
      <c r="AB341" s="4"/>
      <c r="AC341" s="4"/>
    </row>
    <row r="342" spans="1:29" ht="14.25" customHeight="1">
      <c r="A342" s="58"/>
      <c r="B342" s="123"/>
      <c r="C342" s="123"/>
      <c r="D342" s="123"/>
      <c r="E342" s="123"/>
      <c r="F342" s="123"/>
      <c r="G342" s="123"/>
      <c r="H342" s="12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4"/>
      <c r="AB342" s="4"/>
      <c r="AC342" s="4"/>
    </row>
    <row r="343" spans="1:29" ht="14.25" customHeight="1">
      <c r="A343" s="58"/>
      <c r="B343" s="123"/>
      <c r="C343" s="123"/>
      <c r="D343" s="123"/>
      <c r="E343" s="123"/>
      <c r="F343" s="123"/>
      <c r="G343" s="123"/>
      <c r="H343" s="12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4"/>
      <c r="AB343" s="4"/>
      <c r="AC343" s="4"/>
    </row>
    <row r="344" spans="1:29" ht="14.25" customHeight="1">
      <c r="A344" s="58"/>
      <c r="B344" s="123"/>
      <c r="C344" s="123"/>
      <c r="D344" s="123"/>
      <c r="E344" s="123"/>
      <c r="F344" s="123"/>
      <c r="G344" s="123"/>
      <c r="H344" s="12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4"/>
      <c r="AB344" s="4"/>
      <c r="AC344" s="4"/>
    </row>
    <row r="345" spans="1:29" ht="14.25" customHeight="1">
      <c r="A345" s="58"/>
      <c r="B345" s="123"/>
      <c r="C345" s="123"/>
      <c r="D345" s="123"/>
      <c r="E345" s="123"/>
      <c r="F345" s="123"/>
      <c r="G345" s="123"/>
      <c r="H345" s="12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4"/>
      <c r="AB345" s="4"/>
      <c r="AC345" s="4"/>
    </row>
    <row r="346" spans="1:29" ht="14.25" customHeight="1">
      <c r="A346" s="58"/>
      <c r="B346" s="123"/>
      <c r="C346" s="123"/>
      <c r="D346" s="123"/>
      <c r="E346" s="123"/>
      <c r="F346" s="123"/>
      <c r="G346" s="123"/>
      <c r="H346" s="12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4"/>
      <c r="AB346" s="4"/>
      <c r="AC346" s="4"/>
    </row>
    <row r="347" spans="1:29" ht="14.25" customHeight="1">
      <c r="A347" s="58"/>
      <c r="B347" s="123"/>
      <c r="C347" s="123"/>
      <c r="D347" s="123"/>
      <c r="E347" s="123"/>
      <c r="F347" s="123"/>
      <c r="G347" s="123"/>
      <c r="H347" s="12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4"/>
      <c r="AB347" s="4"/>
      <c r="AC347" s="4"/>
    </row>
    <row r="348" spans="1:29" ht="14.25" customHeight="1">
      <c r="A348" s="58"/>
      <c r="B348" s="123"/>
      <c r="C348" s="123"/>
      <c r="D348" s="123"/>
      <c r="E348" s="123"/>
      <c r="F348" s="123"/>
      <c r="G348" s="123"/>
      <c r="H348" s="12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4"/>
      <c r="AB348" s="4"/>
      <c r="AC348" s="4"/>
    </row>
    <row r="349" spans="1:29" ht="14.25" customHeight="1">
      <c r="A349" s="58"/>
      <c r="B349" s="123"/>
      <c r="C349" s="123"/>
      <c r="D349" s="123"/>
      <c r="E349" s="123"/>
      <c r="F349" s="123"/>
      <c r="G349" s="123"/>
      <c r="H349" s="12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4"/>
      <c r="AB349" s="4"/>
      <c r="AC349" s="4"/>
    </row>
    <row r="350" spans="1:29" ht="14.25" customHeight="1">
      <c r="A350" s="58"/>
      <c r="B350" s="123"/>
      <c r="C350" s="123"/>
      <c r="D350" s="123"/>
      <c r="E350" s="123"/>
      <c r="F350" s="123"/>
      <c r="G350" s="123"/>
      <c r="H350" s="12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4"/>
      <c r="AB350" s="4"/>
      <c r="AC350" s="4"/>
    </row>
    <row r="351" spans="1:29" ht="14.25" customHeight="1">
      <c r="A351" s="58"/>
      <c r="B351" s="123"/>
      <c r="C351" s="123"/>
      <c r="D351" s="123"/>
      <c r="E351" s="123"/>
      <c r="F351" s="123"/>
      <c r="G351" s="123"/>
      <c r="H351" s="12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4"/>
      <c r="AB351" s="4"/>
      <c r="AC351" s="4"/>
    </row>
    <row r="352" spans="1:29" ht="14.25" customHeight="1">
      <c r="A352" s="58"/>
      <c r="B352" s="123"/>
      <c r="C352" s="123"/>
      <c r="D352" s="123"/>
      <c r="E352" s="123"/>
      <c r="F352" s="123"/>
      <c r="G352" s="123"/>
      <c r="H352" s="12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4"/>
      <c r="AB352" s="4"/>
      <c r="AC352" s="4"/>
    </row>
    <row r="353" spans="1:29" ht="14.25" customHeight="1">
      <c r="A353" s="58"/>
      <c r="B353" s="123"/>
      <c r="C353" s="123"/>
      <c r="D353" s="123"/>
      <c r="E353" s="123"/>
      <c r="F353" s="123"/>
      <c r="G353" s="123"/>
      <c r="H353" s="12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4"/>
      <c r="AB353" s="4"/>
      <c r="AC353" s="4"/>
    </row>
    <row r="354" spans="1:29" ht="14.25" customHeight="1">
      <c r="A354" s="58"/>
      <c r="B354" s="123"/>
      <c r="C354" s="123"/>
      <c r="D354" s="123"/>
      <c r="E354" s="123"/>
      <c r="F354" s="123"/>
      <c r="G354" s="123"/>
      <c r="H354" s="12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4"/>
      <c r="AB354" s="4"/>
      <c r="AC354" s="4"/>
    </row>
    <row r="355" spans="1:29" ht="14.25" customHeight="1">
      <c r="A355" s="58"/>
      <c r="B355" s="123"/>
      <c r="C355" s="123"/>
      <c r="D355" s="123"/>
      <c r="E355" s="123"/>
      <c r="F355" s="123"/>
      <c r="G355" s="123"/>
      <c r="H355" s="12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4"/>
      <c r="AB355" s="4"/>
      <c r="AC355" s="4"/>
    </row>
    <row r="356" spans="1:29" ht="14.25" customHeight="1">
      <c r="A356" s="58"/>
      <c r="B356" s="123"/>
      <c r="C356" s="123"/>
      <c r="D356" s="123"/>
      <c r="E356" s="123"/>
      <c r="F356" s="123"/>
      <c r="G356" s="123"/>
      <c r="H356" s="12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4"/>
      <c r="AB356" s="4"/>
      <c r="AC356" s="4"/>
    </row>
    <row r="357" spans="1:29" ht="14.25" customHeight="1">
      <c r="A357" s="58"/>
      <c r="B357" s="123"/>
      <c r="C357" s="123"/>
      <c r="D357" s="123"/>
      <c r="E357" s="123"/>
      <c r="F357" s="123"/>
      <c r="G357" s="123"/>
      <c r="H357" s="12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4"/>
      <c r="AB357" s="4"/>
      <c r="AC357" s="4"/>
    </row>
    <row r="358" spans="1:29" ht="14.25" customHeight="1">
      <c r="A358" s="58"/>
      <c r="B358" s="123"/>
      <c r="C358" s="123"/>
      <c r="D358" s="123"/>
      <c r="E358" s="123"/>
      <c r="F358" s="123"/>
      <c r="G358" s="123"/>
      <c r="H358" s="12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4"/>
      <c r="AB358" s="4"/>
      <c r="AC358" s="4"/>
    </row>
    <row r="359" spans="1:29" ht="14.25" customHeight="1">
      <c r="A359" s="58"/>
      <c r="B359" s="123"/>
      <c r="C359" s="123"/>
      <c r="D359" s="123"/>
      <c r="E359" s="123"/>
      <c r="F359" s="123"/>
      <c r="G359" s="123"/>
      <c r="H359" s="12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4"/>
      <c r="AB359" s="4"/>
      <c r="AC359" s="4"/>
    </row>
    <row r="360" spans="1:29" ht="14.25" customHeight="1">
      <c r="A360" s="58"/>
      <c r="B360" s="123"/>
      <c r="C360" s="123"/>
      <c r="D360" s="123"/>
      <c r="E360" s="123"/>
      <c r="F360" s="123"/>
      <c r="G360" s="123"/>
      <c r="H360" s="12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4"/>
      <c r="AB360" s="4"/>
      <c r="AC360" s="4"/>
    </row>
    <row r="361" spans="1:29" ht="14.25" customHeight="1">
      <c r="A361" s="58"/>
      <c r="B361" s="123"/>
      <c r="C361" s="123"/>
      <c r="D361" s="123"/>
      <c r="E361" s="123"/>
      <c r="F361" s="123"/>
      <c r="G361" s="123"/>
      <c r="H361" s="12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4"/>
      <c r="AB361" s="4"/>
      <c r="AC361" s="4"/>
    </row>
    <row r="362" spans="1:29" ht="14.25" customHeight="1">
      <c r="A362" s="58"/>
      <c r="B362" s="123"/>
      <c r="C362" s="123"/>
      <c r="D362" s="123"/>
      <c r="E362" s="123"/>
      <c r="F362" s="123"/>
      <c r="G362" s="123"/>
      <c r="H362" s="12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4"/>
      <c r="AB362" s="4"/>
      <c r="AC362" s="4"/>
    </row>
    <row r="363" spans="1:29" ht="14.25" customHeight="1">
      <c r="A363" s="58"/>
      <c r="B363" s="123"/>
      <c r="C363" s="123"/>
      <c r="D363" s="123"/>
      <c r="E363" s="123"/>
      <c r="F363" s="123"/>
      <c r="G363" s="123"/>
      <c r="H363" s="12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4"/>
      <c r="AB363" s="4"/>
      <c r="AC363" s="4"/>
    </row>
    <row r="364" spans="1:29" ht="14.25" customHeight="1">
      <c r="A364" s="58"/>
      <c r="B364" s="123"/>
      <c r="C364" s="123"/>
      <c r="D364" s="123"/>
      <c r="E364" s="123"/>
      <c r="F364" s="123"/>
      <c r="G364" s="123"/>
      <c r="H364" s="12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4"/>
      <c r="AB364" s="4"/>
      <c r="AC364" s="4"/>
    </row>
    <row r="365" spans="1:29" ht="14.25" customHeight="1">
      <c r="A365" s="58"/>
      <c r="B365" s="123"/>
      <c r="C365" s="123"/>
      <c r="D365" s="123"/>
      <c r="E365" s="123"/>
      <c r="F365" s="123"/>
      <c r="G365" s="123"/>
      <c r="H365" s="12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4"/>
      <c r="AB365" s="4"/>
      <c r="AC365" s="4"/>
    </row>
    <row r="366" spans="1:29" ht="14.25" customHeight="1">
      <c r="A366" s="58"/>
      <c r="B366" s="123"/>
      <c r="C366" s="123"/>
      <c r="D366" s="123"/>
      <c r="E366" s="123"/>
      <c r="F366" s="123"/>
      <c r="G366" s="123"/>
      <c r="H366" s="12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4"/>
      <c r="AB366" s="4"/>
      <c r="AC366" s="4"/>
    </row>
    <row r="367" spans="1:29" ht="14.25" customHeight="1">
      <c r="A367" s="58"/>
      <c r="B367" s="123"/>
      <c r="C367" s="123"/>
      <c r="D367" s="123"/>
      <c r="E367" s="123"/>
      <c r="F367" s="123"/>
      <c r="G367" s="123"/>
      <c r="H367" s="12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4"/>
      <c r="AB367" s="4"/>
      <c r="AC367" s="4"/>
    </row>
    <row r="368" spans="1:29" ht="14.25" customHeight="1">
      <c r="A368" s="58"/>
      <c r="B368" s="123"/>
      <c r="C368" s="123"/>
      <c r="D368" s="123"/>
      <c r="E368" s="123"/>
      <c r="F368" s="123"/>
      <c r="G368" s="123"/>
      <c r="H368" s="12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4"/>
      <c r="AB368" s="4"/>
      <c r="AC368" s="4"/>
    </row>
    <row r="369" spans="1:29" ht="14.25" customHeight="1">
      <c r="A369" s="58"/>
      <c r="B369" s="123"/>
      <c r="C369" s="123"/>
      <c r="D369" s="123"/>
      <c r="E369" s="123"/>
      <c r="F369" s="123"/>
      <c r="G369" s="123"/>
      <c r="H369" s="12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4"/>
      <c r="AB369" s="4"/>
      <c r="AC369" s="4"/>
    </row>
    <row r="370" spans="1:29" ht="14.25" customHeight="1">
      <c r="A370" s="58"/>
      <c r="B370" s="123"/>
      <c r="C370" s="123"/>
      <c r="D370" s="123"/>
      <c r="E370" s="123"/>
      <c r="F370" s="123"/>
      <c r="G370" s="123"/>
      <c r="H370" s="12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4"/>
      <c r="AB370" s="4"/>
      <c r="AC370" s="4"/>
    </row>
    <row r="371" spans="1:29" ht="14.25" customHeight="1">
      <c r="A371" s="58"/>
      <c r="B371" s="123"/>
      <c r="C371" s="123"/>
      <c r="D371" s="123"/>
      <c r="E371" s="123"/>
      <c r="F371" s="123"/>
      <c r="G371" s="123"/>
      <c r="H371" s="12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4"/>
      <c r="AB371" s="4"/>
      <c r="AC371" s="4"/>
    </row>
    <row r="372" spans="1:29" ht="14.25" customHeight="1">
      <c r="A372" s="58"/>
      <c r="B372" s="123"/>
      <c r="C372" s="123"/>
      <c r="D372" s="123"/>
      <c r="E372" s="123"/>
      <c r="F372" s="123"/>
      <c r="G372" s="123"/>
      <c r="H372" s="12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4"/>
      <c r="AB372" s="4"/>
      <c r="AC372" s="4"/>
    </row>
    <row r="373" spans="1:29" ht="14.25" customHeight="1">
      <c r="A373" s="58"/>
      <c r="B373" s="123"/>
      <c r="C373" s="123"/>
      <c r="D373" s="123"/>
      <c r="E373" s="123"/>
      <c r="F373" s="123"/>
      <c r="G373" s="123"/>
      <c r="H373" s="12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4"/>
      <c r="AB373" s="4"/>
      <c r="AC373" s="4"/>
    </row>
    <row r="374" spans="1:29" ht="14.25" customHeight="1">
      <c r="A374" s="58"/>
      <c r="B374" s="123"/>
      <c r="C374" s="123"/>
      <c r="D374" s="123"/>
      <c r="E374" s="123"/>
      <c r="F374" s="123"/>
      <c r="G374" s="123"/>
      <c r="H374" s="12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4"/>
      <c r="AB374" s="4"/>
      <c r="AC374" s="4"/>
    </row>
    <row r="375" spans="1:29" ht="14.25" customHeight="1">
      <c r="A375" s="58"/>
      <c r="B375" s="123"/>
      <c r="C375" s="123"/>
      <c r="D375" s="123"/>
      <c r="E375" s="123"/>
      <c r="F375" s="123"/>
      <c r="G375" s="123"/>
      <c r="H375" s="12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4"/>
      <c r="AB375" s="4"/>
      <c r="AC375" s="4"/>
    </row>
    <row r="376" spans="1:29" ht="14.25" customHeight="1">
      <c r="A376" s="58"/>
      <c r="B376" s="123"/>
      <c r="C376" s="123"/>
      <c r="D376" s="123"/>
      <c r="E376" s="123"/>
      <c r="F376" s="123"/>
      <c r="G376" s="123"/>
      <c r="H376" s="12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4"/>
      <c r="AB376" s="4"/>
      <c r="AC376" s="4"/>
    </row>
    <row r="377" spans="1:29" ht="14.25" customHeight="1">
      <c r="A377" s="58"/>
      <c r="B377" s="123"/>
      <c r="C377" s="123"/>
      <c r="D377" s="123"/>
      <c r="E377" s="123"/>
      <c r="F377" s="123"/>
      <c r="G377" s="123"/>
      <c r="H377" s="12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4"/>
      <c r="AB377" s="4"/>
      <c r="AC377" s="4"/>
    </row>
    <row r="378" spans="1:29" ht="14.25" customHeight="1">
      <c r="A378" s="58"/>
      <c r="B378" s="123"/>
      <c r="C378" s="123"/>
      <c r="D378" s="123"/>
      <c r="E378" s="123"/>
      <c r="F378" s="123"/>
      <c r="G378" s="123"/>
      <c r="H378" s="12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4"/>
      <c r="AB378" s="4"/>
      <c r="AC378" s="4"/>
    </row>
    <row r="379" spans="1:29" ht="14.25" customHeight="1">
      <c r="A379" s="58"/>
      <c r="B379" s="123"/>
      <c r="C379" s="123"/>
      <c r="D379" s="123"/>
      <c r="E379" s="123"/>
      <c r="F379" s="123"/>
      <c r="G379" s="123"/>
      <c r="H379" s="12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4"/>
      <c r="AB379" s="4"/>
      <c r="AC379" s="4"/>
    </row>
    <row r="380" spans="1:29" ht="14.25" customHeight="1">
      <c r="A380" s="58"/>
      <c r="B380" s="123"/>
      <c r="C380" s="123"/>
      <c r="D380" s="123"/>
      <c r="E380" s="123"/>
      <c r="F380" s="123"/>
      <c r="G380" s="123"/>
      <c r="H380" s="12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4"/>
      <c r="AB380" s="4"/>
      <c r="AC380" s="4"/>
    </row>
    <row r="381" spans="1:29" ht="14.25" customHeight="1">
      <c r="A381" s="58"/>
      <c r="B381" s="123"/>
      <c r="C381" s="123"/>
      <c r="D381" s="123"/>
      <c r="E381" s="123"/>
      <c r="F381" s="123"/>
      <c r="G381" s="123"/>
      <c r="H381" s="12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4"/>
      <c r="AB381" s="4"/>
      <c r="AC381" s="4"/>
    </row>
    <row r="382" spans="1:29" ht="14.25" customHeight="1">
      <c r="A382" s="58"/>
      <c r="B382" s="123"/>
      <c r="C382" s="123"/>
      <c r="D382" s="123"/>
      <c r="E382" s="123"/>
      <c r="F382" s="123"/>
      <c r="G382" s="123"/>
      <c r="H382" s="12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4"/>
      <c r="AB382" s="4"/>
      <c r="AC382" s="4"/>
    </row>
    <row r="383" spans="1:29" ht="14.25" customHeight="1">
      <c r="A383" s="58"/>
      <c r="B383" s="123"/>
      <c r="C383" s="123"/>
      <c r="D383" s="123"/>
      <c r="E383" s="123"/>
      <c r="F383" s="123"/>
      <c r="G383" s="123"/>
      <c r="H383" s="12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4"/>
      <c r="AB383" s="4"/>
      <c r="AC383" s="4"/>
    </row>
    <row r="384" spans="1:29" ht="14.25" customHeight="1">
      <c r="A384" s="58"/>
      <c r="B384" s="123"/>
      <c r="C384" s="123"/>
      <c r="D384" s="123"/>
      <c r="E384" s="123"/>
      <c r="F384" s="123"/>
      <c r="G384" s="123"/>
      <c r="H384" s="12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4"/>
      <c r="AB384" s="4"/>
      <c r="AC384" s="4"/>
    </row>
    <row r="385" spans="1:29" ht="14.25" customHeight="1">
      <c r="A385" s="58"/>
      <c r="B385" s="123"/>
      <c r="C385" s="123"/>
      <c r="D385" s="123"/>
      <c r="E385" s="123"/>
      <c r="F385" s="123"/>
      <c r="G385" s="123"/>
      <c r="H385" s="12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4"/>
      <c r="AB385" s="4"/>
      <c r="AC385" s="4"/>
    </row>
    <row r="386" spans="1:29" ht="14.25" customHeight="1">
      <c r="A386" s="58"/>
      <c r="B386" s="123"/>
      <c r="C386" s="123"/>
      <c r="D386" s="123"/>
      <c r="E386" s="123"/>
      <c r="F386" s="123"/>
      <c r="G386" s="123"/>
      <c r="H386" s="12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4"/>
      <c r="AB386" s="4"/>
      <c r="AC386" s="4"/>
    </row>
    <row r="387" spans="1:29" ht="14.25" customHeight="1">
      <c r="A387" s="58"/>
      <c r="B387" s="123"/>
      <c r="C387" s="123"/>
      <c r="D387" s="123"/>
      <c r="E387" s="123"/>
      <c r="F387" s="123"/>
      <c r="G387" s="123"/>
      <c r="H387" s="12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4"/>
      <c r="AB387" s="4"/>
      <c r="AC387" s="4"/>
    </row>
    <row r="388" spans="1:29" ht="14.25" customHeight="1">
      <c r="A388" s="58"/>
      <c r="B388" s="123"/>
      <c r="C388" s="123"/>
      <c r="D388" s="123"/>
      <c r="E388" s="123"/>
      <c r="F388" s="123"/>
      <c r="G388" s="123"/>
      <c r="H388" s="12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4"/>
      <c r="AB388" s="4"/>
      <c r="AC388" s="4"/>
    </row>
    <row r="389" spans="1:29" ht="14.25" customHeight="1">
      <c r="A389" s="58"/>
      <c r="B389" s="123"/>
      <c r="C389" s="123"/>
      <c r="D389" s="123"/>
      <c r="E389" s="123"/>
      <c r="F389" s="123"/>
      <c r="G389" s="123"/>
      <c r="H389" s="12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4"/>
      <c r="AB389" s="4"/>
      <c r="AC389" s="4"/>
    </row>
    <row r="390" spans="1:29" ht="14.25" customHeight="1">
      <c r="A390" s="58"/>
      <c r="B390" s="123"/>
      <c r="C390" s="123"/>
      <c r="D390" s="123"/>
      <c r="E390" s="123"/>
      <c r="F390" s="123"/>
      <c r="G390" s="123"/>
      <c r="H390" s="12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4"/>
      <c r="AB390" s="4"/>
      <c r="AC390" s="4"/>
    </row>
    <row r="391" spans="1:29" ht="14.25" customHeight="1">
      <c r="A391" s="58"/>
      <c r="B391" s="123"/>
      <c r="C391" s="123"/>
      <c r="D391" s="123"/>
      <c r="E391" s="123"/>
      <c r="F391" s="123"/>
      <c r="G391" s="123"/>
      <c r="H391" s="12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4"/>
      <c r="AB391" s="4"/>
      <c r="AC391" s="4"/>
    </row>
    <row r="392" spans="1:29" ht="14.25" customHeight="1">
      <c r="A392" s="58"/>
      <c r="B392" s="123"/>
      <c r="C392" s="123"/>
      <c r="D392" s="123"/>
      <c r="E392" s="123"/>
      <c r="F392" s="123"/>
      <c r="G392" s="123"/>
      <c r="H392" s="12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4"/>
      <c r="AB392" s="4"/>
      <c r="AC392" s="4"/>
    </row>
    <row r="393" spans="1:29" ht="14.25" customHeight="1">
      <c r="A393" s="58"/>
      <c r="B393" s="123"/>
      <c r="C393" s="123"/>
      <c r="D393" s="123"/>
      <c r="E393" s="123"/>
      <c r="F393" s="123"/>
      <c r="G393" s="123"/>
      <c r="H393" s="12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4"/>
      <c r="AB393" s="4"/>
      <c r="AC393" s="4"/>
    </row>
    <row r="394" spans="1:29" ht="14.25" customHeight="1">
      <c r="A394" s="58"/>
      <c r="B394" s="123"/>
      <c r="C394" s="123"/>
      <c r="D394" s="123"/>
      <c r="E394" s="123"/>
      <c r="F394" s="123"/>
      <c r="G394" s="123"/>
      <c r="H394" s="12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4"/>
      <c r="AB394" s="4"/>
      <c r="AC394" s="4"/>
    </row>
    <row r="395" spans="1:29" ht="14.25" customHeight="1">
      <c r="A395" s="58"/>
      <c r="B395" s="123"/>
      <c r="C395" s="123"/>
      <c r="D395" s="123"/>
      <c r="E395" s="123"/>
      <c r="F395" s="123"/>
      <c r="G395" s="123"/>
      <c r="H395" s="12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4"/>
      <c r="AB395" s="4"/>
      <c r="AC395" s="4"/>
    </row>
    <row r="396" spans="1:29" ht="14.25" customHeight="1">
      <c r="A396" s="58"/>
      <c r="B396" s="123"/>
      <c r="C396" s="123"/>
      <c r="D396" s="123"/>
      <c r="E396" s="123"/>
      <c r="F396" s="123"/>
      <c r="G396" s="123"/>
      <c r="H396" s="12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4"/>
      <c r="AB396" s="4"/>
      <c r="AC396" s="4"/>
    </row>
    <row r="397" spans="1:29" ht="14.25" customHeight="1">
      <c r="A397" s="58"/>
      <c r="B397" s="123"/>
      <c r="C397" s="123"/>
      <c r="D397" s="123"/>
      <c r="E397" s="123"/>
      <c r="F397" s="123"/>
      <c r="G397" s="123"/>
      <c r="H397" s="12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4"/>
      <c r="AB397" s="4"/>
      <c r="AC397" s="4"/>
    </row>
    <row r="398" spans="1:29" ht="14.25" customHeight="1">
      <c r="A398" s="58"/>
      <c r="B398" s="123"/>
      <c r="C398" s="123"/>
      <c r="D398" s="123"/>
      <c r="E398" s="123"/>
      <c r="F398" s="123"/>
      <c r="G398" s="123"/>
      <c r="H398" s="12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4"/>
      <c r="AB398" s="4"/>
      <c r="AC398" s="4"/>
    </row>
    <row r="399" spans="1:29" ht="14.25" customHeight="1">
      <c r="A399" s="58"/>
      <c r="B399" s="123"/>
      <c r="C399" s="123"/>
      <c r="D399" s="123"/>
      <c r="E399" s="123"/>
      <c r="F399" s="123"/>
      <c r="G399" s="123"/>
      <c r="H399" s="12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4"/>
      <c r="AB399" s="4"/>
      <c r="AC399" s="4"/>
    </row>
    <row r="400" spans="1:29" ht="14.25" customHeight="1">
      <c r="A400" s="58"/>
      <c r="B400" s="123"/>
      <c r="C400" s="123"/>
      <c r="D400" s="123"/>
      <c r="E400" s="123"/>
      <c r="F400" s="123"/>
      <c r="G400" s="123"/>
      <c r="H400" s="12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4"/>
      <c r="AB400" s="4"/>
      <c r="AC400" s="4"/>
    </row>
    <row r="401" spans="1:29" ht="14.25" customHeight="1">
      <c r="A401" s="58"/>
      <c r="B401" s="123"/>
      <c r="C401" s="123"/>
      <c r="D401" s="123"/>
      <c r="E401" s="123"/>
      <c r="F401" s="123"/>
      <c r="G401" s="123"/>
      <c r="H401" s="12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4"/>
      <c r="AB401" s="4"/>
      <c r="AC401" s="4"/>
    </row>
    <row r="402" spans="1:29" ht="14.25" customHeight="1">
      <c r="A402" s="58"/>
      <c r="B402" s="123"/>
      <c r="C402" s="123"/>
      <c r="D402" s="123"/>
      <c r="E402" s="123"/>
      <c r="F402" s="123"/>
      <c r="G402" s="123"/>
      <c r="H402" s="12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4"/>
      <c r="AB402" s="4"/>
      <c r="AC402" s="4"/>
    </row>
    <row r="403" spans="1:29" ht="14.25" customHeight="1">
      <c r="A403" s="58"/>
      <c r="B403" s="123"/>
      <c r="C403" s="123"/>
      <c r="D403" s="123"/>
      <c r="E403" s="123"/>
      <c r="F403" s="123"/>
      <c r="G403" s="123"/>
      <c r="H403" s="12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4"/>
      <c r="AB403" s="4"/>
      <c r="AC403" s="4"/>
    </row>
    <row r="404" spans="1:29" ht="14.25" customHeight="1">
      <c r="A404" s="58"/>
      <c r="B404" s="123"/>
      <c r="C404" s="123"/>
      <c r="D404" s="123"/>
      <c r="E404" s="123"/>
      <c r="F404" s="123"/>
      <c r="G404" s="123"/>
      <c r="H404" s="12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4"/>
      <c r="AB404" s="4"/>
      <c r="AC404" s="4"/>
    </row>
    <row r="405" spans="1:29" ht="14.25" customHeight="1">
      <c r="A405" s="58"/>
      <c r="B405" s="123"/>
      <c r="C405" s="123"/>
      <c r="D405" s="123"/>
      <c r="E405" s="123"/>
      <c r="F405" s="123"/>
      <c r="G405" s="123"/>
      <c r="H405" s="12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4"/>
      <c r="AB405" s="4"/>
      <c r="AC405" s="4"/>
    </row>
    <row r="406" spans="1:29" ht="14.25" customHeight="1">
      <c r="A406" s="58"/>
      <c r="B406" s="123"/>
      <c r="C406" s="123"/>
      <c r="D406" s="123"/>
      <c r="E406" s="123"/>
      <c r="F406" s="123"/>
      <c r="G406" s="123"/>
      <c r="H406" s="12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4"/>
      <c r="AB406" s="4"/>
      <c r="AC406" s="4"/>
    </row>
    <row r="407" spans="1:29" ht="14.25" customHeight="1">
      <c r="A407" s="58"/>
      <c r="B407" s="123"/>
      <c r="C407" s="123"/>
      <c r="D407" s="123"/>
      <c r="E407" s="123"/>
      <c r="F407" s="123"/>
      <c r="G407" s="123"/>
      <c r="H407" s="12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4"/>
      <c r="AB407" s="4"/>
      <c r="AC407" s="4"/>
    </row>
    <row r="408" spans="1:29" ht="14.25" customHeight="1">
      <c r="A408" s="58"/>
      <c r="B408" s="123"/>
      <c r="C408" s="123"/>
      <c r="D408" s="123"/>
      <c r="E408" s="123"/>
      <c r="F408" s="123"/>
      <c r="G408" s="123"/>
      <c r="H408" s="12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4"/>
      <c r="AB408" s="4"/>
      <c r="AC408" s="4"/>
    </row>
    <row r="409" spans="1:29" ht="14.25" customHeight="1">
      <c r="A409" s="58"/>
      <c r="B409" s="123"/>
      <c r="C409" s="123"/>
      <c r="D409" s="123"/>
      <c r="E409" s="123"/>
      <c r="F409" s="123"/>
      <c r="G409" s="123"/>
      <c r="H409" s="12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4"/>
      <c r="AB409" s="4"/>
      <c r="AC409" s="4"/>
    </row>
    <row r="410" spans="1:29" ht="14.25" customHeight="1">
      <c r="A410" s="58"/>
      <c r="B410" s="123"/>
      <c r="C410" s="123"/>
      <c r="D410" s="123"/>
      <c r="E410" s="123"/>
      <c r="F410" s="123"/>
      <c r="G410" s="123"/>
      <c r="H410" s="12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4"/>
      <c r="AB410" s="4"/>
      <c r="AC410" s="4"/>
    </row>
    <row r="411" spans="1:29" ht="14.25" customHeight="1">
      <c r="A411" s="58"/>
      <c r="B411" s="123"/>
      <c r="C411" s="123"/>
      <c r="D411" s="123"/>
      <c r="E411" s="123"/>
      <c r="F411" s="123"/>
      <c r="G411" s="123"/>
      <c r="H411" s="12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4"/>
      <c r="AB411" s="4"/>
      <c r="AC411" s="4"/>
    </row>
    <row r="412" spans="1:29" ht="14.25" customHeight="1">
      <c r="A412" s="58"/>
      <c r="B412" s="123"/>
      <c r="C412" s="123"/>
      <c r="D412" s="123"/>
      <c r="E412" s="123"/>
      <c r="F412" s="123"/>
      <c r="G412" s="123"/>
      <c r="H412" s="12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4"/>
      <c r="AB412" s="4"/>
      <c r="AC412" s="4"/>
    </row>
    <row r="413" spans="1:29" ht="14.25" customHeight="1">
      <c r="A413" s="58"/>
      <c r="B413" s="123"/>
      <c r="C413" s="123"/>
      <c r="D413" s="123"/>
      <c r="E413" s="123"/>
      <c r="F413" s="123"/>
      <c r="G413" s="123"/>
      <c r="H413" s="12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4"/>
      <c r="AB413" s="4"/>
      <c r="AC413" s="4"/>
    </row>
    <row r="414" spans="1:29" ht="14.25" customHeight="1">
      <c r="A414" s="58"/>
      <c r="B414" s="123"/>
      <c r="C414" s="123"/>
      <c r="D414" s="123"/>
      <c r="E414" s="123"/>
      <c r="F414" s="123"/>
      <c r="G414" s="123"/>
      <c r="H414" s="12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4"/>
      <c r="AB414" s="4"/>
      <c r="AC414" s="4"/>
    </row>
    <row r="415" spans="1:29" ht="14.25" customHeight="1">
      <c r="A415" s="58"/>
      <c r="B415" s="123"/>
      <c r="C415" s="123"/>
      <c r="D415" s="123"/>
      <c r="E415" s="123"/>
      <c r="F415" s="123"/>
      <c r="G415" s="123"/>
      <c r="H415" s="12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4"/>
      <c r="AB415" s="4"/>
      <c r="AC415" s="4"/>
    </row>
    <row r="416" spans="1:29" ht="14.25" customHeight="1">
      <c r="A416" s="58"/>
      <c r="B416" s="123"/>
      <c r="C416" s="123"/>
      <c r="D416" s="123"/>
      <c r="E416" s="123"/>
      <c r="F416" s="123"/>
      <c r="G416" s="123"/>
      <c r="H416" s="12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4"/>
      <c r="AB416" s="4"/>
      <c r="AC416" s="4"/>
    </row>
    <row r="417" spans="1:29" ht="14.25" customHeight="1">
      <c r="A417" s="58"/>
      <c r="B417" s="123"/>
      <c r="C417" s="123"/>
      <c r="D417" s="123"/>
      <c r="E417" s="123"/>
      <c r="F417" s="123"/>
      <c r="G417" s="123"/>
      <c r="H417" s="12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4"/>
      <c r="AB417" s="4"/>
      <c r="AC417" s="4"/>
    </row>
    <row r="418" spans="1:29" ht="14.25" customHeight="1">
      <c r="A418" s="58"/>
      <c r="B418" s="123"/>
      <c r="C418" s="123"/>
      <c r="D418" s="123"/>
      <c r="E418" s="123"/>
      <c r="F418" s="123"/>
      <c r="G418" s="123"/>
      <c r="H418" s="12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4"/>
      <c r="AB418" s="4"/>
      <c r="AC418" s="4"/>
    </row>
    <row r="419" spans="1:29" ht="14.25" customHeight="1">
      <c r="A419" s="58"/>
      <c r="B419" s="123"/>
      <c r="C419" s="123"/>
      <c r="D419" s="123"/>
      <c r="E419" s="123"/>
      <c r="F419" s="123"/>
      <c r="G419" s="123"/>
      <c r="H419" s="12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4"/>
      <c r="AB419" s="4"/>
      <c r="AC419" s="4"/>
    </row>
    <row r="420" spans="1:29" ht="14.25" customHeight="1">
      <c r="A420" s="58"/>
      <c r="B420" s="123"/>
      <c r="C420" s="123"/>
      <c r="D420" s="123"/>
      <c r="E420" s="123"/>
      <c r="F420" s="123"/>
      <c r="G420" s="123"/>
      <c r="H420" s="12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4"/>
      <c r="AB420" s="4"/>
      <c r="AC420" s="4"/>
    </row>
    <row r="421" spans="1:29" ht="14.25" customHeight="1">
      <c r="A421" s="58"/>
      <c r="B421" s="123"/>
      <c r="C421" s="123"/>
      <c r="D421" s="123"/>
      <c r="E421" s="123"/>
      <c r="F421" s="123"/>
      <c r="G421" s="123"/>
      <c r="H421" s="12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4"/>
      <c r="AB421" s="4"/>
      <c r="AC421" s="4"/>
    </row>
    <row r="422" spans="1:29" ht="14.25" customHeight="1">
      <c r="A422" s="58"/>
      <c r="B422" s="123"/>
      <c r="C422" s="123"/>
      <c r="D422" s="123"/>
      <c r="E422" s="123"/>
      <c r="F422" s="123"/>
      <c r="G422" s="123"/>
      <c r="H422" s="12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4"/>
      <c r="AB422" s="4"/>
      <c r="AC422" s="4"/>
    </row>
    <row r="423" spans="1:29" ht="14.25" customHeight="1">
      <c r="A423" s="58"/>
      <c r="B423" s="123"/>
      <c r="C423" s="123"/>
      <c r="D423" s="123"/>
      <c r="E423" s="123"/>
      <c r="F423" s="123"/>
      <c r="G423" s="123"/>
      <c r="H423" s="12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4"/>
      <c r="AB423" s="4"/>
      <c r="AC423" s="4"/>
    </row>
    <row r="424" spans="1:29" ht="14.25" customHeight="1">
      <c r="A424" s="58"/>
      <c r="B424" s="123"/>
      <c r="C424" s="123"/>
      <c r="D424" s="123"/>
      <c r="E424" s="123"/>
      <c r="F424" s="123"/>
      <c r="G424" s="123"/>
      <c r="H424" s="12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4"/>
      <c r="AB424" s="4"/>
      <c r="AC424" s="4"/>
    </row>
    <row r="425" spans="1:29" ht="14.25" customHeight="1">
      <c r="A425" s="58"/>
      <c r="B425" s="123"/>
      <c r="C425" s="123"/>
      <c r="D425" s="123"/>
      <c r="E425" s="123"/>
      <c r="F425" s="123"/>
      <c r="G425" s="123"/>
      <c r="H425" s="12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4"/>
      <c r="AB425" s="4"/>
      <c r="AC425" s="4"/>
    </row>
    <row r="426" spans="1:29" ht="14.25" customHeight="1">
      <c r="A426" s="58"/>
      <c r="B426" s="123"/>
      <c r="C426" s="123"/>
      <c r="D426" s="123"/>
      <c r="E426" s="123"/>
      <c r="F426" s="123"/>
      <c r="G426" s="123"/>
      <c r="H426" s="12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4"/>
      <c r="AB426" s="4"/>
      <c r="AC426" s="4"/>
    </row>
    <row r="427" spans="1:29" ht="14.25" customHeight="1">
      <c r="A427" s="58"/>
      <c r="B427" s="123"/>
      <c r="C427" s="123"/>
      <c r="D427" s="123"/>
      <c r="E427" s="123"/>
      <c r="F427" s="123"/>
      <c r="G427" s="123"/>
      <c r="H427" s="12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4"/>
      <c r="AB427" s="4"/>
      <c r="AC427" s="4"/>
    </row>
    <row r="428" spans="1:29" ht="14.25" customHeight="1">
      <c r="A428" s="58"/>
      <c r="B428" s="123"/>
      <c r="C428" s="123"/>
      <c r="D428" s="123"/>
      <c r="E428" s="123"/>
      <c r="F428" s="123"/>
      <c r="G428" s="123"/>
      <c r="H428" s="12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4"/>
      <c r="AB428" s="4"/>
      <c r="AC428" s="4"/>
    </row>
    <row r="429" spans="1:29" ht="14.25" customHeight="1">
      <c r="A429" s="58"/>
      <c r="B429" s="123"/>
      <c r="C429" s="123"/>
      <c r="D429" s="123"/>
      <c r="E429" s="123"/>
      <c r="F429" s="123"/>
      <c r="G429" s="123"/>
      <c r="H429" s="12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4"/>
      <c r="AB429" s="4"/>
      <c r="AC429" s="4"/>
    </row>
    <row r="430" spans="1:29" ht="14.25" customHeight="1">
      <c r="A430" s="58"/>
      <c r="B430" s="123"/>
      <c r="C430" s="123"/>
      <c r="D430" s="123"/>
      <c r="E430" s="123"/>
      <c r="F430" s="123"/>
      <c r="G430" s="123"/>
      <c r="H430" s="12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4"/>
      <c r="AB430" s="4"/>
      <c r="AC430" s="4"/>
    </row>
    <row r="431" spans="1:29" ht="14.25" customHeight="1">
      <c r="A431" s="58"/>
      <c r="B431" s="123"/>
      <c r="C431" s="123"/>
      <c r="D431" s="123"/>
      <c r="E431" s="123"/>
      <c r="F431" s="123"/>
      <c r="G431" s="123"/>
      <c r="H431" s="12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4"/>
      <c r="AB431" s="4"/>
      <c r="AC431" s="4"/>
    </row>
    <row r="432" spans="1:29" ht="14.25" customHeight="1">
      <c r="A432" s="58"/>
      <c r="B432" s="123"/>
      <c r="C432" s="123"/>
      <c r="D432" s="123"/>
      <c r="E432" s="123"/>
      <c r="F432" s="123"/>
      <c r="G432" s="123"/>
      <c r="H432" s="12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4"/>
      <c r="AB432" s="4"/>
      <c r="AC432" s="4"/>
    </row>
    <row r="433" spans="1:29" ht="14.25" customHeight="1">
      <c r="A433" s="58"/>
      <c r="B433" s="123"/>
      <c r="C433" s="123"/>
      <c r="D433" s="123"/>
      <c r="E433" s="123"/>
      <c r="F433" s="123"/>
      <c r="G433" s="123"/>
      <c r="H433" s="12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4"/>
      <c r="AB433" s="4"/>
      <c r="AC433" s="4"/>
    </row>
    <row r="434" spans="1:29" ht="14.25" customHeight="1">
      <c r="A434" s="58"/>
      <c r="B434" s="123"/>
      <c r="C434" s="123"/>
      <c r="D434" s="123"/>
      <c r="E434" s="123"/>
      <c r="F434" s="123"/>
      <c r="G434" s="123"/>
      <c r="H434" s="12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4"/>
      <c r="AB434" s="4"/>
      <c r="AC434" s="4"/>
    </row>
    <row r="435" spans="1:29" ht="14.25" customHeight="1">
      <c r="A435" s="58"/>
      <c r="B435" s="123"/>
      <c r="C435" s="123"/>
      <c r="D435" s="123"/>
      <c r="E435" s="123"/>
      <c r="F435" s="123"/>
      <c r="G435" s="123"/>
      <c r="H435" s="12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4"/>
      <c r="AB435" s="4"/>
      <c r="AC435" s="4"/>
    </row>
    <row r="436" spans="1:29" ht="14.25" customHeight="1">
      <c r="A436" s="58"/>
      <c r="B436" s="123"/>
      <c r="C436" s="123"/>
      <c r="D436" s="123"/>
      <c r="E436" s="123"/>
      <c r="F436" s="123"/>
      <c r="G436" s="123"/>
      <c r="H436" s="12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4"/>
      <c r="AB436" s="4"/>
      <c r="AC436" s="4"/>
    </row>
    <row r="437" spans="1:29" ht="14.25" customHeight="1">
      <c r="A437" s="58"/>
      <c r="B437" s="123"/>
      <c r="C437" s="123"/>
      <c r="D437" s="123"/>
      <c r="E437" s="123"/>
      <c r="F437" s="123"/>
      <c r="G437" s="123"/>
      <c r="H437" s="12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4"/>
      <c r="AB437" s="4"/>
      <c r="AC437" s="4"/>
    </row>
    <row r="438" spans="1:29" ht="14.25" customHeight="1">
      <c r="A438" s="58"/>
      <c r="B438" s="123"/>
      <c r="C438" s="123"/>
      <c r="D438" s="123"/>
      <c r="E438" s="123"/>
      <c r="F438" s="123"/>
      <c r="G438" s="123"/>
      <c r="H438" s="12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4"/>
      <c r="AB438" s="4"/>
      <c r="AC438" s="4"/>
    </row>
    <row r="439" spans="1:29" ht="14.25" customHeight="1">
      <c r="A439" s="58"/>
      <c r="B439" s="123"/>
      <c r="C439" s="123"/>
      <c r="D439" s="123"/>
      <c r="E439" s="123"/>
      <c r="F439" s="123"/>
      <c r="G439" s="123"/>
      <c r="H439" s="12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4"/>
      <c r="AB439" s="4"/>
      <c r="AC439" s="4"/>
    </row>
    <row r="440" spans="1:29" ht="14.25" customHeight="1">
      <c r="A440" s="58"/>
      <c r="B440" s="123"/>
      <c r="C440" s="123"/>
      <c r="D440" s="123"/>
      <c r="E440" s="123"/>
      <c r="F440" s="123"/>
      <c r="G440" s="123"/>
      <c r="H440" s="12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4"/>
      <c r="AB440" s="4"/>
      <c r="AC440" s="4"/>
    </row>
    <row r="441" spans="1:29" ht="14.25" customHeight="1">
      <c r="A441" s="58"/>
      <c r="B441" s="123"/>
      <c r="C441" s="123"/>
      <c r="D441" s="123"/>
      <c r="E441" s="123"/>
      <c r="F441" s="123"/>
      <c r="G441" s="123"/>
      <c r="H441" s="12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4"/>
      <c r="AB441" s="4"/>
      <c r="AC441" s="4"/>
    </row>
    <row r="442" spans="1:29" ht="14.25" customHeight="1">
      <c r="A442" s="58"/>
      <c r="B442" s="123"/>
      <c r="C442" s="123"/>
      <c r="D442" s="123"/>
      <c r="E442" s="123"/>
      <c r="F442" s="123"/>
      <c r="G442" s="123"/>
      <c r="H442" s="12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4"/>
      <c r="AB442" s="4"/>
      <c r="AC442" s="4"/>
    </row>
    <row r="443" spans="1:29" ht="14.25" customHeight="1">
      <c r="A443" s="58"/>
      <c r="B443" s="123"/>
      <c r="C443" s="123"/>
      <c r="D443" s="123"/>
      <c r="E443" s="123"/>
      <c r="F443" s="123"/>
      <c r="G443" s="123"/>
      <c r="H443" s="12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4"/>
      <c r="AB443" s="4"/>
      <c r="AC443" s="4"/>
    </row>
    <row r="444" spans="1:29" ht="14.25" customHeight="1">
      <c r="A444" s="58"/>
      <c r="B444" s="123"/>
      <c r="C444" s="123"/>
      <c r="D444" s="123"/>
      <c r="E444" s="123"/>
      <c r="F444" s="123"/>
      <c r="G444" s="123"/>
      <c r="H444" s="12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4"/>
      <c r="AB444" s="4"/>
      <c r="AC444" s="4"/>
    </row>
    <row r="445" spans="1:29" ht="14.25" customHeight="1">
      <c r="A445" s="58"/>
      <c r="B445" s="123"/>
      <c r="C445" s="123"/>
      <c r="D445" s="123"/>
      <c r="E445" s="123"/>
      <c r="F445" s="123"/>
      <c r="G445" s="123"/>
      <c r="H445" s="12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4"/>
      <c r="AB445" s="4"/>
      <c r="AC445" s="4"/>
    </row>
    <row r="446" spans="1:29" ht="14.25" customHeight="1">
      <c r="A446" s="58"/>
      <c r="B446" s="123"/>
      <c r="C446" s="123"/>
      <c r="D446" s="123"/>
      <c r="E446" s="123"/>
      <c r="F446" s="123"/>
      <c r="G446" s="123"/>
      <c r="H446" s="12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4"/>
      <c r="AB446" s="4"/>
      <c r="AC446" s="4"/>
    </row>
    <row r="447" spans="1:29" ht="14.25" customHeight="1">
      <c r="A447" s="58"/>
      <c r="B447" s="123"/>
      <c r="C447" s="123"/>
      <c r="D447" s="123"/>
      <c r="E447" s="123"/>
      <c r="F447" s="123"/>
      <c r="G447" s="123"/>
      <c r="H447" s="12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4"/>
      <c r="AB447" s="4"/>
      <c r="AC447" s="4"/>
    </row>
    <row r="448" spans="1:29" ht="14.25" customHeight="1">
      <c r="A448" s="58"/>
      <c r="B448" s="123"/>
      <c r="C448" s="123"/>
      <c r="D448" s="123"/>
      <c r="E448" s="123"/>
      <c r="F448" s="123"/>
      <c r="G448" s="123"/>
      <c r="H448" s="12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4"/>
      <c r="AB448" s="4"/>
      <c r="AC448" s="4"/>
    </row>
    <row r="449" spans="1:29" ht="14.25" customHeight="1">
      <c r="A449" s="58"/>
      <c r="B449" s="123"/>
      <c r="C449" s="123"/>
      <c r="D449" s="123"/>
      <c r="E449" s="123"/>
      <c r="F449" s="123"/>
      <c r="G449" s="123"/>
      <c r="H449" s="12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4"/>
      <c r="AB449" s="4"/>
      <c r="AC449" s="4"/>
    </row>
    <row r="450" spans="1:29" ht="14.25" customHeight="1">
      <c r="A450" s="58"/>
      <c r="B450" s="123"/>
      <c r="C450" s="123"/>
      <c r="D450" s="123"/>
      <c r="E450" s="123"/>
      <c r="F450" s="123"/>
      <c r="G450" s="123"/>
      <c r="H450" s="12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4"/>
      <c r="AB450" s="4"/>
      <c r="AC450" s="4"/>
    </row>
    <row r="451" spans="1:29" ht="14.25" customHeight="1">
      <c r="A451" s="58"/>
      <c r="B451" s="123"/>
      <c r="C451" s="123"/>
      <c r="D451" s="123"/>
      <c r="E451" s="123"/>
      <c r="F451" s="123"/>
      <c r="G451" s="123"/>
      <c r="H451" s="12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4"/>
      <c r="AB451" s="4"/>
      <c r="AC451" s="4"/>
    </row>
    <row r="452" spans="1:29" ht="14.25" customHeight="1">
      <c r="A452" s="58"/>
      <c r="B452" s="123"/>
      <c r="C452" s="123"/>
      <c r="D452" s="123"/>
      <c r="E452" s="123"/>
      <c r="F452" s="123"/>
      <c r="G452" s="123"/>
      <c r="H452" s="12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4"/>
      <c r="AB452" s="4"/>
      <c r="AC452" s="4"/>
    </row>
    <row r="453" spans="1:29" ht="14.25" customHeight="1">
      <c r="A453" s="58"/>
      <c r="B453" s="123"/>
      <c r="C453" s="123"/>
      <c r="D453" s="123"/>
      <c r="E453" s="123"/>
      <c r="F453" s="123"/>
      <c r="G453" s="123"/>
      <c r="H453" s="12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4"/>
      <c r="AB453" s="4"/>
      <c r="AC453" s="4"/>
    </row>
    <row r="454" spans="1:29" ht="14.25" customHeight="1">
      <c r="A454" s="58"/>
      <c r="B454" s="123"/>
      <c r="C454" s="123"/>
      <c r="D454" s="123"/>
      <c r="E454" s="123"/>
      <c r="F454" s="123"/>
      <c r="G454" s="123"/>
      <c r="H454" s="12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4"/>
      <c r="AB454" s="4"/>
      <c r="AC454" s="4"/>
    </row>
    <row r="455" spans="1:29" ht="14.25" customHeight="1">
      <c r="A455" s="58"/>
      <c r="B455" s="123"/>
      <c r="C455" s="123"/>
      <c r="D455" s="123"/>
      <c r="E455" s="123"/>
      <c r="F455" s="123"/>
      <c r="G455" s="123"/>
      <c r="H455" s="12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4"/>
      <c r="AB455" s="4"/>
      <c r="AC455" s="4"/>
    </row>
    <row r="456" spans="1:29" ht="14.25" customHeight="1">
      <c r="A456" s="58"/>
      <c r="B456" s="123"/>
      <c r="C456" s="123"/>
      <c r="D456" s="123"/>
      <c r="E456" s="123"/>
      <c r="F456" s="123"/>
      <c r="G456" s="123"/>
      <c r="H456" s="12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4"/>
      <c r="AB456" s="4"/>
      <c r="AC456" s="4"/>
    </row>
    <row r="457" spans="1:29" ht="14.25" customHeight="1">
      <c r="A457" s="58"/>
      <c r="B457" s="123"/>
      <c r="C457" s="123"/>
      <c r="D457" s="123"/>
      <c r="E457" s="123"/>
      <c r="F457" s="123"/>
      <c r="G457" s="123"/>
      <c r="H457" s="12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4"/>
      <c r="AB457" s="4"/>
      <c r="AC457" s="4"/>
    </row>
    <row r="458" spans="1:29" ht="14.25" customHeight="1">
      <c r="A458" s="58"/>
      <c r="B458" s="123"/>
      <c r="C458" s="123"/>
      <c r="D458" s="123"/>
      <c r="E458" s="123"/>
      <c r="F458" s="123"/>
      <c r="G458" s="123"/>
      <c r="H458" s="12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4"/>
      <c r="AB458" s="4"/>
      <c r="AC458" s="4"/>
    </row>
    <row r="459" spans="1:29" ht="14.25" customHeight="1">
      <c r="A459" s="58"/>
      <c r="B459" s="123"/>
      <c r="C459" s="123"/>
      <c r="D459" s="123"/>
      <c r="E459" s="123"/>
      <c r="F459" s="123"/>
      <c r="G459" s="123"/>
      <c r="H459" s="12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4"/>
      <c r="AB459" s="4"/>
      <c r="AC459" s="4"/>
    </row>
    <row r="460" spans="1:29" ht="14.25" customHeight="1">
      <c r="A460" s="58"/>
      <c r="B460" s="123"/>
      <c r="C460" s="123"/>
      <c r="D460" s="123"/>
      <c r="E460" s="123"/>
      <c r="F460" s="123"/>
      <c r="G460" s="123"/>
      <c r="H460" s="12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4"/>
      <c r="AB460" s="4"/>
      <c r="AC460" s="4"/>
    </row>
    <row r="461" spans="1:29" ht="14.25" customHeight="1">
      <c r="A461" s="58"/>
      <c r="B461" s="123"/>
      <c r="C461" s="123"/>
      <c r="D461" s="123"/>
      <c r="E461" s="123"/>
      <c r="F461" s="123"/>
      <c r="G461" s="123"/>
      <c r="H461" s="12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4"/>
      <c r="AB461" s="4"/>
      <c r="AC461" s="4"/>
    </row>
    <row r="462" spans="1:29" ht="14.25" customHeight="1">
      <c r="A462" s="58"/>
      <c r="B462" s="123"/>
      <c r="C462" s="123"/>
      <c r="D462" s="123"/>
      <c r="E462" s="123"/>
      <c r="F462" s="123"/>
      <c r="G462" s="123"/>
      <c r="H462" s="12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4"/>
      <c r="AB462" s="4"/>
      <c r="AC462" s="4"/>
    </row>
    <row r="463" spans="1:29" ht="14.25" customHeight="1">
      <c r="A463" s="58"/>
      <c r="B463" s="123"/>
      <c r="C463" s="123"/>
      <c r="D463" s="123"/>
      <c r="E463" s="123"/>
      <c r="F463" s="123"/>
      <c r="G463" s="123"/>
      <c r="H463" s="12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4"/>
      <c r="AB463" s="4"/>
      <c r="AC463" s="4"/>
    </row>
    <row r="464" spans="1:29" ht="14.25" customHeight="1">
      <c r="A464" s="58"/>
      <c r="B464" s="123"/>
      <c r="C464" s="123"/>
      <c r="D464" s="123"/>
      <c r="E464" s="123"/>
      <c r="F464" s="123"/>
      <c r="G464" s="123"/>
      <c r="H464" s="12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4"/>
      <c r="AB464" s="4"/>
      <c r="AC464" s="4"/>
    </row>
    <row r="465" spans="1:29" ht="14.25" customHeight="1">
      <c r="A465" s="58"/>
      <c r="B465" s="123"/>
      <c r="C465" s="123"/>
      <c r="D465" s="123"/>
      <c r="E465" s="123"/>
      <c r="F465" s="123"/>
      <c r="G465" s="123"/>
      <c r="H465" s="12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4"/>
      <c r="AB465" s="4"/>
      <c r="AC465" s="4"/>
    </row>
    <row r="466" spans="1:29" ht="14.25" customHeight="1">
      <c r="A466" s="58"/>
      <c r="B466" s="123"/>
      <c r="C466" s="123"/>
      <c r="D466" s="123"/>
      <c r="E466" s="123"/>
      <c r="F466" s="123"/>
      <c r="G466" s="123"/>
      <c r="H466" s="12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4"/>
      <c r="AB466" s="4"/>
      <c r="AC466" s="4"/>
    </row>
    <row r="467" spans="1:29" ht="14.25" customHeight="1">
      <c r="A467" s="58"/>
      <c r="B467" s="123"/>
      <c r="C467" s="123"/>
      <c r="D467" s="123"/>
      <c r="E467" s="123"/>
      <c r="F467" s="123"/>
      <c r="G467" s="123"/>
      <c r="H467" s="12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4"/>
      <c r="AB467" s="4"/>
      <c r="AC467" s="4"/>
    </row>
    <row r="468" spans="1:29" ht="14.25" customHeight="1">
      <c r="A468" s="58"/>
      <c r="B468" s="123"/>
      <c r="C468" s="123"/>
      <c r="D468" s="123"/>
      <c r="E468" s="123"/>
      <c r="F468" s="123"/>
      <c r="G468" s="123"/>
      <c r="H468" s="12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4"/>
      <c r="AB468" s="4"/>
      <c r="AC468" s="4"/>
    </row>
    <row r="469" spans="1:29" ht="14.25" customHeight="1">
      <c r="A469" s="58"/>
      <c r="B469" s="123"/>
      <c r="C469" s="123"/>
      <c r="D469" s="123"/>
      <c r="E469" s="123"/>
      <c r="F469" s="123"/>
      <c r="G469" s="123"/>
      <c r="H469" s="12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4"/>
      <c r="AB469" s="4"/>
      <c r="AC469" s="4"/>
    </row>
    <row r="470" spans="1:29" ht="14.25" customHeight="1">
      <c r="A470" s="58"/>
      <c r="B470" s="123"/>
      <c r="C470" s="123"/>
      <c r="D470" s="123"/>
      <c r="E470" s="123"/>
      <c r="F470" s="123"/>
      <c r="G470" s="123"/>
      <c r="H470" s="12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4"/>
      <c r="AB470" s="4"/>
      <c r="AC470" s="4"/>
    </row>
    <row r="471" spans="1:29" ht="14.25" customHeight="1">
      <c r="A471" s="58"/>
      <c r="B471" s="123"/>
      <c r="C471" s="123"/>
      <c r="D471" s="123"/>
      <c r="E471" s="123"/>
      <c r="F471" s="123"/>
      <c r="G471" s="123"/>
      <c r="H471" s="12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4"/>
      <c r="AB471" s="4"/>
      <c r="AC471" s="4"/>
    </row>
    <row r="472" spans="1:29" ht="14.25" customHeight="1">
      <c r="A472" s="58"/>
      <c r="B472" s="123"/>
      <c r="C472" s="123"/>
      <c r="D472" s="123"/>
      <c r="E472" s="123"/>
      <c r="F472" s="123"/>
      <c r="G472" s="123"/>
      <c r="H472" s="12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4"/>
      <c r="AB472" s="4"/>
      <c r="AC472" s="4"/>
    </row>
    <row r="473" spans="1:29" ht="14.25" customHeight="1">
      <c r="A473" s="58"/>
      <c r="B473" s="123"/>
      <c r="C473" s="123"/>
      <c r="D473" s="123"/>
      <c r="E473" s="123"/>
      <c r="F473" s="123"/>
      <c r="G473" s="123"/>
      <c r="H473" s="12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4"/>
      <c r="AB473" s="4"/>
      <c r="AC473" s="4"/>
    </row>
    <row r="474" spans="1:29" ht="14.25" customHeight="1">
      <c r="A474" s="58"/>
      <c r="B474" s="123"/>
      <c r="C474" s="123"/>
      <c r="D474" s="123"/>
      <c r="E474" s="123"/>
      <c r="F474" s="123"/>
      <c r="G474" s="123"/>
      <c r="H474" s="12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4"/>
      <c r="AB474" s="4"/>
      <c r="AC474" s="4"/>
    </row>
    <row r="475" spans="1:29" ht="14.25" customHeight="1">
      <c r="A475" s="58"/>
      <c r="B475" s="123"/>
      <c r="C475" s="123"/>
      <c r="D475" s="123"/>
      <c r="E475" s="123"/>
      <c r="F475" s="123"/>
      <c r="G475" s="123"/>
      <c r="H475" s="12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4"/>
      <c r="AB475" s="4"/>
      <c r="AC475" s="4"/>
    </row>
    <row r="476" spans="1:29" ht="14.25" customHeight="1">
      <c r="A476" s="58"/>
      <c r="B476" s="123"/>
      <c r="C476" s="123"/>
      <c r="D476" s="123"/>
      <c r="E476" s="123"/>
      <c r="F476" s="123"/>
      <c r="G476" s="123"/>
      <c r="H476" s="12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4"/>
      <c r="AB476" s="4"/>
      <c r="AC476" s="4"/>
    </row>
    <row r="477" spans="1:29" ht="14.25" customHeight="1">
      <c r="A477" s="58"/>
      <c r="B477" s="123"/>
      <c r="C477" s="123"/>
      <c r="D477" s="123"/>
      <c r="E477" s="123"/>
      <c r="F477" s="123"/>
      <c r="G477" s="123"/>
      <c r="H477" s="12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4"/>
      <c r="AB477" s="4"/>
      <c r="AC477" s="4"/>
    </row>
    <row r="478" spans="1:29" ht="14.25" customHeight="1">
      <c r="A478" s="58"/>
      <c r="B478" s="123"/>
      <c r="C478" s="123"/>
      <c r="D478" s="123"/>
      <c r="E478" s="123"/>
      <c r="F478" s="123"/>
      <c r="G478" s="123"/>
      <c r="H478" s="12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4"/>
      <c r="AB478" s="4"/>
      <c r="AC478" s="4"/>
    </row>
    <row r="479" spans="1:29" ht="14.25" customHeight="1">
      <c r="A479" s="58"/>
      <c r="B479" s="123"/>
      <c r="C479" s="123"/>
      <c r="D479" s="123"/>
      <c r="E479" s="123"/>
      <c r="F479" s="123"/>
      <c r="G479" s="123"/>
      <c r="H479" s="12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4"/>
      <c r="AB479" s="4"/>
      <c r="AC479" s="4"/>
    </row>
    <row r="480" spans="1:29" ht="14.25" customHeight="1">
      <c r="A480" s="58"/>
      <c r="B480" s="123"/>
      <c r="C480" s="123"/>
      <c r="D480" s="123"/>
      <c r="E480" s="123"/>
      <c r="F480" s="123"/>
      <c r="G480" s="123"/>
      <c r="H480" s="12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4"/>
      <c r="AB480" s="4"/>
      <c r="AC480" s="4"/>
    </row>
    <row r="481" spans="1:29" ht="14.25" customHeight="1">
      <c r="A481" s="58"/>
      <c r="B481" s="123"/>
      <c r="C481" s="123"/>
      <c r="D481" s="123"/>
      <c r="E481" s="123"/>
      <c r="F481" s="123"/>
      <c r="G481" s="123"/>
      <c r="H481" s="12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4"/>
      <c r="AB481" s="4"/>
      <c r="AC481" s="4"/>
    </row>
    <row r="482" spans="1:29" ht="14.25" customHeight="1">
      <c r="A482" s="58"/>
      <c r="B482" s="123"/>
      <c r="C482" s="123"/>
      <c r="D482" s="123"/>
      <c r="E482" s="123"/>
      <c r="F482" s="123"/>
      <c r="G482" s="123"/>
      <c r="H482" s="12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4"/>
      <c r="AB482" s="4"/>
      <c r="AC482" s="4"/>
    </row>
    <row r="483" spans="1:29" ht="14.25" customHeight="1">
      <c r="A483" s="58"/>
      <c r="B483" s="123"/>
      <c r="C483" s="123"/>
      <c r="D483" s="123"/>
      <c r="E483" s="123"/>
      <c r="F483" s="123"/>
      <c r="G483" s="123"/>
      <c r="H483" s="12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4"/>
      <c r="AB483" s="4"/>
      <c r="AC483" s="4"/>
    </row>
    <row r="484" spans="1:29" ht="14.25" customHeight="1">
      <c r="A484" s="58"/>
      <c r="B484" s="123"/>
      <c r="C484" s="123"/>
      <c r="D484" s="123"/>
      <c r="E484" s="123"/>
      <c r="F484" s="123"/>
      <c r="G484" s="123"/>
      <c r="H484" s="12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4"/>
      <c r="AB484" s="4"/>
      <c r="AC484" s="4"/>
    </row>
    <row r="485" spans="1:29" ht="14.25" customHeight="1">
      <c r="A485" s="58"/>
      <c r="B485" s="123"/>
      <c r="C485" s="123"/>
      <c r="D485" s="123"/>
      <c r="E485" s="123"/>
      <c r="F485" s="123"/>
      <c r="G485" s="123"/>
      <c r="H485" s="12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4"/>
      <c r="AB485" s="4"/>
      <c r="AC485" s="4"/>
    </row>
    <row r="486" spans="1:29" ht="14.25" customHeight="1">
      <c r="A486" s="58"/>
      <c r="B486" s="123"/>
      <c r="C486" s="123"/>
      <c r="D486" s="123"/>
      <c r="E486" s="123"/>
      <c r="F486" s="123"/>
      <c r="G486" s="123"/>
      <c r="H486" s="12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4"/>
      <c r="AB486" s="4"/>
      <c r="AC486" s="4"/>
    </row>
    <row r="487" spans="1:29" ht="14.25" customHeight="1">
      <c r="A487" s="58"/>
      <c r="B487" s="123"/>
      <c r="C487" s="123"/>
      <c r="D487" s="123"/>
      <c r="E487" s="123"/>
      <c r="F487" s="123"/>
      <c r="G487" s="123"/>
      <c r="H487" s="12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4"/>
      <c r="AB487" s="4"/>
      <c r="AC487" s="4"/>
    </row>
    <row r="488" spans="1:29" ht="14.25" customHeight="1">
      <c r="A488" s="58"/>
      <c r="B488" s="123"/>
      <c r="C488" s="123"/>
      <c r="D488" s="123"/>
      <c r="E488" s="123"/>
      <c r="F488" s="123"/>
      <c r="G488" s="123"/>
      <c r="H488" s="12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4"/>
      <c r="AB488" s="4"/>
      <c r="AC488" s="4"/>
    </row>
    <row r="489" spans="1:29" ht="14.25" customHeight="1">
      <c r="A489" s="58"/>
      <c r="B489" s="123"/>
      <c r="C489" s="123"/>
      <c r="D489" s="123"/>
      <c r="E489" s="123"/>
      <c r="F489" s="123"/>
      <c r="G489" s="123"/>
      <c r="H489" s="12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4"/>
      <c r="AB489" s="4"/>
      <c r="AC489" s="4"/>
    </row>
    <row r="490" spans="1:29" ht="14.25" customHeight="1">
      <c r="A490" s="58"/>
      <c r="B490" s="123"/>
      <c r="C490" s="123"/>
      <c r="D490" s="123"/>
      <c r="E490" s="123"/>
      <c r="F490" s="123"/>
      <c r="G490" s="123"/>
      <c r="H490" s="12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4"/>
      <c r="AB490" s="4"/>
      <c r="AC490" s="4"/>
    </row>
    <row r="491" spans="1:29" ht="14.25" customHeight="1">
      <c r="A491" s="58"/>
      <c r="B491" s="123"/>
      <c r="C491" s="123"/>
      <c r="D491" s="123"/>
      <c r="E491" s="123"/>
      <c r="F491" s="123"/>
      <c r="G491" s="123"/>
      <c r="H491" s="12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4"/>
      <c r="AB491" s="4"/>
      <c r="AC491" s="4"/>
    </row>
    <row r="492" spans="1:29" ht="14.25" customHeight="1">
      <c r="A492" s="58"/>
      <c r="B492" s="123"/>
      <c r="C492" s="123"/>
      <c r="D492" s="123"/>
      <c r="E492" s="123"/>
      <c r="F492" s="123"/>
      <c r="G492" s="123"/>
      <c r="H492" s="12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4"/>
      <c r="AB492" s="4"/>
      <c r="AC492" s="4"/>
    </row>
    <row r="493" spans="1:29" ht="14.25" customHeight="1">
      <c r="A493" s="58"/>
      <c r="B493" s="123"/>
      <c r="C493" s="123"/>
      <c r="D493" s="123"/>
      <c r="E493" s="123"/>
      <c r="F493" s="123"/>
      <c r="G493" s="123"/>
      <c r="H493" s="12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4"/>
      <c r="AB493" s="4"/>
      <c r="AC493" s="4"/>
    </row>
    <row r="494" spans="1:29" ht="14.25" customHeight="1">
      <c r="A494" s="58"/>
      <c r="B494" s="123"/>
      <c r="C494" s="123"/>
      <c r="D494" s="123"/>
      <c r="E494" s="123"/>
      <c r="F494" s="123"/>
      <c r="G494" s="123"/>
      <c r="H494" s="12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4"/>
      <c r="AB494" s="4"/>
      <c r="AC494" s="4"/>
    </row>
    <row r="495" spans="1:29" ht="14.25" customHeight="1">
      <c r="A495" s="58"/>
      <c r="B495" s="123"/>
      <c r="C495" s="123"/>
      <c r="D495" s="123"/>
      <c r="E495" s="123"/>
      <c r="F495" s="123"/>
      <c r="G495" s="123"/>
      <c r="H495" s="12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4"/>
      <c r="AB495" s="4"/>
      <c r="AC495" s="4"/>
    </row>
    <row r="496" spans="1:29" ht="14.25" customHeight="1">
      <c r="A496" s="58"/>
      <c r="B496" s="123"/>
      <c r="C496" s="123"/>
      <c r="D496" s="123"/>
      <c r="E496" s="123"/>
      <c r="F496" s="123"/>
      <c r="G496" s="123"/>
      <c r="H496" s="12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4"/>
      <c r="AB496" s="4"/>
      <c r="AC496" s="4"/>
    </row>
    <row r="497" spans="1:29" ht="14.25" customHeight="1">
      <c r="A497" s="58"/>
      <c r="B497" s="123"/>
      <c r="C497" s="123"/>
      <c r="D497" s="123"/>
      <c r="E497" s="123"/>
      <c r="F497" s="123"/>
      <c r="G497" s="123"/>
      <c r="H497" s="12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4"/>
      <c r="AB497" s="4"/>
      <c r="AC497" s="4"/>
    </row>
    <row r="498" spans="1:29" ht="14.25" customHeight="1">
      <c r="A498" s="58"/>
      <c r="B498" s="123"/>
      <c r="C498" s="123"/>
      <c r="D498" s="123"/>
      <c r="E498" s="123"/>
      <c r="F498" s="123"/>
      <c r="G498" s="123"/>
      <c r="H498" s="12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4"/>
      <c r="AB498" s="4"/>
      <c r="AC498" s="4"/>
    </row>
    <row r="499" spans="1:29" ht="14.25" customHeight="1">
      <c r="A499" s="58"/>
      <c r="B499" s="123"/>
      <c r="C499" s="123"/>
      <c r="D499" s="123"/>
      <c r="E499" s="123"/>
      <c r="F499" s="123"/>
      <c r="G499" s="123"/>
      <c r="H499" s="12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4"/>
      <c r="AB499" s="4"/>
      <c r="AC499" s="4"/>
    </row>
    <row r="500" spans="1:29" ht="14.25" customHeight="1">
      <c r="A500" s="58"/>
      <c r="B500" s="123"/>
      <c r="C500" s="123"/>
      <c r="D500" s="123"/>
      <c r="E500" s="123"/>
      <c r="F500" s="123"/>
      <c r="G500" s="123"/>
      <c r="H500" s="12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4"/>
      <c r="AB500" s="4"/>
      <c r="AC500" s="4"/>
    </row>
    <row r="501" spans="1:29" ht="14.25" customHeight="1">
      <c r="A501" s="58"/>
      <c r="B501" s="123"/>
      <c r="C501" s="123"/>
      <c r="D501" s="123"/>
      <c r="E501" s="123"/>
      <c r="F501" s="123"/>
      <c r="G501" s="123"/>
      <c r="H501" s="12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4"/>
      <c r="AB501" s="4"/>
      <c r="AC501" s="4"/>
    </row>
    <row r="502" spans="1:29" ht="14.25" customHeight="1">
      <c r="A502" s="58"/>
      <c r="B502" s="123"/>
      <c r="C502" s="123"/>
      <c r="D502" s="123"/>
      <c r="E502" s="123"/>
      <c r="F502" s="123"/>
      <c r="G502" s="123"/>
      <c r="H502" s="12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4"/>
      <c r="AB502" s="4"/>
      <c r="AC502" s="4"/>
    </row>
    <row r="503" spans="1:29" ht="14.25" customHeight="1">
      <c r="A503" s="58"/>
      <c r="B503" s="123"/>
      <c r="C503" s="123"/>
      <c r="D503" s="123"/>
      <c r="E503" s="123"/>
      <c r="F503" s="123"/>
      <c r="G503" s="123"/>
      <c r="H503" s="12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4"/>
      <c r="AB503" s="4"/>
      <c r="AC503" s="4"/>
    </row>
    <row r="504" spans="1:29" ht="14.25" customHeight="1">
      <c r="A504" s="58"/>
      <c r="B504" s="123"/>
      <c r="C504" s="123"/>
      <c r="D504" s="123"/>
      <c r="E504" s="123"/>
      <c r="F504" s="123"/>
      <c r="G504" s="123"/>
      <c r="H504" s="12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4"/>
      <c r="AB504" s="4"/>
      <c r="AC504" s="4"/>
    </row>
    <row r="505" spans="1:29" ht="14.25" customHeight="1">
      <c r="A505" s="58"/>
      <c r="B505" s="123"/>
      <c r="C505" s="123"/>
      <c r="D505" s="123"/>
      <c r="E505" s="123"/>
      <c r="F505" s="123"/>
      <c r="G505" s="123"/>
      <c r="H505" s="12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4"/>
      <c r="AB505" s="4"/>
      <c r="AC505" s="4"/>
    </row>
    <row r="506" spans="1:29" ht="14.25" customHeight="1">
      <c r="A506" s="58"/>
      <c r="B506" s="123"/>
      <c r="C506" s="123"/>
      <c r="D506" s="123"/>
      <c r="E506" s="123"/>
      <c r="F506" s="123"/>
      <c r="G506" s="123"/>
      <c r="H506" s="12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4"/>
      <c r="AB506" s="4"/>
      <c r="AC506" s="4"/>
    </row>
    <row r="507" spans="1:29" ht="14.25" customHeight="1">
      <c r="A507" s="58"/>
      <c r="B507" s="123"/>
      <c r="C507" s="123"/>
      <c r="D507" s="123"/>
      <c r="E507" s="123"/>
      <c r="F507" s="123"/>
      <c r="G507" s="123"/>
      <c r="H507" s="12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4"/>
      <c r="AB507" s="4"/>
      <c r="AC507" s="4"/>
    </row>
    <row r="508" spans="1:29" ht="14.25" customHeight="1">
      <c r="A508" s="58"/>
      <c r="B508" s="123"/>
      <c r="C508" s="123"/>
      <c r="D508" s="123"/>
      <c r="E508" s="123"/>
      <c r="F508" s="123"/>
      <c r="G508" s="123"/>
      <c r="H508" s="12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4"/>
      <c r="AB508" s="4"/>
      <c r="AC508" s="4"/>
    </row>
    <row r="509" spans="1:29" ht="14.25" customHeight="1">
      <c r="A509" s="58"/>
      <c r="B509" s="123"/>
      <c r="C509" s="123"/>
      <c r="D509" s="123"/>
      <c r="E509" s="123"/>
      <c r="F509" s="123"/>
      <c r="G509" s="123"/>
      <c r="H509" s="12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4"/>
      <c r="AB509" s="4"/>
      <c r="AC509" s="4"/>
    </row>
    <row r="510" spans="1:29" ht="14.25" customHeight="1">
      <c r="A510" s="58"/>
      <c r="B510" s="123"/>
      <c r="C510" s="123"/>
      <c r="D510" s="123"/>
      <c r="E510" s="123"/>
      <c r="F510" s="123"/>
      <c r="G510" s="123"/>
      <c r="H510" s="12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4"/>
      <c r="AB510" s="4"/>
      <c r="AC510" s="4"/>
    </row>
    <row r="511" spans="1:29" ht="14.25" customHeight="1">
      <c r="A511" s="58"/>
      <c r="B511" s="123"/>
      <c r="C511" s="123"/>
      <c r="D511" s="123"/>
      <c r="E511" s="123"/>
      <c r="F511" s="123"/>
      <c r="G511" s="123"/>
      <c r="H511" s="12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4"/>
      <c r="AB511" s="4"/>
      <c r="AC511" s="4"/>
    </row>
    <row r="512" spans="1:29" ht="14.25" customHeight="1">
      <c r="A512" s="58"/>
      <c r="B512" s="123"/>
      <c r="C512" s="123"/>
      <c r="D512" s="123"/>
      <c r="E512" s="123"/>
      <c r="F512" s="123"/>
      <c r="G512" s="123"/>
      <c r="H512" s="12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4"/>
      <c r="AB512" s="4"/>
      <c r="AC512" s="4"/>
    </row>
    <row r="513" spans="1:29" ht="14.25" customHeight="1">
      <c r="A513" s="58"/>
      <c r="B513" s="123"/>
      <c r="C513" s="123"/>
      <c r="D513" s="123"/>
      <c r="E513" s="123"/>
      <c r="F513" s="123"/>
      <c r="G513" s="123"/>
      <c r="H513" s="12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4"/>
      <c r="AB513" s="4"/>
      <c r="AC513" s="4"/>
    </row>
    <row r="514" spans="1:29" ht="14.25" customHeight="1">
      <c r="A514" s="58"/>
      <c r="B514" s="123"/>
      <c r="C514" s="123"/>
      <c r="D514" s="123"/>
      <c r="E514" s="123"/>
      <c r="F514" s="123"/>
      <c r="G514" s="123"/>
      <c r="H514" s="12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4"/>
      <c r="AB514" s="4"/>
      <c r="AC514" s="4"/>
    </row>
    <row r="515" spans="1:29" ht="14.25" customHeight="1">
      <c r="A515" s="58"/>
      <c r="B515" s="123"/>
      <c r="C515" s="123"/>
      <c r="D515" s="123"/>
      <c r="E515" s="123"/>
      <c r="F515" s="123"/>
      <c r="G515" s="123"/>
      <c r="H515" s="12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4"/>
      <c r="AB515" s="4"/>
      <c r="AC515" s="4"/>
    </row>
    <row r="516" spans="1:29" ht="14.25" customHeight="1">
      <c r="A516" s="58"/>
      <c r="B516" s="123"/>
      <c r="C516" s="123"/>
      <c r="D516" s="123"/>
      <c r="E516" s="123"/>
      <c r="F516" s="123"/>
      <c r="G516" s="123"/>
      <c r="H516" s="12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4"/>
      <c r="AB516" s="4"/>
      <c r="AC516" s="4"/>
    </row>
    <row r="517" spans="1:29" ht="14.25" customHeight="1">
      <c r="A517" s="58"/>
      <c r="B517" s="123"/>
      <c r="C517" s="123"/>
      <c r="D517" s="123"/>
      <c r="E517" s="123"/>
      <c r="F517" s="123"/>
      <c r="G517" s="123"/>
      <c r="H517" s="12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"/>
      <c r="AB517" s="4"/>
      <c r="AC517" s="4"/>
    </row>
    <row r="518" spans="1:29" ht="14.25" customHeight="1">
      <c r="A518" s="58"/>
      <c r="B518" s="123"/>
      <c r="C518" s="123"/>
      <c r="D518" s="123"/>
      <c r="E518" s="123"/>
      <c r="F518" s="123"/>
      <c r="G518" s="123"/>
      <c r="H518" s="12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4"/>
      <c r="AB518" s="4"/>
      <c r="AC518" s="4"/>
    </row>
    <row r="519" spans="1:29" ht="14.25" customHeight="1">
      <c r="A519" s="58"/>
      <c r="B519" s="123"/>
      <c r="C519" s="123"/>
      <c r="D519" s="123"/>
      <c r="E519" s="123"/>
      <c r="F519" s="123"/>
      <c r="G519" s="123"/>
      <c r="H519" s="12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4"/>
      <c r="AB519" s="4"/>
      <c r="AC519" s="4"/>
    </row>
    <row r="520" spans="1:29" ht="14.25" customHeight="1">
      <c r="A520" s="58"/>
      <c r="B520" s="123"/>
      <c r="C520" s="123"/>
      <c r="D520" s="123"/>
      <c r="E520" s="123"/>
      <c r="F520" s="123"/>
      <c r="G520" s="123"/>
      <c r="H520" s="12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4"/>
      <c r="AB520" s="4"/>
      <c r="AC520" s="4"/>
    </row>
    <row r="521" spans="1:29" ht="14.25" customHeight="1">
      <c r="A521" s="58"/>
      <c r="B521" s="123"/>
      <c r="C521" s="123"/>
      <c r="D521" s="123"/>
      <c r="E521" s="123"/>
      <c r="F521" s="123"/>
      <c r="G521" s="123"/>
      <c r="H521" s="12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4"/>
      <c r="AB521" s="4"/>
      <c r="AC521" s="4"/>
    </row>
    <row r="522" spans="1:29" ht="14.25" customHeight="1">
      <c r="A522" s="58"/>
      <c r="B522" s="123"/>
      <c r="C522" s="123"/>
      <c r="D522" s="123"/>
      <c r="E522" s="123"/>
      <c r="F522" s="123"/>
      <c r="G522" s="123"/>
      <c r="H522" s="12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4"/>
      <c r="AB522" s="4"/>
      <c r="AC522" s="4"/>
    </row>
    <row r="523" spans="1:29" ht="14.25" customHeight="1">
      <c r="A523" s="58"/>
      <c r="B523" s="123"/>
      <c r="C523" s="123"/>
      <c r="D523" s="123"/>
      <c r="E523" s="123"/>
      <c r="F523" s="123"/>
      <c r="G523" s="123"/>
      <c r="H523" s="12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4"/>
      <c r="AB523" s="4"/>
      <c r="AC523" s="4"/>
    </row>
    <row r="524" spans="1:29" ht="14.25" customHeight="1">
      <c r="A524" s="58"/>
      <c r="B524" s="123"/>
      <c r="C524" s="123"/>
      <c r="D524" s="123"/>
      <c r="E524" s="123"/>
      <c r="F524" s="123"/>
      <c r="G524" s="123"/>
      <c r="H524" s="12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4"/>
      <c r="AB524" s="4"/>
      <c r="AC524" s="4"/>
    </row>
    <row r="525" spans="1:29" ht="14.25" customHeight="1">
      <c r="A525" s="58"/>
      <c r="B525" s="123"/>
      <c r="C525" s="123"/>
      <c r="D525" s="123"/>
      <c r="E525" s="123"/>
      <c r="F525" s="123"/>
      <c r="G525" s="123"/>
      <c r="H525" s="12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4"/>
      <c r="AB525" s="4"/>
      <c r="AC525" s="4"/>
    </row>
    <row r="526" spans="1:29" ht="14.25" customHeight="1">
      <c r="A526" s="58"/>
      <c r="B526" s="123"/>
      <c r="C526" s="123"/>
      <c r="D526" s="123"/>
      <c r="E526" s="123"/>
      <c r="F526" s="123"/>
      <c r="G526" s="123"/>
      <c r="H526" s="12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4"/>
      <c r="AB526" s="4"/>
      <c r="AC526" s="4"/>
    </row>
    <row r="527" spans="1:29" ht="14.25" customHeight="1">
      <c r="A527" s="58"/>
      <c r="B527" s="123"/>
      <c r="C527" s="123"/>
      <c r="D527" s="123"/>
      <c r="E527" s="123"/>
      <c r="F527" s="123"/>
      <c r="G527" s="123"/>
      <c r="H527" s="12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4"/>
      <c r="AB527" s="4"/>
      <c r="AC527" s="4"/>
    </row>
    <row r="528" spans="1:29" ht="14.25" customHeight="1">
      <c r="A528" s="58"/>
      <c r="B528" s="123"/>
      <c r="C528" s="123"/>
      <c r="D528" s="123"/>
      <c r="E528" s="123"/>
      <c r="F528" s="123"/>
      <c r="G528" s="123"/>
      <c r="H528" s="12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4"/>
      <c r="AB528" s="4"/>
      <c r="AC528" s="4"/>
    </row>
    <row r="529" spans="1:29" ht="14.25" customHeight="1">
      <c r="A529" s="58"/>
      <c r="B529" s="123"/>
      <c r="C529" s="123"/>
      <c r="D529" s="123"/>
      <c r="E529" s="123"/>
      <c r="F529" s="123"/>
      <c r="G529" s="123"/>
      <c r="H529" s="12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4"/>
      <c r="AB529" s="4"/>
      <c r="AC529" s="4"/>
    </row>
    <row r="530" spans="1:29" ht="14.25" customHeight="1">
      <c r="A530" s="58"/>
      <c r="B530" s="123"/>
      <c r="C530" s="123"/>
      <c r="D530" s="123"/>
      <c r="E530" s="123"/>
      <c r="F530" s="123"/>
      <c r="G530" s="123"/>
      <c r="H530" s="12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4"/>
      <c r="AB530" s="4"/>
      <c r="AC530" s="4"/>
    </row>
    <row r="531" spans="1:29" ht="14.25" customHeight="1">
      <c r="A531" s="58"/>
      <c r="B531" s="123"/>
      <c r="C531" s="123"/>
      <c r="D531" s="123"/>
      <c r="E531" s="123"/>
      <c r="F531" s="123"/>
      <c r="G531" s="123"/>
      <c r="H531" s="12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4"/>
      <c r="AB531" s="4"/>
      <c r="AC531" s="4"/>
    </row>
    <row r="532" spans="1:29" ht="14.25" customHeight="1">
      <c r="A532" s="58"/>
      <c r="B532" s="123"/>
      <c r="C532" s="123"/>
      <c r="D532" s="123"/>
      <c r="E532" s="123"/>
      <c r="F532" s="123"/>
      <c r="G532" s="123"/>
      <c r="H532" s="12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4"/>
      <c r="AB532" s="4"/>
      <c r="AC532" s="4"/>
    </row>
    <row r="533" spans="1:29" ht="14.25" customHeight="1">
      <c r="A533" s="58"/>
      <c r="B533" s="123"/>
      <c r="C533" s="123"/>
      <c r="D533" s="123"/>
      <c r="E533" s="123"/>
      <c r="F533" s="123"/>
      <c r="G533" s="123"/>
      <c r="H533" s="12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4"/>
      <c r="AB533" s="4"/>
      <c r="AC533" s="4"/>
    </row>
    <row r="534" spans="1:29" ht="14.25" customHeight="1">
      <c r="A534" s="58"/>
      <c r="B534" s="123"/>
      <c r="C534" s="123"/>
      <c r="D534" s="123"/>
      <c r="E534" s="123"/>
      <c r="F534" s="123"/>
      <c r="G534" s="123"/>
      <c r="H534" s="12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4"/>
      <c r="AB534" s="4"/>
      <c r="AC534" s="4"/>
    </row>
    <row r="535" spans="1:29" ht="14.25" customHeight="1">
      <c r="A535" s="58"/>
      <c r="B535" s="123"/>
      <c r="C535" s="123"/>
      <c r="D535" s="123"/>
      <c r="E535" s="123"/>
      <c r="F535" s="123"/>
      <c r="G535" s="123"/>
      <c r="H535" s="12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4"/>
      <c r="AB535" s="4"/>
      <c r="AC535" s="4"/>
    </row>
    <row r="536" spans="1:29" ht="14.25" customHeight="1">
      <c r="A536" s="58"/>
      <c r="B536" s="123"/>
      <c r="C536" s="123"/>
      <c r="D536" s="123"/>
      <c r="E536" s="123"/>
      <c r="F536" s="123"/>
      <c r="G536" s="123"/>
      <c r="H536" s="12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4"/>
      <c r="AB536" s="4"/>
      <c r="AC536" s="4"/>
    </row>
    <row r="537" spans="1:29" ht="14.25" customHeight="1">
      <c r="A537" s="58"/>
      <c r="B537" s="123"/>
      <c r="C537" s="123"/>
      <c r="D537" s="123"/>
      <c r="E537" s="123"/>
      <c r="F537" s="123"/>
      <c r="G537" s="123"/>
      <c r="H537" s="12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4"/>
      <c r="AB537" s="4"/>
      <c r="AC537" s="4"/>
    </row>
    <row r="538" spans="1:29" ht="14.25" customHeight="1">
      <c r="A538" s="58"/>
      <c r="B538" s="123"/>
      <c r="C538" s="123"/>
      <c r="D538" s="123"/>
      <c r="E538" s="123"/>
      <c r="F538" s="123"/>
      <c r="G538" s="123"/>
      <c r="H538" s="12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4"/>
      <c r="AB538" s="4"/>
      <c r="AC538" s="4"/>
    </row>
    <row r="539" spans="1:29" ht="14.25" customHeight="1">
      <c r="A539" s="58"/>
      <c r="B539" s="123"/>
      <c r="C539" s="123"/>
      <c r="D539" s="123"/>
      <c r="E539" s="123"/>
      <c r="F539" s="123"/>
      <c r="G539" s="123"/>
      <c r="H539" s="12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4"/>
      <c r="AB539" s="4"/>
      <c r="AC539" s="4"/>
    </row>
    <row r="540" spans="1:29" ht="14.25" customHeight="1">
      <c r="A540" s="58"/>
      <c r="B540" s="123"/>
      <c r="C540" s="123"/>
      <c r="D540" s="123"/>
      <c r="E540" s="123"/>
      <c r="F540" s="123"/>
      <c r="G540" s="123"/>
      <c r="H540" s="12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4"/>
      <c r="AB540" s="4"/>
      <c r="AC540" s="4"/>
    </row>
    <row r="541" spans="1:29" ht="14.25" customHeight="1">
      <c r="A541" s="58"/>
      <c r="B541" s="123"/>
      <c r="C541" s="123"/>
      <c r="D541" s="123"/>
      <c r="E541" s="123"/>
      <c r="F541" s="123"/>
      <c r="G541" s="123"/>
      <c r="H541" s="12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4"/>
      <c r="AB541" s="4"/>
      <c r="AC541" s="4"/>
    </row>
    <row r="542" spans="1:29" ht="14.25" customHeight="1">
      <c r="A542" s="58"/>
      <c r="B542" s="123"/>
      <c r="C542" s="123"/>
      <c r="D542" s="123"/>
      <c r="E542" s="123"/>
      <c r="F542" s="123"/>
      <c r="G542" s="123"/>
      <c r="H542" s="12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4"/>
      <c r="AB542" s="4"/>
      <c r="AC542" s="4"/>
    </row>
    <row r="543" spans="1:29" ht="14.25" customHeight="1">
      <c r="A543" s="58"/>
      <c r="B543" s="123"/>
      <c r="C543" s="123"/>
      <c r="D543" s="123"/>
      <c r="E543" s="123"/>
      <c r="F543" s="123"/>
      <c r="G543" s="123"/>
      <c r="H543" s="12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4"/>
      <c r="AB543" s="4"/>
      <c r="AC543" s="4"/>
    </row>
    <row r="544" spans="1:29" ht="14.25" customHeight="1">
      <c r="A544" s="58"/>
      <c r="B544" s="123"/>
      <c r="C544" s="123"/>
      <c r="D544" s="123"/>
      <c r="E544" s="123"/>
      <c r="F544" s="123"/>
      <c r="G544" s="123"/>
      <c r="H544" s="12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4"/>
      <c r="AB544" s="4"/>
      <c r="AC544" s="4"/>
    </row>
    <row r="545" spans="1:29" ht="14.25" customHeight="1">
      <c r="A545" s="58"/>
      <c r="B545" s="123"/>
      <c r="C545" s="123"/>
      <c r="D545" s="123"/>
      <c r="E545" s="123"/>
      <c r="F545" s="123"/>
      <c r="G545" s="123"/>
      <c r="H545" s="12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4"/>
      <c r="AB545" s="4"/>
      <c r="AC545" s="4"/>
    </row>
    <row r="546" spans="1:29" ht="14.25" customHeight="1">
      <c r="A546" s="58"/>
      <c r="B546" s="123"/>
      <c r="C546" s="123"/>
      <c r="D546" s="123"/>
      <c r="E546" s="123"/>
      <c r="F546" s="123"/>
      <c r="G546" s="123"/>
      <c r="H546" s="12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4"/>
      <c r="AB546" s="4"/>
      <c r="AC546" s="4"/>
    </row>
    <row r="547" spans="1:29" ht="14.25" customHeight="1">
      <c r="A547" s="58"/>
      <c r="B547" s="123"/>
      <c r="C547" s="123"/>
      <c r="D547" s="123"/>
      <c r="E547" s="123"/>
      <c r="F547" s="123"/>
      <c r="G547" s="123"/>
      <c r="H547" s="12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4"/>
      <c r="AB547" s="4"/>
      <c r="AC547" s="4"/>
    </row>
    <row r="548" spans="1:29" ht="14.25" customHeight="1">
      <c r="A548" s="58"/>
      <c r="B548" s="123"/>
      <c r="C548" s="123"/>
      <c r="D548" s="123"/>
      <c r="E548" s="123"/>
      <c r="F548" s="123"/>
      <c r="G548" s="123"/>
      <c r="H548" s="12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4"/>
      <c r="AB548" s="4"/>
      <c r="AC548" s="4"/>
    </row>
    <row r="549" spans="1:29" ht="14.25" customHeight="1">
      <c r="A549" s="58"/>
      <c r="B549" s="123"/>
      <c r="C549" s="123"/>
      <c r="D549" s="123"/>
      <c r="E549" s="123"/>
      <c r="F549" s="123"/>
      <c r="G549" s="123"/>
      <c r="H549" s="12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4"/>
      <c r="AB549" s="4"/>
      <c r="AC549" s="4"/>
    </row>
    <row r="550" spans="1:29" ht="14.25" customHeight="1">
      <c r="A550" s="58"/>
      <c r="B550" s="123"/>
      <c r="C550" s="123"/>
      <c r="D550" s="123"/>
      <c r="E550" s="123"/>
      <c r="F550" s="123"/>
      <c r="G550" s="123"/>
      <c r="H550" s="12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4"/>
      <c r="AB550" s="4"/>
      <c r="AC550" s="4"/>
    </row>
    <row r="551" spans="1:29" ht="14.25" customHeight="1">
      <c r="A551" s="58"/>
      <c r="B551" s="123"/>
      <c r="C551" s="123"/>
      <c r="D551" s="123"/>
      <c r="E551" s="123"/>
      <c r="F551" s="123"/>
      <c r="G551" s="123"/>
      <c r="H551" s="12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4"/>
      <c r="AB551" s="4"/>
      <c r="AC551" s="4"/>
    </row>
    <row r="552" spans="1:29" ht="14.25" customHeight="1">
      <c r="A552" s="58"/>
      <c r="B552" s="123"/>
      <c r="C552" s="123"/>
      <c r="D552" s="123"/>
      <c r="E552" s="123"/>
      <c r="F552" s="123"/>
      <c r="G552" s="123"/>
      <c r="H552" s="12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4"/>
      <c r="AB552" s="4"/>
      <c r="AC552" s="4"/>
    </row>
    <row r="553" spans="1:29" ht="14.25" customHeight="1">
      <c r="A553" s="58"/>
      <c r="B553" s="123"/>
      <c r="C553" s="123"/>
      <c r="D553" s="123"/>
      <c r="E553" s="123"/>
      <c r="F553" s="123"/>
      <c r="G553" s="123"/>
      <c r="H553" s="12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4"/>
      <c r="AB553" s="4"/>
      <c r="AC553" s="4"/>
    </row>
    <row r="554" spans="1:29" ht="14.25" customHeight="1">
      <c r="A554" s="58"/>
      <c r="B554" s="123"/>
      <c r="C554" s="123"/>
      <c r="D554" s="123"/>
      <c r="E554" s="123"/>
      <c r="F554" s="123"/>
      <c r="G554" s="123"/>
      <c r="H554" s="12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4"/>
      <c r="AB554" s="4"/>
      <c r="AC554" s="4"/>
    </row>
    <row r="555" spans="1:29" ht="14.25" customHeight="1">
      <c r="A555" s="58"/>
      <c r="B555" s="123"/>
      <c r="C555" s="123"/>
      <c r="D555" s="123"/>
      <c r="E555" s="123"/>
      <c r="F555" s="123"/>
      <c r="G555" s="123"/>
      <c r="H555" s="12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4"/>
      <c r="AB555" s="4"/>
      <c r="AC555" s="4"/>
    </row>
    <row r="556" spans="1:29" ht="14.25" customHeight="1">
      <c r="A556" s="58"/>
      <c r="B556" s="123"/>
      <c r="C556" s="123"/>
      <c r="D556" s="123"/>
      <c r="E556" s="123"/>
      <c r="F556" s="123"/>
      <c r="G556" s="123"/>
      <c r="H556" s="12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4"/>
      <c r="AB556" s="4"/>
      <c r="AC556" s="4"/>
    </row>
    <row r="557" spans="1:29" ht="14.25" customHeight="1">
      <c r="A557" s="58"/>
      <c r="B557" s="123"/>
      <c r="C557" s="123"/>
      <c r="D557" s="123"/>
      <c r="E557" s="123"/>
      <c r="F557" s="123"/>
      <c r="G557" s="123"/>
      <c r="H557" s="12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4"/>
      <c r="AB557" s="4"/>
      <c r="AC557" s="4"/>
    </row>
    <row r="558" spans="1:29" ht="14.25" customHeight="1">
      <c r="A558" s="58"/>
      <c r="B558" s="123"/>
      <c r="C558" s="123"/>
      <c r="D558" s="123"/>
      <c r="E558" s="123"/>
      <c r="F558" s="123"/>
      <c r="G558" s="123"/>
      <c r="H558" s="12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4"/>
      <c r="AB558" s="4"/>
      <c r="AC558" s="4"/>
    </row>
    <row r="559" spans="1:29" ht="14.25" customHeight="1">
      <c r="A559" s="58"/>
      <c r="B559" s="123"/>
      <c r="C559" s="123"/>
      <c r="D559" s="123"/>
      <c r="E559" s="123"/>
      <c r="F559" s="123"/>
      <c r="G559" s="123"/>
      <c r="H559" s="12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4"/>
      <c r="AB559" s="4"/>
      <c r="AC559" s="4"/>
    </row>
    <row r="560" spans="1:29" ht="14.25" customHeight="1">
      <c r="A560" s="58"/>
      <c r="B560" s="123"/>
      <c r="C560" s="123"/>
      <c r="D560" s="123"/>
      <c r="E560" s="123"/>
      <c r="F560" s="123"/>
      <c r="G560" s="123"/>
      <c r="H560" s="12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4"/>
      <c r="AB560" s="4"/>
      <c r="AC560" s="4"/>
    </row>
    <row r="561" spans="1:29" ht="14.25" customHeight="1">
      <c r="A561" s="58"/>
      <c r="B561" s="123"/>
      <c r="C561" s="123"/>
      <c r="D561" s="123"/>
      <c r="E561" s="123"/>
      <c r="F561" s="123"/>
      <c r="G561" s="123"/>
      <c r="H561" s="12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4"/>
      <c r="AB561" s="4"/>
      <c r="AC561" s="4"/>
    </row>
    <row r="562" spans="1:29" ht="14.25" customHeight="1">
      <c r="A562" s="58"/>
      <c r="B562" s="123"/>
      <c r="C562" s="123"/>
      <c r="D562" s="123"/>
      <c r="E562" s="123"/>
      <c r="F562" s="123"/>
      <c r="G562" s="123"/>
      <c r="H562" s="12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4"/>
      <c r="AB562" s="4"/>
      <c r="AC562" s="4"/>
    </row>
    <row r="563" spans="1:29" ht="14.25" customHeight="1">
      <c r="A563" s="58"/>
      <c r="B563" s="123"/>
      <c r="C563" s="123"/>
      <c r="D563" s="123"/>
      <c r="E563" s="123"/>
      <c r="F563" s="123"/>
      <c r="G563" s="123"/>
      <c r="H563" s="12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4"/>
      <c r="AB563" s="4"/>
      <c r="AC563" s="4"/>
    </row>
    <row r="564" spans="1:29" ht="14.25" customHeight="1">
      <c r="A564" s="58"/>
      <c r="B564" s="123"/>
      <c r="C564" s="123"/>
      <c r="D564" s="123"/>
      <c r="E564" s="123"/>
      <c r="F564" s="123"/>
      <c r="G564" s="123"/>
      <c r="H564" s="12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4"/>
      <c r="AB564" s="4"/>
      <c r="AC564" s="4"/>
    </row>
    <row r="565" spans="1:29" ht="14.25" customHeight="1">
      <c r="A565" s="58"/>
      <c r="B565" s="123"/>
      <c r="C565" s="123"/>
      <c r="D565" s="123"/>
      <c r="E565" s="123"/>
      <c r="F565" s="123"/>
      <c r="G565" s="123"/>
      <c r="H565" s="12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4"/>
      <c r="AB565" s="4"/>
      <c r="AC565" s="4"/>
    </row>
    <row r="566" spans="1:29" ht="14.25" customHeight="1">
      <c r="A566" s="58"/>
      <c r="B566" s="123"/>
      <c r="C566" s="123"/>
      <c r="D566" s="123"/>
      <c r="E566" s="123"/>
      <c r="F566" s="123"/>
      <c r="G566" s="123"/>
      <c r="H566" s="12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4"/>
      <c r="AB566" s="4"/>
      <c r="AC566" s="4"/>
    </row>
    <row r="567" spans="1:29" ht="14.25" customHeight="1">
      <c r="A567" s="58"/>
      <c r="B567" s="123"/>
      <c r="C567" s="123"/>
      <c r="D567" s="123"/>
      <c r="E567" s="123"/>
      <c r="F567" s="123"/>
      <c r="G567" s="123"/>
      <c r="H567" s="12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4"/>
      <c r="AB567" s="4"/>
      <c r="AC567" s="4"/>
    </row>
    <row r="568" spans="1:29" ht="14.25" customHeight="1">
      <c r="A568" s="58"/>
      <c r="B568" s="123"/>
      <c r="C568" s="123"/>
      <c r="D568" s="123"/>
      <c r="E568" s="123"/>
      <c r="F568" s="123"/>
      <c r="G568" s="123"/>
      <c r="H568" s="12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4"/>
      <c r="AB568" s="4"/>
      <c r="AC568" s="4"/>
    </row>
    <row r="569" spans="1:29" ht="14.25" customHeight="1">
      <c r="A569" s="58"/>
      <c r="B569" s="123"/>
      <c r="C569" s="123"/>
      <c r="D569" s="123"/>
      <c r="E569" s="123"/>
      <c r="F569" s="123"/>
      <c r="G569" s="123"/>
      <c r="H569" s="12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4"/>
      <c r="AB569" s="4"/>
      <c r="AC569" s="4"/>
    </row>
    <row r="570" spans="1:29" ht="14.25" customHeight="1">
      <c r="A570" s="58"/>
      <c r="B570" s="123"/>
      <c r="C570" s="123"/>
      <c r="D570" s="123"/>
      <c r="E570" s="123"/>
      <c r="F570" s="123"/>
      <c r="G570" s="123"/>
      <c r="H570" s="12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4"/>
      <c r="AB570" s="4"/>
      <c r="AC570" s="4"/>
    </row>
    <row r="571" spans="1:29" ht="14.25" customHeight="1">
      <c r="A571" s="58"/>
      <c r="B571" s="123"/>
      <c r="C571" s="123"/>
      <c r="D571" s="123"/>
      <c r="E571" s="123"/>
      <c r="F571" s="123"/>
      <c r="G571" s="123"/>
      <c r="H571" s="12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4"/>
      <c r="AB571" s="4"/>
      <c r="AC571" s="4"/>
    </row>
    <row r="572" spans="1:29" ht="14.25" customHeight="1">
      <c r="A572" s="58"/>
      <c r="B572" s="123"/>
      <c r="C572" s="123"/>
      <c r="D572" s="123"/>
      <c r="E572" s="123"/>
      <c r="F572" s="123"/>
      <c r="G572" s="123"/>
      <c r="H572" s="12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4"/>
      <c r="AB572" s="4"/>
      <c r="AC572" s="4"/>
    </row>
    <row r="573" spans="1:29" ht="14.25" customHeight="1">
      <c r="A573" s="58"/>
      <c r="B573" s="123"/>
      <c r="C573" s="123"/>
      <c r="D573" s="123"/>
      <c r="E573" s="123"/>
      <c r="F573" s="123"/>
      <c r="G573" s="123"/>
      <c r="H573" s="12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4"/>
      <c r="AB573" s="4"/>
      <c r="AC573" s="4"/>
    </row>
    <row r="574" spans="1:29" ht="14.25" customHeight="1">
      <c r="A574" s="58"/>
      <c r="B574" s="123"/>
      <c r="C574" s="123"/>
      <c r="D574" s="123"/>
      <c r="E574" s="123"/>
      <c r="F574" s="123"/>
      <c r="G574" s="123"/>
      <c r="H574" s="12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4"/>
      <c r="AB574" s="4"/>
      <c r="AC574" s="4"/>
    </row>
    <row r="575" spans="1:29" ht="14.25" customHeight="1">
      <c r="A575" s="58"/>
      <c r="B575" s="123"/>
      <c r="C575" s="123"/>
      <c r="D575" s="123"/>
      <c r="E575" s="123"/>
      <c r="F575" s="123"/>
      <c r="G575" s="123"/>
      <c r="H575" s="12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4"/>
      <c r="AB575" s="4"/>
      <c r="AC575" s="4"/>
    </row>
    <row r="576" spans="1:29" ht="14.25" customHeight="1">
      <c r="A576" s="58"/>
      <c r="B576" s="123"/>
      <c r="C576" s="123"/>
      <c r="D576" s="123"/>
      <c r="E576" s="123"/>
      <c r="F576" s="123"/>
      <c r="G576" s="123"/>
      <c r="H576" s="12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4"/>
      <c r="AB576" s="4"/>
      <c r="AC576" s="4"/>
    </row>
    <row r="577" spans="1:29" ht="14.25" customHeight="1">
      <c r="A577" s="58"/>
      <c r="B577" s="123"/>
      <c r="C577" s="123"/>
      <c r="D577" s="123"/>
      <c r="E577" s="123"/>
      <c r="F577" s="123"/>
      <c r="G577" s="123"/>
      <c r="H577" s="12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4"/>
      <c r="AB577" s="4"/>
      <c r="AC577" s="4"/>
    </row>
    <row r="578" spans="1:29" ht="14.25" customHeight="1">
      <c r="A578" s="58"/>
      <c r="B578" s="123"/>
      <c r="C578" s="123"/>
      <c r="D578" s="123"/>
      <c r="E578" s="123"/>
      <c r="F578" s="123"/>
      <c r="G578" s="123"/>
      <c r="H578" s="12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4"/>
      <c r="AB578" s="4"/>
      <c r="AC578" s="4"/>
    </row>
    <row r="579" spans="1:29" ht="14.25" customHeight="1">
      <c r="A579" s="58"/>
      <c r="B579" s="123"/>
      <c r="C579" s="123"/>
      <c r="D579" s="123"/>
      <c r="E579" s="123"/>
      <c r="F579" s="123"/>
      <c r="G579" s="123"/>
      <c r="H579" s="12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4"/>
      <c r="AB579" s="4"/>
      <c r="AC579" s="4"/>
    </row>
    <row r="580" spans="1:29" ht="14.25" customHeight="1">
      <c r="A580" s="58"/>
      <c r="B580" s="123"/>
      <c r="C580" s="123"/>
      <c r="D580" s="123"/>
      <c r="E580" s="123"/>
      <c r="F580" s="123"/>
      <c r="G580" s="123"/>
      <c r="H580" s="12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4"/>
      <c r="AB580" s="4"/>
      <c r="AC580" s="4"/>
    </row>
    <row r="581" spans="1:29" ht="14.25" customHeight="1">
      <c r="A581" s="58"/>
      <c r="B581" s="123"/>
      <c r="C581" s="123"/>
      <c r="D581" s="123"/>
      <c r="E581" s="123"/>
      <c r="F581" s="123"/>
      <c r="G581" s="123"/>
      <c r="H581" s="12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4"/>
      <c r="AB581" s="4"/>
      <c r="AC581" s="4"/>
    </row>
    <row r="582" spans="1:29" ht="14.25" customHeight="1">
      <c r="A582" s="58"/>
      <c r="B582" s="123"/>
      <c r="C582" s="123"/>
      <c r="D582" s="123"/>
      <c r="E582" s="123"/>
      <c r="F582" s="123"/>
      <c r="G582" s="123"/>
      <c r="H582" s="12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4"/>
      <c r="AB582" s="4"/>
      <c r="AC582" s="4"/>
    </row>
    <row r="583" spans="1:29" ht="14.25" customHeight="1">
      <c r="A583" s="58"/>
      <c r="B583" s="123"/>
      <c r="C583" s="123"/>
      <c r="D583" s="123"/>
      <c r="E583" s="123"/>
      <c r="F583" s="123"/>
      <c r="G583" s="123"/>
      <c r="H583" s="12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4"/>
      <c r="AB583" s="4"/>
      <c r="AC583" s="4"/>
    </row>
    <row r="584" spans="1:29" ht="14.25" customHeight="1">
      <c r="A584" s="58"/>
      <c r="B584" s="123"/>
      <c r="C584" s="123"/>
      <c r="D584" s="123"/>
      <c r="E584" s="123"/>
      <c r="F584" s="123"/>
      <c r="G584" s="123"/>
      <c r="H584" s="12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4"/>
      <c r="AB584" s="4"/>
      <c r="AC584" s="4"/>
    </row>
    <row r="585" spans="1:29" ht="14.25" customHeight="1">
      <c r="A585" s="58"/>
      <c r="B585" s="123"/>
      <c r="C585" s="123"/>
      <c r="D585" s="123"/>
      <c r="E585" s="123"/>
      <c r="F585" s="123"/>
      <c r="G585" s="123"/>
      <c r="H585" s="12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4"/>
      <c r="AB585" s="4"/>
      <c r="AC585" s="4"/>
    </row>
    <row r="586" spans="1:29" ht="14.25" customHeight="1">
      <c r="A586" s="58"/>
      <c r="B586" s="123"/>
      <c r="C586" s="123"/>
      <c r="D586" s="123"/>
      <c r="E586" s="123"/>
      <c r="F586" s="123"/>
      <c r="G586" s="123"/>
      <c r="H586" s="12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4"/>
      <c r="AB586" s="4"/>
      <c r="AC586" s="4"/>
    </row>
    <row r="587" spans="1:29" ht="14.25" customHeight="1">
      <c r="A587" s="58"/>
      <c r="B587" s="123"/>
      <c r="C587" s="123"/>
      <c r="D587" s="123"/>
      <c r="E587" s="123"/>
      <c r="F587" s="123"/>
      <c r="G587" s="123"/>
      <c r="H587" s="12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4"/>
      <c r="AB587" s="4"/>
      <c r="AC587" s="4"/>
    </row>
    <row r="588" spans="1:29" ht="14.25" customHeight="1">
      <c r="A588" s="58"/>
      <c r="B588" s="123"/>
      <c r="C588" s="123"/>
      <c r="D588" s="123"/>
      <c r="E588" s="123"/>
      <c r="F588" s="123"/>
      <c r="G588" s="123"/>
      <c r="H588" s="12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4"/>
      <c r="AB588" s="4"/>
      <c r="AC588" s="4"/>
    </row>
    <row r="589" spans="1:29" ht="14.25" customHeight="1">
      <c r="A589" s="58"/>
      <c r="B589" s="123"/>
      <c r="C589" s="123"/>
      <c r="D589" s="123"/>
      <c r="E589" s="123"/>
      <c r="F589" s="123"/>
      <c r="G589" s="123"/>
      <c r="H589" s="12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4"/>
      <c r="AB589" s="4"/>
      <c r="AC589" s="4"/>
    </row>
    <row r="590" spans="1:29" ht="14.25" customHeight="1">
      <c r="A590" s="58"/>
      <c r="B590" s="123"/>
      <c r="C590" s="123"/>
      <c r="D590" s="123"/>
      <c r="E590" s="123"/>
      <c r="F590" s="123"/>
      <c r="G590" s="123"/>
      <c r="H590" s="12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4"/>
      <c r="AB590" s="4"/>
      <c r="AC590" s="4"/>
    </row>
    <row r="591" spans="1:29" ht="14.25" customHeight="1">
      <c r="A591" s="58"/>
      <c r="B591" s="123"/>
      <c r="C591" s="123"/>
      <c r="D591" s="123"/>
      <c r="E591" s="123"/>
      <c r="F591" s="123"/>
      <c r="G591" s="123"/>
      <c r="H591" s="12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4"/>
      <c r="AB591" s="4"/>
      <c r="AC591" s="4"/>
    </row>
    <row r="592" spans="1:29" ht="14.25" customHeight="1">
      <c r="A592" s="58"/>
      <c r="B592" s="123"/>
      <c r="C592" s="123"/>
      <c r="D592" s="123"/>
      <c r="E592" s="123"/>
      <c r="F592" s="123"/>
      <c r="G592" s="123"/>
      <c r="H592" s="12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4"/>
      <c r="AB592" s="4"/>
      <c r="AC592" s="4"/>
    </row>
    <row r="593" spans="1:29" ht="14.25" customHeight="1">
      <c r="A593" s="58"/>
      <c r="B593" s="123"/>
      <c r="C593" s="123"/>
      <c r="D593" s="123"/>
      <c r="E593" s="123"/>
      <c r="F593" s="123"/>
      <c r="G593" s="123"/>
      <c r="H593" s="12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4"/>
      <c r="AB593" s="4"/>
      <c r="AC593" s="4"/>
    </row>
    <row r="594" spans="1:29" ht="14.25" customHeight="1">
      <c r="A594" s="58"/>
      <c r="B594" s="123"/>
      <c r="C594" s="123"/>
      <c r="D594" s="123"/>
      <c r="E594" s="123"/>
      <c r="F594" s="123"/>
      <c r="G594" s="123"/>
      <c r="H594" s="12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4"/>
      <c r="AB594" s="4"/>
      <c r="AC594" s="4"/>
    </row>
    <row r="595" spans="1:29" ht="14.25" customHeight="1">
      <c r="A595" s="58"/>
      <c r="B595" s="123"/>
      <c r="C595" s="123"/>
      <c r="D595" s="123"/>
      <c r="E595" s="123"/>
      <c r="F595" s="123"/>
      <c r="G595" s="123"/>
      <c r="H595" s="12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4"/>
      <c r="AB595" s="4"/>
      <c r="AC595" s="4"/>
    </row>
    <row r="596" spans="1:29" ht="14.25" customHeight="1">
      <c r="A596" s="58"/>
      <c r="B596" s="123"/>
      <c r="C596" s="123"/>
      <c r="D596" s="123"/>
      <c r="E596" s="123"/>
      <c r="F596" s="123"/>
      <c r="G596" s="123"/>
      <c r="H596" s="12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4"/>
      <c r="AB596" s="4"/>
      <c r="AC596" s="4"/>
    </row>
    <row r="597" spans="1:29" ht="14.25" customHeight="1">
      <c r="A597" s="58"/>
      <c r="B597" s="123"/>
      <c r="C597" s="123"/>
      <c r="D597" s="123"/>
      <c r="E597" s="123"/>
      <c r="F597" s="123"/>
      <c r="G597" s="123"/>
      <c r="H597" s="12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4"/>
      <c r="AB597" s="4"/>
      <c r="AC597" s="4"/>
    </row>
    <row r="598" spans="1:29" ht="14.25" customHeight="1">
      <c r="A598" s="58"/>
      <c r="B598" s="123"/>
      <c r="C598" s="123"/>
      <c r="D598" s="123"/>
      <c r="E598" s="123"/>
      <c r="F598" s="123"/>
      <c r="G598" s="123"/>
      <c r="H598" s="12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4"/>
      <c r="AB598" s="4"/>
      <c r="AC598" s="4"/>
    </row>
    <row r="599" spans="1:29" ht="14.25" customHeight="1">
      <c r="A599" s="58"/>
      <c r="B599" s="123"/>
      <c r="C599" s="123"/>
      <c r="D599" s="123"/>
      <c r="E599" s="123"/>
      <c r="F599" s="123"/>
      <c r="G599" s="123"/>
      <c r="H599" s="12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4"/>
      <c r="AB599" s="4"/>
      <c r="AC599" s="4"/>
    </row>
    <row r="600" spans="1:29" ht="14.25" customHeight="1">
      <c r="A600" s="58"/>
      <c r="B600" s="123"/>
      <c r="C600" s="123"/>
      <c r="D600" s="123"/>
      <c r="E600" s="123"/>
      <c r="F600" s="123"/>
      <c r="G600" s="123"/>
      <c r="H600" s="12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4"/>
      <c r="AB600" s="4"/>
      <c r="AC600" s="4"/>
    </row>
    <row r="601" spans="1:29" ht="14.25" customHeight="1">
      <c r="A601" s="58"/>
      <c r="B601" s="123"/>
      <c r="C601" s="123"/>
      <c r="D601" s="123"/>
      <c r="E601" s="123"/>
      <c r="F601" s="123"/>
      <c r="G601" s="123"/>
      <c r="H601" s="12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4"/>
      <c r="AB601" s="4"/>
      <c r="AC601" s="4"/>
    </row>
    <row r="602" spans="1:29" ht="14.25" customHeight="1">
      <c r="A602" s="58"/>
      <c r="B602" s="123"/>
      <c r="C602" s="123"/>
      <c r="D602" s="123"/>
      <c r="E602" s="123"/>
      <c r="F602" s="123"/>
      <c r="G602" s="123"/>
      <c r="H602" s="12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4"/>
      <c r="AB602" s="4"/>
      <c r="AC602" s="4"/>
    </row>
    <row r="603" spans="1:29" ht="14.25" customHeight="1">
      <c r="A603" s="58"/>
      <c r="B603" s="123"/>
      <c r="C603" s="123"/>
      <c r="D603" s="123"/>
      <c r="E603" s="123"/>
      <c r="F603" s="123"/>
      <c r="G603" s="123"/>
      <c r="H603" s="12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4"/>
      <c r="AB603" s="4"/>
      <c r="AC603" s="4"/>
    </row>
    <row r="604" spans="1:29" ht="14.25" customHeight="1">
      <c r="A604" s="58"/>
      <c r="B604" s="123"/>
      <c r="C604" s="123"/>
      <c r="D604" s="123"/>
      <c r="E604" s="123"/>
      <c r="F604" s="123"/>
      <c r="G604" s="123"/>
      <c r="H604" s="12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4"/>
      <c r="AB604" s="4"/>
      <c r="AC604" s="4"/>
    </row>
    <row r="605" spans="1:29" ht="14.25" customHeight="1">
      <c r="A605" s="58"/>
      <c r="B605" s="123"/>
      <c r="C605" s="123"/>
      <c r="D605" s="123"/>
      <c r="E605" s="123"/>
      <c r="F605" s="123"/>
      <c r="G605" s="123"/>
      <c r="H605" s="12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4"/>
      <c r="AB605" s="4"/>
      <c r="AC605" s="4"/>
    </row>
    <row r="606" spans="1:29" ht="14.25" customHeight="1">
      <c r="A606" s="58"/>
      <c r="B606" s="123"/>
      <c r="C606" s="123"/>
      <c r="D606" s="123"/>
      <c r="E606" s="123"/>
      <c r="F606" s="123"/>
      <c r="G606" s="123"/>
      <c r="H606" s="12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4"/>
      <c r="AB606" s="4"/>
      <c r="AC606" s="4"/>
    </row>
    <row r="607" spans="1:29" ht="14.25" customHeight="1">
      <c r="A607" s="58"/>
      <c r="B607" s="123"/>
      <c r="C607" s="123"/>
      <c r="D607" s="123"/>
      <c r="E607" s="123"/>
      <c r="F607" s="123"/>
      <c r="G607" s="123"/>
      <c r="H607" s="12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4"/>
      <c r="AB607" s="4"/>
      <c r="AC607" s="4"/>
    </row>
    <row r="608" spans="1:29" ht="14.25" customHeight="1">
      <c r="A608" s="58"/>
      <c r="B608" s="123"/>
      <c r="C608" s="123"/>
      <c r="D608" s="123"/>
      <c r="E608" s="123"/>
      <c r="F608" s="123"/>
      <c r="G608" s="123"/>
      <c r="H608" s="12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4"/>
      <c r="AB608" s="4"/>
      <c r="AC608" s="4"/>
    </row>
    <row r="609" spans="1:29" ht="14.25" customHeight="1">
      <c r="A609" s="58"/>
      <c r="B609" s="123"/>
      <c r="C609" s="123"/>
      <c r="D609" s="123"/>
      <c r="E609" s="123"/>
      <c r="F609" s="123"/>
      <c r="G609" s="123"/>
      <c r="H609" s="12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4"/>
      <c r="AB609" s="4"/>
      <c r="AC609" s="4"/>
    </row>
    <row r="610" spans="1:29" ht="14.25" customHeight="1">
      <c r="A610" s="58"/>
      <c r="B610" s="123"/>
      <c r="C610" s="123"/>
      <c r="D610" s="123"/>
      <c r="E610" s="123"/>
      <c r="F610" s="123"/>
      <c r="G610" s="123"/>
      <c r="H610" s="12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4"/>
      <c r="AB610" s="4"/>
      <c r="AC610" s="4"/>
    </row>
    <row r="611" spans="1:29" ht="14.25" customHeight="1">
      <c r="A611" s="58"/>
      <c r="B611" s="123"/>
      <c r="C611" s="123"/>
      <c r="D611" s="123"/>
      <c r="E611" s="123"/>
      <c r="F611" s="123"/>
      <c r="G611" s="123"/>
      <c r="H611" s="12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4"/>
      <c r="AB611" s="4"/>
      <c r="AC611" s="4"/>
    </row>
    <row r="612" spans="1:29" ht="14.25" customHeight="1">
      <c r="A612" s="58"/>
      <c r="B612" s="123"/>
      <c r="C612" s="123"/>
      <c r="D612" s="123"/>
      <c r="E612" s="123"/>
      <c r="F612" s="123"/>
      <c r="G612" s="123"/>
      <c r="H612" s="12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4"/>
      <c r="AB612" s="4"/>
      <c r="AC612" s="4"/>
    </row>
    <row r="613" spans="1:29" ht="14.25" customHeight="1">
      <c r="A613" s="58"/>
      <c r="B613" s="123"/>
      <c r="C613" s="123"/>
      <c r="D613" s="123"/>
      <c r="E613" s="123"/>
      <c r="F613" s="123"/>
      <c r="G613" s="123"/>
      <c r="H613" s="12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4"/>
      <c r="AB613" s="4"/>
      <c r="AC613" s="4"/>
    </row>
    <row r="614" spans="1:29" ht="14.25" customHeight="1">
      <c r="A614" s="58"/>
      <c r="B614" s="123"/>
      <c r="C614" s="123"/>
      <c r="D614" s="123"/>
      <c r="E614" s="123"/>
      <c r="F614" s="123"/>
      <c r="G614" s="123"/>
      <c r="H614" s="12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4"/>
      <c r="AB614" s="4"/>
      <c r="AC614" s="4"/>
    </row>
    <row r="615" spans="1:29" ht="14.25" customHeight="1">
      <c r="A615" s="58"/>
      <c r="B615" s="123"/>
      <c r="C615" s="123"/>
      <c r="D615" s="123"/>
      <c r="E615" s="123"/>
      <c r="F615" s="123"/>
      <c r="G615" s="123"/>
      <c r="H615" s="12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4"/>
      <c r="AB615" s="4"/>
      <c r="AC615" s="4"/>
    </row>
    <row r="616" spans="1:29" ht="14.25" customHeight="1">
      <c r="A616" s="58"/>
      <c r="B616" s="123"/>
      <c r="C616" s="123"/>
      <c r="D616" s="123"/>
      <c r="E616" s="123"/>
      <c r="F616" s="123"/>
      <c r="G616" s="123"/>
      <c r="H616" s="12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4"/>
      <c r="AB616" s="4"/>
      <c r="AC616" s="4"/>
    </row>
    <row r="617" spans="1:29" ht="14.25" customHeight="1">
      <c r="A617" s="58"/>
      <c r="B617" s="123"/>
      <c r="C617" s="123"/>
      <c r="D617" s="123"/>
      <c r="E617" s="123"/>
      <c r="F617" s="123"/>
      <c r="G617" s="123"/>
      <c r="H617" s="12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4"/>
      <c r="AB617" s="4"/>
      <c r="AC617" s="4"/>
    </row>
    <row r="618" spans="1:29" ht="14.25" customHeight="1">
      <c r="A618" s="58"/>
      <c r="B618" s="123"/>
      <c r="C618" s="123"/>
      <c r="D618" s="123"/>
      <c r="E618" s="123"/>
      <c r="F618" s="123"/>
      <c r="G618" s="123"/>
      <c r="H618" s="12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4"/>
      <c r="AB618" s="4"/>
      <c r="AC618" s="4"/>
    </row>
    <row r="619" spans="1:29" ht="14.25" customHeight="1">
      <c r="A619" s="58"/>
      <c r="B619" s="123"/>
      <c r="C619" s="123"/>
      <c r="D619" s="123"/>
      <c r="E619" s="123"/>
      <c r="F619" s="123"/>
      <c r="G619" s="123"/>
      <c r="H619" s="12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4"/>
      <c r="AB619" s="4"/>
      <c r="AC619" s="4"/>
    </row>
    <row r="620" spans="1:29" ht="14.25" customHeight="1">
      <c r="A620" s="58"/>
      <c r="B620" s="123"/>
      <c r="C620" s="123"/>
      <c r="D620" s="123"/>
      <c r="E620" s="123"/>
      <c r="F620" s="123"/>
      <c r="G620" s="123"/>
      <c r="H620" s="12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4"/>
      <c r="AB620" s="4"/>
      <c r="AC620" s="4"/>
    </row>
    <row r="621" spans="1:29" ht="14.25" customHeight="1">
      <c r="A621" s="58"/>
      <c r="B621" s="123"/>
      <c r="C621" s="123"/>
      <c r="D621" s="123"/>
      <c r="E621" s="123"/>
      <c r="F621" s="123"/>
      <c r="G621" s="123"/>
      <c r="H621" s="12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4"/>
      <c r="AB621" s="4"/>
      <c r="AC621" s="4"/>
    </row>
    <row r="622" spans="1:29" ht="14.25" customHeight="1">
      <c r="A622" s="58"/>
      <c r="B622" s="123"/>
      <c r="C622" s="123"/>
      <c r="D622" s="123"/>
      <c r="E622" s="123"/>
      <c r="F622" s="123"/>
      <c r="G622" s="123"/>
      <c r="H622" s="12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4"/>
      <c r="AB622" s="4"/>
      <c r="AC622" s="4"/>
    </row>
    <row r="623" spans="1:29" ht="14.25" customHeight="1">
      <c r="A623" s="58"/>
      <c r="B623" s="123"/>
      <c r="C623" s="123"/>
      <c r="D623" s="123"/>
      <c r="E623" s="123"/>
      <c r="F623" s="123"/>
      <c r="G623" s="123"/>
      <c r="H623" s="12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4"/>
      <c r="AB623" s="4"/>
      <c r="AC623" s="4"/>
    </row>
    <row r="624" spans="1:29" ht="14.25" customHeight="1">
      <c r="A624" s="58"/>
      <c r="B624" s="123"/>
      <c r="C624" s="123"/>
      <c r="D624" s="123"/>
      <c r="E624" s="123"/>
      <c r="F624" s="123"/>
      <c r="G624" s="123"/>
      <c r="H624" s="12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4"/>
      <c r="AB624" s="4"/>
      <c r="AC624" s="4"/>
    </row>
    <row r="625" spans="1:29" ht="14.25" customHeight="1">
      <c r="A625" s="58"/>
      <c r="B625" s="123"/>
      <c r="C625" s="123"/>
      <c r="D625" s="123"/>
      <c r="E625" s="123"/>
      <c r="F625" s="123"/>
      <c r="G625" s="123"/>
      <c r="H625" s="12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4"/>
      <c r="AB625" s="4"/>
      <c r="AC625" s="4"/>
    </row>
    <row r="626" spans="1:29" ht="14.25" customHeight="1">
      <c r="A626" s="58"/>
      <c r="B626" s="123"/>
      <c r="C626" s="123"/>
      <c r="D626" s="123"/>
      <c r="E626" s="123"/>
      <c r="F626" s="123"/>
      <c r="G626" s="123"/>
      <c r="H626" s="12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4"/>
      <c r="AB626" s="4"/>
      <c r="AC626" s="4"/>
    </row>
    <row r="627" spans="1:29" ht="14.25" customHeight="1">
      <c r="A627" s="58"/>
      <c r="B627" s="123"/>
      <c r="C627" s="123"/>
      <c r="D627" s="123"/>
      <c r="E627" s="123"/>
      <c r="F627" s="123"/>
      <c r="G627" s="123"/>
      <c r="H627" s="12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4"/>
      <c r="AB627" s="4"/>
      <c r="AC627" s="4"/>
    </row>
    <row r="628" spans="1:29" ht="14.25" customHeight="1">
      <c r="A628" s="58"/>
      <c r="B628" s="123"/>
      <c r="C628" s="123"/>
      <c r="D628" s="123"/>
      <c r="E628" s="123"/>
      <c r="F628" s="123"/>
      <c r="G628" s="123"/>
      <c r="H628" s="12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4"/>
      <c r="AB628" s="4"/>
      <c r="AC628" s="4"/>
    </row>
    <row r="629" spans="1:29" ht="14.25" customHeight="1">
      <c r="A629" s="58"/>
      <c r="B629" s="123"/>
      <c r="C629" s="123"/>
      <c r="D629" s="123"/>
      <c r="E629" s="123"/>
      <c r="F629" s="123"/>
      <c r="G629" s="123"/>
      <c r="H629" s="12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4"/>
      <c r="AB629" s="4"/>
      <c r="AC629" s="4"/>
    </row>
    <row r="630" spans="1:29" ht="14.25" customHeight="1">
      <c r="A630" s="58"/>
      <c r="B630" s="123"/>
      <c r="C630" s="123"/>
      <c r="D630" s="123"/>
      <c r="E630" s="123"/>
      <c r="F630" s="123"/>
      <c r="G630" s="123"/>
      <c r="H630" s="12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4"/>
      <c r="AB630" s="4"/>
      <c r="AC630" s="4"/>
    </row>
    <row r="631" spans="1:29" ht="14.25" customHeight="1">
      <c r="A631" s="58"/>
      <c r="B631" s="123"/>
      <c r="C631" s="123"/>
      <c r="D631" s="123"/>
      <c r="E631" s="123"/>
      <c r="F631" s="123"/>
      <c r="G631" s="123"/>
      <c r="H631" s="12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4"/>
      <c r="AB631" s="4"/>
      <c r="AC631" s="4"/>
    </row>
    <row r="632" spans="1:29" ht="14.25" customHeight="1">
      <c r="A632" s="58"/>
      <c r="B632" s="123"/>
      <c r="C632" s="123"/>
      <c r="D632" s="123"/>
      <c r="E632" s="123"/>
      <c r="F632" s="123"/>
      <c r="G632" s="123"/>
      <c r="H632" s="12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4"/>
      <c r="AB632" s="4"/>
      <c r="AC632" s="4"/>
    </row>
    <row r="633" spans="1:29" ht="14.25" customHeight="1">
      <c r="A633" s="58"/>
      <c r="B633" s="123"/>
      <c r="C633" s="123"/>
      <c r="D633" s="123"/>
      <c r="E633" s="123"/>
      <c r="F633" s="123"/>
      <c r="G633" s="123"/>
      <c r="H633" s="12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4"/>
      <c r="AB633" s="4"/>
      <c r="AC633" s="4"/>
    </row>
    <row r="634" spans="1:29" ht="14.25" customHeight="1">
      <c r="A634" s="58"/>
      <c r="B634" s="123"/>
      <c r="C634" s="123"/>
      <c r="D634" s="123"/>
      <c r="E634" s="123"/>
      <c r="F634" s="123"/>
      <c r="G634" s="123"/>
      <c r="H634" s="12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4"/>
      <c r="AB634" s="4"/>
      <c r="AC634" s="4"/>
    </row>
    <row r="635" spans="1:29" ht="14.25" customHeight="1">
      <c r="A635" s="58"/>
      <c r="B635" s="123"/>
      <c r="C635" s="123"/>
      <c r="D635" s="123"/>
      <c r="E635" s="123"/>
      <c r="F635" s="123"/>
      <c r="G635" s="123"/>
      <c r="H635" s="12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4"/>
      <c r="AB635" s="4"/>
      <c r="AC635" s="4"/>
    </row>
    <row r="636" spans="1:29" ht="14.25" customHeight="1">
      <c r="A636" s="58"/>
      <c r="B636" s="123"/>
      <c r="C636" s="123"/>
      <c r="D636" s="123"/>
      <c r="E636" s="123"/>
      <c r="F636" s="123"/>
      <c r="G636" s="123"/>
      <c r="H636" s="12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4"/>
      <c r="AB636" s="4"/>
      <c r="AC636" s="4"/>
    </row>
    <row r="637" spans="1:29" ht="14.25" customHeight="1">
      <c r="A637" s="58"/>
      <c r="B637" s="123"/>
      <c r="C637" s="123"/>
      <c r="D637" s="123"/>
      <c r="E637" s="123"/>
      <c r="F637" s="123"/>
      <c r="G637" s="123"/>
      <c r="H637" s="12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4"/>
      <c r="AB637" s="4"/>
      <c r="AC637" s="4"/>
    </row>
    <row r="638" spans="1:29" ht="14.25" customHeight="1">
      <c r="A638" s="58"/>
      <c r="B638" s="123"/>
      <c r="C638" s="123"/>
      <c r="D638" s="123"/>
      <c r="E638" s="123"/>
      <c r="F638" s="123"/>
      <c r="G638" s="123"/>
      <c r="H638" s="12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4"/>
      <c r="AB638" s="4"/>
      <c r="AC638" s="4"/>
    </row>
    <row r="639" spans="1:29" ht="14.25" customHeight="1">
      <c r="A639" s="58"/>
      <c r="B639" s="123"/>
      <c r="C639" s="123"/>
      <c r="D639" s="123"/>
      <c r="E639" s="123"/>
      <c r="F639" s="123"/>
      <c r="G639" s="123"/>
      <c r="H639" s="12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4"/>
      <c r="AB639" s="4"/>
      <c r="AC639" s="4"/>
    </row>
    <row r="640" spans="1:29" ht="14.25" customHeight="1">
      <c r="A640" s="58"/>
      <c r="B640" s="123"/>
      <c r="C640" s="123"/>
      <c r="D640" s="123"/>
      <c r="E640" s="123"/>
      <c r="F640" s="123"/>
      <c r="G640" s="123"/>
      <c r="H640" s="12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4"/>
      <c r="AB640" s="4"/>
      <c r="AC640" s="4"/>
    </row>
    <row r="641" spans="1:29" ht="14.25" customHeight="1">
      <c r="A641" s="58"/>
      <c r="B641" s="123"/>
      <c r="C641" s="123"/>
      <c r="D641" s="123"/>
      <c r="E641" s="123"/>
      <c r="F641" s="123"/>
      <c r="G641" s="123"/>
      <c r="H641" s="12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4"/>
      <c r="AB641" s="4"/>
      <c r="AC641" s="4"/>
    </row>
    <row r="642" spans="1:29" ht="14.25" customHeight="1">
      <c r="A642" s="58"/>
      <c r="B642" s="123"/>
      <c r="C642" s="123"/>
      <c r="D642" s="123"/>
      <c r="E642" s="123"/>
      <c r="F642" s="123"/>
      <c r="G642" s="123"/>
      <c r="H642" s="12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4"/>
      <c r="AB642" s="4"/>
      <c r="AC642" s="4"/>
    </row>
    <row r="643" spans="1:29" ht="14.25" customHeight="1">
      <c r="A643" s="58"/>
      <c r="B643" s="123"/>
      <c r="C643" s="123"/>
      <c r="D643" s="123"/>
      <c r="E643" s="123"/>
      <c r="F643" s="123"/>
      <c r="G643" s="123"/>
      <c r="H643" s="12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4"/>
      <c r="AB643" s="4"/>
      <c r="AC643" s="4"/>
    </row>
    <row r="644" spans="1:29" ht="14.25" customHeight="1">
      <c r="A644" s="58"/>
      <c r="B644" s="123"/>
      <c r="C644" s="123"/>
      <c r="D644" s="123"/>
      <c r="E644" s="123"/>
      <c r="F644" s="123"/>
      <c r="G644" s="123"/>
      <c r="H644" s="12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4"/>
      <c r="AB644" s="4"/>
      <c r="AC644" s="4"/>
    </row>
    <row r="645" spans="1:29" ht="14.25" customHeight="1">
      <c r="A645" s="58"/>
      <c r="B645" s="123"/>
      <c r="C645" s="123"/>
      <c r="D645" s="123"/>
      <c r="E645" s="123"/>
      <c r="F645" s="123"/>
      <c r="G645" s="123"/>
      <c r="H645" s="12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4"/>
      <c r="AB645" s="4"/>
      <c r="AC645" s="4"/>
    </row>
    <row r="646" spans="1:29" ht="14.25" customHeight="1">
      <c r="A646" s="58"/>
      <c r="B646" s="123"/>
      <c r="C646" s="123"/>
      <c r="D646" s="123"/>
      <c r="E646" s="123"/>
      <c r="F646" s="123"/>
      <c r="G646" s="123"/>
      <c r="H646" s="12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4"/>
      <c r="AB646" s="4"/>
      <c r="AC646" s="4"/>
    </row>
    <row r="647" spans="1:29" ht="14.25" customHeight="1">
      <c r="A647" s="58"/>
      <c r="B647" s="123"/>
      <c r="C647" s="123"/>
      <c r="D647" s="123"/>
      <c r="E647" s="123"/>
      <c r="F647" s="123"/>
      <c r="G647" s="123"/>
      <c r="H647" s="12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4"/>
      <c r="AB647" s="4"/>
      <c r="AC647" s="4"/>
    </row>
    <row r="648" spans="1:29" ht="14.25" customHeight="1">
      <c r="A648" s="58"/>
      <c r="B648" s="123"/>
      <c r="C648" s="123"/>
      <c r="D648" s="123"/>
      <c r="E648" s="123"/>
      <c r="F648" s="123"/>
      <c r="G648" s="123"/>
      <c r="H648" s="12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4"/>
      <c r="AB648" s="4"/>
      <c r="AC648" s="4"/>
    </row>
    <row r="649" spans="1:29" ht="14.25" customHeight="1">
      <c r="A649" s="58"/>
      <c r="B649" s="123"/>
      <c r="C649" s="123"/>
      <c r="D649" s="123"/>
      <c r="E649" s="123"/>
      <c r="F649" s="123"/>
      <c r="G649" s="123"/>
      <c r="H649" s="12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4"/>
      <c r="AB649" s="4"/>
      <c r="AC649" s="4"/>
    </row>
    <row r="650" spans="1:29" ht="14.25" customHeight="1">
      <c r="A650" s="58"/>
      <c r="B650" s="123"/>
      <c r="C650" s="123"/>
      <c r="D650" s="123"/>
      <c r="E650" s="123"/>
      <c r="F650" s="123"/>
      <c r="G650" s="123"/>
      <c r="H650" s="12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4"/>
      <c r="AB650" s="4"/>
      <c r="AC650" s="4"/>
    </row>
    <row r="651" spans="1:29" ht="14.25" customHeight="1">
      <c r="A651" s="58"/>
      <c r="B651" s="123"/>
      <c r="C651" s="123"/>
      <c r="D651" s="123"/>
      <c r="E651" s="123"/>
      <c r="F651" s="123"/>
      <c r="G651" s="123"/>
      <c r="H651" s="12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4"/>
      <c r="AB651" s="4"/>
      <c r="AC651" s="4"/>
    </row>
    <row r="652" spans="1:29" ht="14.25" customHeight="1">
      <c r="A652" s="58"/>
      <c r="B652" s="123"/>
      <c r="C652" s="123"/>
      <c r="D652" s="123"/>
      <c r="E652" s="123"/>
      <c r="F652" s="123"/>
      <c r="G652" s="123"/>
      <c r="H652" s="12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4"/>
      <c r="AB652" s="4"/>
      <c r="AC652" s="4"/>
    </row>
    <row r="653" spans="1:29" ht="14.25" customHeight="1">
      <c r="A653" s="58"/>
      <c r="B653" s="123"/>
      <c r="C653" s="123"/>
      <c r="D653" s="123"/>
      <c r="E653" s="123"/>
      <c r="F653" s="123"/>
      <c r="G653" s="123"/>
      <c r="H653" s="12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4"/>
      <c r="AB653" s="4"/>
      <c r="AC653" s="4"/>
    </row>
    <row r="654" spans="1:29" ht="14.25" customHeight="1">
      <c r="A654" s="58"/>
      <c r="B654" s="123"/>
      <c r="C654" s="123"/>
      <c r="D654" s="123"/>
      <c r="E654" s="123"/>
      <c r="F654" s="123"/>
      <c r="G654" s="123"/>
      <c r="H654" s="12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4"/>
      <c r="AB654" s="4"/>
      <c r="AC654" s="4"/>
    </row>
    <row r="655" spans="1:29" ht="14.25" customHeight="1">
      <c r="A655" s="58"/>
      <c r="B655" s="123"/>
      <c r="C655" s="123"/>
      <c r="D655" s="123"/>
      <c r="E655" s="123"/>
      <c r="F655" s="123"/>
      <c r="G655" s="123"/>
      <c r="H655" s="12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4"/>
      <c r="AB655" s="4"/>
      <c r="AC655" s="4"/>
    </row>
    <row r="656" spans="1:29" ht="14.25" customHeight="1">
      <c r="A656" s="58"/>
      <c r="B656" s="123"/>
      <c r="C656" s="123"/>
      <c r="D656" s="123"/>
      <c r="E656" s="123"/>
      <c r="F656" s="123"/>
      <c r="G656" s="123"/>
      <c r="H656" s="12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4"/>
      <c r="AB656" s="4"/>
      <c r="AC656" s="4"/>
    </row>
    <row r="657" spans="1:29" ht="14.25" customHeight="1">
      <c r="A657" s="58"/>
      <c r="B657" s="123"/>
      <c r="C657" s="123"/>
      <c r="D657" s="123"/>
      <c r="E657" s="123"/>
      <c r="F657" s="123"/>
      <c r="G657" s="123"/>
      <c r="H657" s="12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4"/>
      <c r="AB657" s="4"/>
      <c r="AC657" s="4"/>
    </row>
    <row r="658" spans="1:29" ht="14.25" customHeight="1">
      <c r="A658" s="58"/>
      <c r="B658" s="123"/>
      <c r="C658" s="123"/>
      <c r="D658" s="123"/>
      <c r="E658" s="123"/>
      <c r="F658" s="123"/>
      <c r="G658" s="123"/>
      <c r="H658" s="12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4"/>
      <c r="AB658" s="4"/>
      <c r="AC658" s="4"/>
    </row>
    <row r="659" spans="1:29" ht="14.25" customHeight="1">
      <c r="A659" s="58"/>
      <c r="B659" s="123"/>
      <c r="C659" s="123"/>
      <c r="D659" s="123"/>
      <c r="E659" s="123"/>
      <c r="F659" s="123"/>
      <c r="G659" s="123"/>
      <c r="H659" s="12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4"/>
      <c r="AB659" s="4"/>
      <c r="AC659" s="4"/>
    </row>
    <row r="660" spans="1:29" ht="14.25" customHeight="1">
      <c r="A660" s="58"/>
      <c r="B660" s="123"/>
      <c r="C660" s="123"/>
      <c r="D660" s="123"/>
      <c r="E660" s="123"/>
      <c r="F660" s="123"/>
      <c r="G660" s="123"/>
      <c r="H660" s="12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4"/>
      <c r="AB660" s="4"/>
      <c r="AC660" s="4"/>
    </row>
    <row r="661" spans="1:29" ht="14.25" customHeight="1">
      <c r="A661" s="58"/>
      <c r="B661" s="123"/>
      <c r="C661" s="123"/>
      <c r="D661" s="123"/>
      <c r="E661" s="123"/>
      <c r="F661" s="123"/>
      <c r="G661" s="123"/>
      <c r="H661" s="12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4"/>
      <c r="AB661" s="4"/>
      <c r="AC661" s="4"/>
    </row>
    <row r="662" spans="1:29" ht="14.25" customHeight="1">
      <c r="A662" s="58"/>
      <c r="B662" s="123"/>
      <c r="C662" s="123"/>
      <c r="D662" s="123"/>
      <c r="E662" s="123"/>
      <c r="F662" s="123"/>
      <c r="G662" s="123"/>
      <c r="H662" s="12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4"/>
      <c r="AB662" s="4"/>
      <c r="AC662" s="4"/>
    </row>
    <row r="663" spans="1:29" ht="14.25" customHeight="1">
      <c r="A663" s="58"/>
      <c r="B663" s="123"/>
      <c r="C663" s="123"/>
      <c r="D663" s="123"/>
      <c r="E663" s="123"/>
      <c r="F663" s="123"/>
      <c r="G663" s="123"/>
      <c r="H663" s="12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4"/>
      <c r="AB663" s="4"/>
      <c r="AC663" s="4"/>
    </row>
    <row r="664" spans="1:29" ht="14.25" customHeight="1">
      <c r="A664" s="58"/>
      <c r="B664" s="123"/>
      <c r="C664" s="123"/>
      <c r="D664" s="123"/>
      <c r="E664" s="123"/>
      <c r="F664" s="123"/>
      <c r="G664" s="123"/>
      <c r="H664" s="12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4"/>
      <c r="AB664" s="4"/>
      <c r="AC664" s="4"/>
    </row>
    <row r="665" spans="1:29" ht="14.25" customHeight="1">
      <c r="A665" s="58"/>
      <c r="B665" s="123"/>
      <c r="C665" s="123"/>
      <c r="D665" s="123"/>
      <c r="E665" s="123"/>
      <c r="F665" s="123"/>
      <c r="G665" s="123"/>
      <c r="H665" s="12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4"/>
      <c r="AB665" s="4"/>
      <c r="AC665" s="4"/>
    </row>
    <row r="666" spans="1:29" ht="14.25" customHeight="1">
      <c r="A666" s="58"/>
      <c r="B666" s="123"/>
      <c r="C666" s="123"/>
      <c r="D666" s="123"/>
      <c r="E666" s="123"/>
      <c r="F666" s="123"/>
      <c r="G666" s="123"/>
      <c r="H666" s="12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4"/>
      <c r="AB666" s="4"/>
      <c r="AC666" s="4"/>
    </row>
    <row r="667" spans="1:29" ht="14.25" customHeight="1">
      <c r="A667" s="58"/>
      <c r="B667" s="123"/>
      <c r="C667" s="123"/>
      <c r="D667" s="123"/>
      <c r="E667" s="123"/>
      <c r="F667" s="123"/>
      <c r="G667" s="123"/>
      <c r="H667" s="12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4"/>
      <c r="AB667" s="4"/>
      <c r="AC667" s="4"/>
    </row>
    <row r="668" spans="1:29" ht="14.25" customHeight="1">
      <c r="A668" s="58"/>
      <c r="B668" s="123"/>
      <c r="C668" s="123"/>
      <c r="D668" s="123"/>
      <c r="E668" s="123"/>
      <c r="F668" s="123"/>
      <c r="G668" s="123"/>
      <c r="H668" s="12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4"/>
      <c r="AB668" s="4"/>
      <c r="AC668" s="4"/>
    </row>
    <row r="669" spans="1:29" ht="14.25" customHeight="1">
      <c r="A669" s="58"/>
      <c r="B669" s="123"/>
      <c r="C669" s="123"/>
      <c r="D669" s="123"/>
      <c r="E669" s="123"/>
      <c r="F669" s="123"/>
      <c r="G669" s="123"/>
      <c r="H669" s="12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4"/>
      <c r="AB669" s="4"/>
      <c r="AC669" s="4"/>
    </row>
    <row r="670" spans="1:29" ht="14.25" customHeight="1">
      <c r="A670" s="58"/>
      <c r="B670" s="123"/>
      <c r="C670" s="123"/>
      <c r="D670" s="123"/>
      <c r="E670" s="123"/>
      <c r="F670" s="123"/>
      <c r="G670" s="123"/>
      <c r="H670" s="12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4"/>
      <c r="AB670" s="4"/>
      <c r="AC670" s="4"/>
    </row>
    <row r="671" spans="1:29" ht="14.25" customHeight="1">
      <c r="A671" s="58"/>
      <c r="B671" s="123"/>
      <c r="C671" s="123"/>
      <c r="D671" s="123"/>
      <c r="E671" s="123"/>
      <c r="F671" s="123"/>
      <c r="G671" s="123"/>
      <c r="H671" s="12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4"/>
      <c r="AB671" s="4"/>
      <c r="AC671" s="4"/>
    </row>
    <row r="672" spans="1:29" ht="14.25" customHeight="1">
      <c r="A672" s="58"/>
      <c r="B672" s="123"/>
      <c r="C672" s="123"/>
      <c r="D672" s="123"/>
      <c r="E672" s="123"/>
      <c r="F672" s="123"/>
      <c r="G672" s="123"/>
      <c r="H672" s="12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4"/>
      <c r="AB672" s="4"/>
      <c r="AC672" s="4"/>
    </row>
    <row r="673" spans="1:29" ht="14.25" customHeight="1">
      <c r="A673" s="58"/>
      <c r="B673" s="123"/>
      <c r="C673" s="123"/>
      <c r="D673" s="123"/>
      <c r="E673" s="123"/>
      <c r="F673" s="123"/>
      <c r="G673" s="123"/>
      <c r="H673" s="12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4"/>
      <c r="AB673" s="4"/>
      <c r="AC673" s="4"/>
    </row>
    <row r="674" spans="1:29" ht="14.25" customHeight="1">
      <c r="A674" s="58"/>
      <c r="B674" s="123"/>
      <c r="C674" s="123"/>
      <c r="D674" s="123"/>
      <c r="E674" s="123"/>
      <c r="F674" s="123"/>
      <c r="G674" s="123"/>
      <c r="H674" s="12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4"/>
      <c r="AB674" s="4"/>
      <c r="AC674" s="4"/>
    </row>
    <row r="675" spans="1:29" ht="14.25" customHeight="1">
      <c r="A675" s="58"/>
      <c r="B675" s="123"/>
      <c r="C675" s="123"/>
      <c r="D675" s="123"/>
      <c r="E675" s="123"/>
      <c r="F675" s="123"/>
      <c r="G675" s="123"/>
      <c r="H675" s="12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4"/>
      <c r="AB675" s="4"/>
      <c r="AC675" s="4"/>
    </row>
    <row r="676" spans="1:29" ht="14.25" customHeight="1">
      <c r="A676" s="58"/>
      <c r="B676" s="123"/>
      <c r="C676" s="123"/>
      <c r="D676" s="123"/>
      <c r="E676" s="123"/>
      <c r="F676" s="123"/>
      <c r="G676" s="123"/>
      <c r="H676" s="12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4"/>
      <c r="AB676" s="4"/>
      <c r="AC676" s="4"/>
    </row>
    <row r="677" spans="1:29" ht="14.25" customHeight="1">
      <c r="A677" s="58"/>
      <c r="B677" s="123"/>
      <c r="C677" s="123"/>
      <c r="D677" s="123"/>
      <c r="E677" s="123"/>
      <c r="F677" s="123"/>
      <c r="G677" s="123"/>
      <c r="H677" s="12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4"/>
      <c r="AB677" s="4"/>
      <c r="AC677" s="4"/>
    </row>
    <row r="678" spans="1:29" ht="14.25" customHeight="1">
      <c r="A678" s="58"/>
      <c r="B678" s="123"/>
      <c r="C678" s="123"/>
      <c r="D678" s="123"/>
      <c r="E678" s="123"/>
      <c r="F678" s="123"/>
      <c r="G678" s="123"/>
      <c r="H678" s="12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4"/>
      <c r="AB678" s="4"/>
      <c r="AC678" s="4"/>
    </row>
    <row r="679" spans="1:29" ht="14.25" customHeight="1">
      <c r="A679" s="58"/>
      <c r="B679" s="123"/>
      <c r="C679" s="123"/>
      <c r="D679" s="123"/>
      <c r="E679" s="123"/>
      <c r="F679" s="123"/>
      <c r="G679" s="123"/>
      <c r="H679" s="12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4"/>
      <c r="AB679" s="4"/>
      <c r="AC679" s="4"/>
    </row>
    <row r="680" spans="1:29" ht="14.25" customHeight="1">
      <c r="A680" s="58"/>
      <c r="B680" s="123"/>
      <c r="C680" s="123"/>
      <c r="D680" s="123"/>
      <c r="E680" s="123"/>
      <c r="F680" s="123"/>
      <c r="G680" s="123"/>
      <c r="H680" s="12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4"/>
      <c r="AB680" s="4"/>
      <c r="AC680" s="4"/>
    </row>
    <row r="681" spans="1:29" ht="14.25" customHeight="1">
      <c r="A681" s="58"/>
      <c r="B681" s="123"/>
      <c r="C681" s="123"/>
      <c r="D681" s="123"/>
      <c r="E681" s="123"/>
      <c r="F681" s="123"/>
      <c r="G681" s="123"/>
      <c r="H681" s="12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4"/>
      <c r="AB681" s="4"/>
      <c r="AC681" s="4"/>
    </row>
    <row r="682" spans="1:29" ht="14.25" customHeight="1">
      <c r="A682" s="58"/>
      <c r="B682" s="123"/>
      <c r="C682" s="123"/>
      <c r="D682" s="123"/>
      <c r="E682" s="123"/>
      <c r="F682" s="123"/>
      <c r="G682" s="123"/>
      <c r="H682" s="12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4"/>
      <c r="AB682" s="4"/>
      <c r="AC682" s="4"/>
    </row>
    <row r="683" spans="1:29" ht="14.25" customHeight="1">
      <c r="A683" s="58"/>
      <c r="B683" s="123"/>
      <c r="C683" s="123"/>
      <c r="D683" s="123"/>
      <c r="E683" s="123"/>
      <c r="F683" s="123"/>
      <c r="G683" s="123"/>
      <c r="H683" s="12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4"/>
      <c r="AB683" s="4"/>
      <c r="AC683" s="4"/>
    </row>
    <row r="684" spans="1:29" ht="14.25" customHeight="1">
      <c r="A684" s="58"/>
      <c r="B684" s="123"/>
      <c r="C684" s="123"/>
      <c r="D684" s="123"/>
      <c r="E684" s="123"/>
      <c r="F684" s="123"/>
      <c r="G684" s="123"/>
      <c r="H684" s="12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4"/>
      <c r="AB684" s="4"/>
      <c r="AC684" s="4"/>
    </row>
    <row r="685" spans="1:29" ht="14.25" customHeight="1">
      <c r="A685" s="58"/>
      <c r="B685" s="123"/>
      <c r="C685" s="123"/>
      <c r="D685" s="123"/>
      <c r="E685" s="123"/>
      <c r="F685" s="123"/>
      <c r="G685" s="123"/>
      <c r="H685" s="12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4"/>
      <c r="AB685" s="4"/>
      <c r="AC685" s="4"/>
    </row>
    <row r="686" spans="1:29" ht="14.25" customHeight="1">
      <c r="A686" s="58"/>
      <c r="B686" s="123"/>
      <c r="C686" s="123"/>
      <c r="D686" s="123"/>
      <c r="E686" s="123"/>
      <c r="F686" s="123"/>
      <c r="G686" s="123"/>
      <c r="H686" s="12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4"/>
      <c r="AB686" s="4"/>
      <c r="AC686" s="4"/>
    </row>
    <row r="687" spans="1:29" ht="14.25" customHeight="1">
      <c r="A687" s="58"/>
      <c r="B687" s="123"/>
      <c r="C687" s="123"/>
      <c r="D687" s="123"/>
      <c r="E687" s="123"/>
      <c r="F687" s="123"/>
      <c r="G687" s="123"/>
      <c r="H687" s="12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4"/>
      <c r="AB687" s="4"/>
      <c r="AC687" s="4"/>
    </row>
    <row r="688" spans="1:29" ht="14.25" customHeight="1">
      <c r="A688" s="58"/>
      <c r="B688" s="123"/>
      <c r="C688" s="123"/>
      <c r="D688" s="123"/>
      <c r="E688" s="123"/>
      <c r="F688" s="123"/>
      <c r="G688" s="123"/>
      <c r="H688" s="12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4"/>
      <c r="AB688" s="4"/>
      <c r="AC688" s="4"/>
    </row>
    <row r="689" spans="1:29" ht="14.25" customHeight="1">
      <c r="A689" s="58"/>
      <c r="B689" s="123"/>
      <c r="C689" s="123"/>
      <c r="D689" s="123"/>
      <c r="E689" s="123"/>
      <c r="F689" s="123"/>
      <c r="G689" s="123"/>
      <c r="H689" s="12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4"/>
      <c r="AB689" s="4"/>
      <c r="AC689" s="4"/>
    </row>
    <row r="690" spans="1:29" ht="14.25" customHeight="1">
      <c r="A690" s="58"/>
      <c r="B690" s="123"/>
      <c r="C690" s="123"/>
      <c r="D690" s="123"/>
      <c r="E690" s="123"/>
      <c r="F690" s="123"/>
      <c r="G690" s="123"/>
      <c r="H690" s="12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4"/>
      <c r="AB690" s="4"/>
      <c r="AC690" s="4"/>
    </row>
    <row r="691" spans="1:29" ht="14.25" customHeight="1">
      <c r="A691" s="58"/>
      <c r="B691" s="123"/>
      <c r="C691" s="123"/>
      <c r="D691" s="123"/>
      <c r="E691" s="123"/>
      <c r="F691" s="123"/>
      <c r="G691" s="123"/>
      <c r="H691" s="12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4"/>
      <c r="AB691" s="4"/>
      <c r="AC691" s="4"/>
    </row>
    <row r="692" spans="1:29" ht="14.25" customHeight="1">
      <c r="A692" s="58"/>
      <c r="B692" s="123"/>
      <c r="C692" s="123"/>
      <c r="D692" s="123"/>
      <c r="E692" s="123"/>
      <c r="F692" s="123"/>
      <c r="G692" s="123"/>
      <c r="H692" s="12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4"/>
      <c r="AB692" s="4"/>
      <c r="AC692" s="4"/>
    </row>
    <row r="693" spans="1:29" ht="14.25" customHeight="1">
      <c r="A693" s="58"/>
      <c r="B693" s="123"/>
      <c r="C693" s="123"/>
      <c r="D693" s="123"/>
      <c r="E693" s="123"/>
      <c r="F693" s="123"/>
      <c r="G693" s="123"/>
      <c r="H693" s="12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4"/>
      <c r="AB693" s="4"/>
      <c r="AC693" s="4"/>
    </row>
    <row r="694" spans="1:29" ht="14.25" customHeight="1">
      <c r="A694" s="58"/>
      <c r="B694" s="123"/>
      <c r="C694" s="123"/>
      <c r="D694" s="123"/>
      <c r="E694" s="123"/>
      <c r="F694" s="123"/>
      <c r="G694" s="123"/>
      <c r="H694" s="12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4"/>
      <c r="AB694" s="4"/>
      <c r="AC694" s="4"/>
    </row>
    <row r="695" spans="1:29" ht="14.25" customHeight="1">
      <c r="A695" s="58"/>
      <c r="B695" s="123"/>
      <c r="C695" s="123"/>
      <c r="D695" s="123"/>
      <c r="E695" s="123"/>
      <c r="F695" s="123"/>
      <c r="G695" s="123"/>
      <c r="H695" s="12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4"/>
      <c r="AB695" s="4"/>
      <c r="AC695" s="4"/>
    </row>
    <row r="696" spans="1:29" ht="14.25" customHeight="1">
      <c r="A696" s="58"/>
      <c r="B696" s="123"/>
      <c r="C696" s="123"/>
      <c r="D696" s="123"/>
      <c r="E696" s="123"/>
      <c r="F696" s="123"/>
      <c r="G696" s="123"/>
      <c r="H696" s="12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4"/>
      <c r="AB696" s="4"/>
      <c r="AC696" s="4"/>
    </row>
    <row r="697" spans="1:29" ht="14.25" customHeight="1">
      <c r="A697" s="58"/>
      <c r="B697" s="123"/>
      <c r="C697" s="123"/>
      <c r="D697" s="123"/>
      <c r="E697" s="123"/>
      <c r="F697" s="123"/>
      <c r="G697" s="123"/>
      <c r="H697" s="12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4"/>
      <c r="AB697" s="4"/>
      <c r="AC697" s="4"/>
    </row>
    <row r="698" spans="1:29" ht="14.25" customHeight="1">
      <c r="A698" s="58"/>
      <c r="B698" s="123"/>
      <c r="C698" s="123"/>
      <c r="D698" s="123"/>
      <c r="E698" s="123"/>
      <c r="F698" s="123"/>
      <c r="G698" s="123"/>
      <c r="H698" s="12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4"/>
      <c r="AB698" s="4"/>
      <c r="AC698" s="4"/>
    </row>
    <row r="699" spans="1:29" ht="14.25" customHeight="1">
      <c r="A699" s="58"/>
      <c r="B699" s="123"/>
      <c r="C699" s="123"/>
      <c r="D699" s="123"/>
      <c r="E699" s="123"/>
      <c r="F699" s="123"/>
      <c r="G699" s="123"/>
      <c r="H699" s="12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4"/>
      <c r="AB699" s="4"/>
      <c r="AC699" s="4"/>
    </row>
    <row r="700" spans="1:29" ht="14.25" customHeight="1">
      <c r="A700" s="58"/>
      <c r="B700" s="123"/>
      <c r="C700" s="123"/>
      <c r="D700" s="123"/>
      <c r="E700" s="123"/>
      <c r="F700" s="123"/>
      <c r="G700" s="123"/>
      <c r="H700" s="12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4"/>
      <c r="AB700" s="4"/>
      <c r="AC700" s="4"/>
    </row>
    <row r="701" spans="1:29" ht="14.25" customHeight="1">
      <c r="A701" s="58"/>
      <c r="B701" s="123"/>
      <c r="C701" s="123"/>
      <c r="D701" s="123"/>
      <c r="E701" s="123"/>
      <c r="F701" s="123"/>
      <c r="G701" s="123"/>
      <c r="H701" s="12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4"/>
      <c r="AB701" s="4"/>
      <c r="AC701" s="4"/>
    </row>
    <row r="702" spans="1:29" ht="14.25" customHeight="1">
      <c r="A702" s="58"/>
      <c r="B702" s="123"/>
      <c r="C702" s="123"/>
      <c r="D702" s="123"/>
      <c r="E702" s="123"/>
      <c r="F702" s="123"/>
      <c r="G702" s="123"/>
      <c r="H702" s="12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4"/>
      <c r="AB702" s="4"/>
      <c r="AC702" s="4"/>
    </row>
    <row r="703" spans="1:29" ht="14.25" customHeight="1">
      <c r="A703" s="58"/>
      <c r="B703" s="123"/>
      <c r="C703" s="123"/>
      <c r="D703" s="123"/>
      <c r="E703" s="123"/>
      <c r="F703" s="123"/>
      <c r="G703" s="123"/>
      <c r="H703" s="12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4"/>
      <c r="AB703" s="4"/>
      <c r="AC703" s="4"/>
    </row>
    <row r="704" spans="1:29" ht="14.25" customHeight="1">
      <c r="A704" s="58"/>
      <c r="B704" s="123"/>
      <c r="C704" s="123"/>
      <c r="D704" s="123"/>
      <c r="E704" s="123"/>
      <c r="F704" s="123"/>
      <c r="G704" s="123"/>
      <c r="H704" s="12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4"/>
      <c r="AB704" s="4"/>
      <c r="AC704" s="4"/>
    </row>
    <row r="705" spans="1:29" ht="14.25" customHeight="1">
      <c r="A705" s="58"/>
      <c r="B705" s="123"/>
      <c r="C705" s="123"/>
      <c r="D705" s="123"/>
      <c r="E705" s="123"/>
      <c r="F705" s="123"/>
      <c r="G705" s="123"/>
      <c r="H705" s="12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4"/>
      <c r="AB705" s="4"/>
      <c r="AC705" s="4"/>
    </row>
    <row r="706" spans="1:29" ht="14.25" customHeight="1">
      <c r="A706" s="58"/>
      <c r="B706" s="123"/>
      <c r="C706" s="123"/>
      <c r="D706" s="123"/>
      <c r="E706" s="123"/>
      <c r="F706" s="123"/>
      <c r="G706" s="123"/>
      <c r="H706" s="12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4"/>
      <c r="AB706" s="4"/>
      <c r="AC706" s="4"/>
    </row>
    <row r="707" spans="1:29" ht="14.25" customHeight="1">
      <c r="A707" s="58"/>
      <c r="B707" s="123"/>
      <c r="C707" s="123"/>
      <c r="D707" s="123"/>
      <c r="E707" s="123"/>
      <c r="F707" s="123"/>
      <c r="G707" s="123"/>
      <c r="H707" s="12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4"/>
      <c r="AB707" s="4"/>
      <c r="AC707" s="4"/>
    </row>
    <row r="708" spans="1:29" ht="14.25" customHeight="1">
      <c r="A708" s="58"/>
      <c r="B708" s="123"/>
      <c r="C708" s="123"/>
      <c r="D708" s="123"/>
      <c r="E708" s="123"/>
      <c r="F708" s="123"/>
      <c r="G708" s="123"/>
      <c r="H708" s="12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4"/>
      <c r="AB708" s="4"/>
      <c r="AC708" s="4"/>
    </row>
    <row r="709" spans="1:29" ht="14.25" customHeight="1">
      <c r="A709" s="58"/>
      <c r="B709" s="123"/>
      <c r="C709" s="123"/>
      <c r="D709" s="123"/>
      <c r="E709" s="123"/>
      <c r="F709" s="123"/>
      <c r="G709" s="123"/>
      <c r="H709" s="12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4"/>
      <c r="AB709" s="4"/>
      <c r="AC709" s="4"/>
    </row>
    <row r="710" spans="1:29" ht="14.25" customHeight="1">
      <c r="A710" s="58"/>
      <c r="B710" s="123"/>
      <c r="C710" s="123"/>
      <c r="D710" s="123"/>
      <c r="E710" s="123"/>
      <c r="F710" s="123"/>
      <c r="G710" s="123"/>
      <c r="H710" s="12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4"/>
      <c r="AB710" s="4"/>
      <c r="AC710" s="4"/>
    </row>
    <row r="711" spans="1:29" ht="14.25" customHeight="1">
      <c r="A711" s="58"/>
      <c r="B711" s="123"/>
      <c r="C711" s="123"/>
      <c r="D711" s="123"/>
      <c r="E711" s="123"/>
      <c r="F711" s="123"/>
      <c r="G711" s="123"/>
      <c r="H711" s="12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4"/>
      <c r="AB711" s="4"/>
      <c r="AC711" s="4"/>
    </row>
    <row r="712" spans="1:29" ht="14.25" customHeight="1">
      <c r="A712" s="58"/>
      <c r="B712" s="123"/>
      <c r="C712" s="123"/>
      <c r="D712" s="123"/>
      <c r="E712" s="123"/>
      <c r="F712" s="123"/>
      <c r="G712" s="123"/>
      <c r="H712" s="12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4"/>
      <c r="AB712" s="4"/>
      <c r="AC712" s="4"/>
    </row>
    <row r="713" spans="1:29" ht="14.25" customHeight="1">
      <c r="A713" s="58"/>
      <c r="B713" s="123"/>
      <c r="C713" s="123"/>
      <c r="D713" s="123"/>
      <c r="E713" s="123"/>
      <c r="F713" s="123"/>
      <c r="G713" s="123"/>
      <c r="H713" s="12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4"/>
      <c r="AB713" s="4"/>
      <c r="AC713" s="4"/>
    </row>
    <row r="714" spans="1:29" ht="14.25" customHeight="1">
      <c r="A714" s="58"/>
      <c r="B714" s="123"/>
      <c r="C714" s="123"/>
      <c r="D714" s="123"/>
      <c r="E714" s="123"/>
      <c r="F714" s="123"/>
      <c r="G714" s="123"/>
      <c r="H714" s="12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4"/>
      <c r="AB714" s="4"/>
      <c r="AC714" s="4"/>
    </row>
    <row r="715" spans="1:29" ht="14.25" customHeight="1">
      <c r="A715" s="58"/>
      <c r="B715" s="123"/>
      <c r="C715" s="123"/>
      <c r="D715" s="123"/>
      <c r="E715" s="123"/>
      <c r="F715" s="123"/>
      <c r="G715" s="123"/>
      <c r="H715" s="12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4"/>
      <c r="AB715" s="4"/>
      <c r="AC715" s="4"/>
    </row>
    <row r="716" spans="1:29" ht="14.25" customHeight="1">
      <c r="A716" s="58"/>
      <c r="B716" s="123"/>
      <c r="C716" s="123"/>
      <c r="D716" s="123"/>
      <c r="E716" s="123"/>
      <c r="F716" s="123"/>
      <c r="G716" s="123"/>
      <c r="H716" s="12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4"/>
      <c r="AB716" s="4"/>
      <c r="AC716" s="4"/>
    </row>
    <row r="717" spans="1:29" ht="14.25" customHeight="1">
      <c r="A717" s="58"/>
      <c r="B717" s="123"/>
      <c r="C717" s="123"/>
      <c r="D717" s="123"/>
      <c r="E717" s="123"/>
      <c r="F717" s="123"/>
      <c r="G717" s="123"/>
      <c r="H717" s="12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4"/>
      <c r="AB717" s="4"/>
      <c r="AC717" s="4"/>
    </row>
    <row r="718" spans="1:29" ht="14.25" customHeight="1">
      <c r="A718" s="58"/>
      <c r="B718" s="123"/>
      <c r="C718" s="123"/>
      <c r="D718" s="123"/>
      <c r="E718" s="123"/>
      <c r="F718" s="123"/>
      <c r="G718" s="123"/>
      <c r="H718" s="12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4"/>
      <c r="AB718" s="4"/>
      <c r="AC718" s="4"/>
    </row>
    <row r="719" spans="1:29" ht="14.25" customHeight="1">
      <c r="A719" s="58"/>
      <c r="B719" s="123"/>
      <c r="C719" s="123"/>
      <c r="D719" s="123"/>
      <c r="E719" s="123"/>
      <c r="F719" s="123"/>
      <c r="G719" s="123"/>
      <c r="H719" s="12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4"/>
      <c r="AB719" s="4"/>
      <c r="AC719" s="4"/>
    </row>
    <row r="720" spans="1:29" ht="14.25" customHeight="1">
      <c r="A720" s="58"/>
      <c r="B720" s="123"/>
      <c r="C720" s="123"/>
      <c r="D720" s="123"/>
      <c r="E720" s="123"/>
      <c r="F720" s="123"/>
      <c r="G720" s="123"/>
      <c r="H720" s="12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4"/>
      <c r="AB720" s="4"/>
      <c r="AC720" s="4"/>
    </row>
    <row r="721" spans="1:29" ht="14.25" customHeight="1">
      <c r="A721" s="58"/>
      <c r="B721" s="123"/>
      <c r="C721" s="123"/>
      <c r="D721" s="123"/>
      <c r="E721" s="123"/>
      <c r="F721" s="123"/>
      <c r="G721" s="123"/>
      <c r="H721" s="12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4"/>
      <c r="AB721" s="4"/>
      <c r="AC721" s="4"/>
    </row>
    <row r="722" spans="1:29" ht="14.25" customHeight="1">
      <c r="A722" s="58"/>
      <c r="B722" s="123"/>
      <c r="C722" s="123"/>
      <c r="D722" s="123"/>
      <c r="E722" s="123"/>
      <c r="F722" s="123"/>
      <c r="G722" s="123"/>
      <c r="H722" s="12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4"/>
      <c r="AB722" s="4"/>
      <c r="AC722" s="4"/>
    </row>
    <row r="723" spans="1:29" ht="14.25" customHeight="1">
      <c r="A723" s="58"/>
      <c r="B723" s="123"/>
      <c r="C723" s="123"/>
      <c r="D723" s="123"/>
      <c r="E723" s="123"/>
      <c r="F723" s="123"/>
      <c r="G723" s="123"/>
      <c r="H723" s="12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4"/>
      <c r="AB723" s="4"/>
      <c r="AC723" s="4"/>
    </row>
    <row r="724" spans="1:29" ht="14.25" customHeight="1">
      <c r="A724" s="58"/>
      <c r="B724" s="123"/>
      <c r="C724" s="123"/>
      <c r="D724" s="123"/>
      <c r="E724" s="123"/>
      <c r="F724" s="123"/>
      <c r="G724" s="123"/>
      <c r="H724" s="12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4"/>
      <c r="AB724" s="4"/>
      <c r="AC724" s="4"/>
    </row>
    <row r="725" spans="1:29" ht="14.25" customHeight="1">
      <c r="A725" s="58"/>
      <c r="B725" s="123"/>
      <c r="C725" s="123"/>
      <c r="D725" s="123"/>
      <c r="E725" s="123"/>
      <c r="F725" s="123"/>
      <c r="G725" s="123"/>
      <c r="H725" s="12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4"/>
      <c r="AB725" s="4"/>
      <c r="AC725" s="4"/>
    </row>
    <row r="726" spans="1:29" ht="14.25" customHeight="1">
      <c r="A726" s="58"/>
      <c r="B726" s="123"/>
      <c r="C726" s="123"/>
      <c r="D726" s="123"/>
      <c r="E726" s="123"/>
      <c r="F726" s="123"/>
      <c r="G726" s="123"/>
      <c r="H726" s="12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4"/>
      <c r="AB726" s="4"/>
      <c r="AC726" s="4"/>
    </row>
    <row r="727" spans="1:29" ht="14.25" customHeight="1">
      <c r="A727" s="58"/>
      <c r="B727" s="123"/>
      <c r="C727" s="123"/>
      <c r="D727" s="123"/>
      <c r="E727" s="123"/>
      <c r="F727" s="123"/>
      <c r="G727" s="123"/>
      <c r="H727" s="12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4"/>
      <c r="AB727" s="4"/>
      <c r="AC727" s="4"/>
    </row>
    <row r="728" spans="1:29" ht="14.25" customHeight="1">
      <c r="A728" s="58"/>
      <c r="B728" s="123"/>
      <c r="C728" s="123"/>
      <c r="D728" s="123"/>
      <c r="E728" s="123"/>
      <c r="F728" s="123"/>
      <c r="G728" s="123"/>
      <c r="H728" s="12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4"/>
      <c r="AB728" s="4"/>
      <c r="AC728" s="4"/>
    </row>
    <row r="729" spans="1:29" ht="14.25" customHeight="1">
      <c r="A729" s="58"/>
      <c r="B729" s="123"/>
      <c r="C729" s="123"/>
      <c r="D729" s="123"/>
      <c r="E729" s="123"/>
      <c r="F729" s="123"/>
      <c r="G729" s="123"/>
      <c r="H729" s="12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4"/>
      <c r="AB729" s="4"/>
      <c r="AC729" s="4"/>
    </row>
    <row r="730" spans="1:29" ht="14.25" customHeight="1">
      <c r="A730" s="58"/>
      <c r="B730" s="123"/>
      <c r="C730" s="123"/>
      <c r="D730" s="123"/>
      <c r="E730" s="123"/>
      <c r="F730" s="123"/>
      <c r="G730" s="123"/>
      <c r="H730" s="12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4"/>
      <c r="AB730" s="4"/>
      <c r="AC730" s="4"/>
    </row>
    <row r="731" spans="1:29" ht="14.25" customHeight="1">
      <c r="A731" s="58"/>
      <c r="B731" s="123"/>
      <c r="C731" s="123"/>
      <c r="D731" s="123"/>
      <c r="E731" s="123"/>
      <c r="F731" s="123"/>
      <c r="G731" s="123"/>
      <c r="H731" s="12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4"/>
      <c r="AB731" s="4"/>
      <c r="AC731" s="4"/>
    </row>
    <row r="732" spans="1:29" ht="14.25" customHeight="1">
      <c r="A732" s="58"/>
      <c r="B732" s="123"/>
      <c r="C732" s="123"/>
      <c r="D732" s="123"/>
      <c r="E732" s="123"/>
      <c r="F732" s="123"/>
      <c r="G732" s="123"/>
      <c r="H732" s="12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4"/>
      <c r="AB732" s="4"/>
      <c r="AC732" s="4"/>
    </row>
    <row r="733" spans="1:29" ht="14.25" customHeight="1">
      <c r="A733" s="58"/>
      <c r="B733" s="123"/>
      <c r="C733" s="123"/>
      <c r="D733" s="123"/>
      <c r="E733" s="123"/>
      <c r="F733" s="123"/>
      <c r="G733" s="123"/>
      <c r="H733" s="12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4"/>
      <c r="AB733" s="4"/>
      <c r="AC733" s="4"/>
    </row>
    <row r="734" spans="1:29" ht="14.25" customHeight="1">
      <c r="A734" s="58"/>
      <c r="B734" s="123"/>
      <c r="C734" s="123"/>
      <c r="D734" s="123"/>
      <c r="E734" s="123"/>
      <c r="F734" s="123"/>
      <c r="G734" s="123"/>
      <c r="H734" s="12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4"/>
      <c r="AB734" s="4"/>
      <c r="AC734" s="4"/>
    </row>
    <row r="735" spans="1:29" ht="14.25" customHeight="1">
      <c r="A735" s="58"/>
      <c r="B735" s="123"/>
      <c r="C735" s="123"/>
      <c r="D735" s="123"/>
      <c r="E735" s="123"/>
      <c r="F735" s="123"/>
      <c r="G735" s="123"/>
      <c r="H735" s="12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4"/>
      <c r="AB735" s="4"/>
      <c r="AC735" s="4"/>
    </row>
    <row r="736" spans="1:29" ht="14.25" customHeight="1">
      <c r="A736" s="58"/>
      <c r="B736" s="123"/>
      <c r="C736" s="123"/>
      <c r="D736" s="123"/>
      <c r="E736" s="123"/>
      <c r="F736" s="123"/>
      <c r="G736" s="123"/>
      <c r="H736" s="12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4"/>
      <c r="AB736" s="4"/>
      <c r="AC736" s="4"/>
    </row>
    <row r="737" spans="1:29" ht="14.25" customHeight="1">
      <c r="A737" s="58"/>
      <c r="B737" s="123"/>
      <c r="C737" s="123"/>
      <c r="D737" s="123"/>
      <c r="E737" s="123"/>
      <c r="F737" s="123"/>
      <c r="G737" s="123"/>
      <c r="H737" s="12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4"/>
      <c r="AB737" s="4"/>
      <c r="AC737" s="4"/>
    </row>
    <row r="738" spans="1:29" ht="14.25" customHeight="1">
      <c r="A738" s="58"/>
      <c r="B738" s="123"/>
      <c r="C738" s="123"/>
      <c r="D738" s="123"/>
      <c r="E738" s="123"/>
      <c r="F738" s="123"/>
      <c r="G738" s="123"/>
      <c r="H738" s="12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4"/>
      <c r="AB738" s="4"/>
      <c r="AC738" s="4"/>
    </row>
    <row r="739" spans="1:29" ht="14.25" customHeight="1">
      <c r="A739" s="58"/>
      <c r="B739" s="123"/>
      <c r="C739" s="123"/>
      <c r="D739" s="123"/>
      <c r="E739" s="123"/>
      <c r="F739" s="123"/>
      <c r="G739" s="123"/>
      <c r="H739" s="12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4"/>
      <c r="AB739" s="4"/>
      <c r="AC739" s="4"/>
    </row>
    <row r="740" spans="1:29" ht="14.25" customHeight="1">
      <c r="A740" s="58"/>
      <c r="B740" s="123"/>
      <c r="C740" s="123"/>
      <c r="D740" s="123"/>
      <c r="E740" s="123"/>
      <c r="F740" s="123"/>
      <c r="G740" s="123"/>
      <c r="H740" s="12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4"/>
      <c r="AB740" s="4"/>
      <c r="AC740" s="4"/>
    </row>
    <row r="741" spans="1:29" ht="14.25" customHeight="1">
      <c r="A741" s="58"/>
      <c r="B741" s="123"/>
      <c r="C741" s="123"/>
      <c r="D741" s="123"/>
      <c r="E741" s="123"/>
      <c r="F741" s="123"/>
      <c r="G741" s="123"/>
      <c r="H741" s="12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4"/>
      <c r="AB741" s="4"/>
      <c r="AC741" s="4"/>
    </row>
    <row r="742" spans="1:29" ht="14.25" customHeight="1">
      <c r="A742" s="58"/>
      <c r="B742" s="123"/>
      <c r="C742" s="123"/>
      <c r="D742" s="123"/>
      <c r="E742" s="123"/>
      <c r="F742" s="123"/>
      <c r="G742" s="123"/>
      <c r="H742" s="12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4"/>
      <c r="AB742" s="4"/>
      <c r="AC742" s="4"/>
    </row>
    <row r="743" spans="1:29" ht="14.25" customHeight="1">
      <c r="A743" s="58"/>
      <c r="B743" s="123"/>
      <c r="C743" s="123"/>
      <c r="D743" s="123"/>
      <c r="E743" s="123"/>
      <c r="F743" s="123"/>
      <c r="G743" s="123"/>
      <c r="H743" s="12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4"/>
      <c r="AB743" s="4"/>
      <c r="AC743" s="4"/>
    </row>
    <row r="744" spans="1:29" ht="14.25" customHeight="1">
      <c r="A744" s="58"/>
      <c r="B744" s="123"/>
      <c r="C744" s="123"/>
      <c r="D744" s="123"/>
      <c r="E744" s="123"/>
      <c r="F744" s="123"/>
      <c r="G744" s="123"/>
      <c r="H744" s="12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4"/>
      <c r="AB744" s="4"/>
      <c r="AC744" s="4"/>
    </row>
    <row r="745" spans="1:29" ht="14.25" customHeight="1">
      <c r="A745" s="58"/>
      <c r="B745" s="123"/>
      <c r="C745" s="123"/>
      <c r="D745" s="123"/>
      <c r="E745" s="123"/>
      <c r="F745" s="123"/>
      <c r="G745" s="123"/>
      <c r="H745" s="12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4"/>
      <c r="AB745" s="4"/>
      <c r="AC745" s="4"/>
    </row>
    <row r="746" spans="1:29" ht="14.25" customHeight="1">
      <c r="A746" s="58"/>
      <c r="B746" s="123"/>
      <c r="C746" s="123"/>
      <c r="D746" s="123"/>
      <c r="E746" s="123"/>
      <c r="F746" s="123"/>
      <c r="G746" s="123"/>
      <c r="H746" s="12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4"/>
      <c r="AB746" s="4"/>
      <c r="AC746" s="4"/>
    </row>
    <row r="747" spans="1:29" ht="14.25" customHeight="1">
      <c r="A747" s="58"/>
      <c r="B747" s="123"/>
      <c r="C747" s="123"/>
      <c r="D747" s="123"/>
      <c r="E747" s="123"/>
      <c r="F747" s="123"/>
      <c r="G747" s="123"/>
      <c r="H747" s="12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4"/>
      <c r="AB747" s="4"/>
      <c r="AC747" s="4"/>
    </row>
    <row r="748" spans="1:29" ht="14.25" customHeight="1">
      <c r="A748" s="58"/>
      <c r="B748" s="123"/>
      <c r="C748" s="123"/>
      <c r="D748" s="123"/>
      <c r="E748" s="123"/>
      <c r="F748" s="123"/>
      <c r="G748" s="123"/>
      <c r="H748" s="12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4"/>
      <c r="AB748" s="4"/>
      <c r="AC748" s="4"/>
    </row>
    <row r="749" spans="1:29" ht="14.25" customHeight="1">
      <c r="A749" s="58"/>
      <c r="B749" s="123"/>
      <c r="C749" s="123"/>
      <c r="D749" s="123"/>
      <c r="E749" s="123"/>
      <c r="F749" s="123"/>
      <c r="G749" s="123"/>
      <c r="H749" s="12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4"/>
      <c r="AB749" s="4"/>
      <c r="AC749" s="4"/>
    </row>
    <row r="750" spans="1:29" ht="14.25" customHeight="1">
      <c r="A750" s="58"/>
      <c r="B750" s="123"/>
      <c r="C750" s="123"/>
      <c r="D750" s="123"/>
      <c r="E750" s="123"/>
      <c r="F750" s="123"/>
      <c r="G750" s="123"/>
      <c r="H750" s="12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4"/>
      <c r="AB750" s="4"/>
      <c r="AC750" s="4"/>
    </row>
    <row r="751" spans="1:29" ht="14.25" customHeight="1">
      <c r="A751" s="58"/>
      <c r="B751" s="123"/>
      <c r="C751" s="123"/>
      <c r="D751" s="123"/>
      <c r="E751" s="123"/>
      <c r="F751" s="123"/>
      <c r="G751" s="123"/>
      <c r="H751" s="12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4"/>
      <c r="AB751" s="4"/>
      <c r="AC751" s="4"/>
    </row>
    <row r="752" spans="1:29" ht="14.25" customHeight="1">
      <c r="A752" s="58"/>
      <c r="B752" s="123"/>
      <c r="C752" s="123"/>
      <c r="D752" s="123"/>
      <c r="E752" s="123"/>
      <c r="F752" s="123"/>
      <c r="G752" s="123"/>
      <c r="H752" s="12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4"/>
      <c r="AB752" s="4"/>
      <c r="AC752" s="4"/>
    </row>
    <row r="753" spans="1:29" ht="14.25" customHeight="1">
      <c r="A753" s="58"/>
      <c r="B753" s="123"/>
      <c r="C753" s="123"/>
      <c r="D753" s="123"/>
      <c r="E753" s="123"/>
      <c r="F753" s="123"/>
      <c r="G753" s="123"/>
      <c r="H753" s="12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4"/>
      <c r="AB753" s="4"/>
      <c r="AC753" s="4"/>
    </row>
    <row r="754" spans="1:29" ht="14.25" customHeight="1">
      <c r="A754" s="58"/>
      <c r="B754" s="123"/>
      <c r="C754" s="123"/>
      <c r="D754" s="123"/>
      <c r="E754" s="123"/>
      <c r="F754" s="123"/>
      <c r="G754" s="123"/>
      <c r="H754" s="12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4"/>
      <c r="AB754" s="4"/>
      <c r="AC754" s="4"/>
    </row>
    <row r="755" spans="1:29" ht="14.25" customHeight="1">
      <c r="A755" s="58"/>
      <c r="B755" s="123"/>
      <c r="C755" s="123"/>
      <c r="D755" s="123"/>
      <c r="E755" s="123"/>
      <c r="F755" s="123"/>
      <c r="G755" s="123"/>
      <c r="H755" s="12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4"/>
      <c r="AB755" s="4"/>
      <c r="AC755" s="4"/>
    </row>
    <row r="756" spans="1:29" ht="14.25" customHeight="1">
      <c r="A756" s="58"/>
      <c r="B756" s="123"/>
      <c r="C756" s="123"/>
      <c r="D756" s="123"/>
      <c r="E756" s="123"/>
      <c r="F756" s="123"/>
      <c r="G756" s="123"/>
      <c r="H756" s="12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4"/>
      <c r="AB756" s="4"/>
      <c r="AC756" s="4"/>
    </row>
    <row r="757" spans="1:29" ht="14.25" customHeight="1">
      <c r="A757" s="58"/>
      <c r="B757" s="123"/>
      <c r="C757" s="123"/>
      <c r="D757" s="123"/>
      <c r="E757" s="123"/>
      <c r="F757" s="123"/>
      <c r="G757" s="123"/>
      <c r="H757" s="12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4"/>
      <c r="AB757" s="4"/>
      <c r="AC757" s="4"/>
    </row>
    <row r="758" spans="1:29" ht="14.25" customHeight="1">
      <c r="A758" s="58"/>
      <c r="B758" s="123"/>
      <c r="C758" s="123"/>
      <c r="D758" s="123"/>
      <c r="E758" s="123"/>
      <c r="F758" s="123"/>
      <c r="G758" s="123"/>
      <c r="H758" s="12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4"/>
      <c r="AB758" s="4"/>
      <c r="AC758" s="4"/>
    </row>
    <row r="759" spans="1:29" ht="14.25" customHeight="1">
      <c r="A759" s="58"/>
      <c r="B759" s="123"/>
      <c r="C759" s="123"/>
      <c r="D759" s="123"/>
      <c r="E759" s="123"/>
      <c r="F759" s="123"/>
      <c r="G759" s="123"/>
      <c r="H759" s="12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4"/>
      <c r="AB759" s="4"/>
      <c r="AC759" s="4"/>
    </row>
    <row r="760" spans="1:29" ht="14.25" customHeight="1">
      <c r="A760" s="58"/>
      <c r="B760" s="123"/>
      <c r="C760" s="123"/>
      <c r="D760" s="123"/>
      <c r="E760" s="123"/>
      <c r="F760" s="123"/>
      <c r="G760" s="123"/>
      <c r="H760" s="12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4"/>
      <c r="AB760" s="4"/>
      <c r="AC760" s="4"/>
    </row>
    <row r="761" spans="1:29" ht="14.25" customHeight="1">
      <c r="A761" s="58"/>
      <c r="B761" s="123"/>
      <c r="C761" s="123"/>
      <c r="D761" s="123"/>
      <c r="E761" s="123"/>
      <c r="F761" s="123"/>
      <c r="G761" s="123"/>
      <c r="H761" s="12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4"/>
      <c r="AB761" s="4"/>
      <c r="AC761" s="4"/>
    </row>
    <row r="762" spans="1:29" ht="14.25" customHeight="1">
      <c r="A762" s="58"/>
      <c r="B762" s="123"/>
      <c r="C762" s="123"/>
      <c r="D762" s="123"/>
      <c r="E762" s="123"/>
      <c r="F762" s="123"/>
      <c r="G762" s="123"/>
      <c r="H762" s="12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4"/>
      <c r="AB762" s="4"/>
      <c r="AC762" s="4"/>
    </row>
    <row r="763" spans="1:29" ht="14.25" customHeight="1">
      <c r="A763" s="58"/>
      <c r="B763" s="123"/>
      <c r="C763" s="123"/>
      <c r="D763" s="123"/>
      <c r="E763" s="123"/>
      <c r="F763" s="123"/>
      <c r="G763" s="123"/>
      <c r="H763" s="12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4"/>
      <c r="AB763" s="4"/>
      <c r="AC763" s="4"/>
    </row>
    <row r="764" spans="1:29" ht="14.25" customHeight="1">
      <c r="A764" s="58"/>
      <c r="B764" s="123"/>
      <c r="C764" s="123"/>
      <c r="D764" s="123"/>
      <c r="E764" s="123"/>
      <c r="F764" s="123"/>
      <c r="G764" s="123"/>
      <c r="H764" s="12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4"/>
      <c r="AB764" s="4"/>
      <c r="AC764" s="4"/>
    </row>
    <row r="765" spans="1:29" ht="14.25" customHeight="1">
      <c r="A765" s="58"/>
      <c r="B765" s="123"/>
      <c r="C765" s="123"/>
      <c r="D765" s="123"/>
      <c r="E765" s="123"/>
      <c r="F765" s="123"/>
      <c r="G765" s="123"/>
      <c r="H765" s="12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4"/>
      <c r="AB765" s="4"/>
      <c r="AC765" s="4"/>
    </row>
    <row r="766" spans="1:29" ht="14.25" customHeight="1">
      <c r="A766" s="58"/>
      <c r="B766" s="123"/>
      <c r="C766" s="123"/>
      <c r="D766" s="123"/>
      <c r="E766" s="123"/>
      <c r="F766" s="123"/>
      <c r="G766" s="123"/>
      <c r="H766" s="12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4"/>
      <c r="AB766" s="4"/>
      <c r="AC766" s="4"/>
    </row>
    <row r="767" spans="1:29" ht="14.25" customHeight="1">
      <c r="A767" s="58"/>
      <c r="B767" s="123"/>
      <c r="C767" s="123"/>
      <c r="D767" s="123"/>
      <c r="E767" s="123"/>
      <c r="F767" s="123"/>
      <c r="G767" s="123"/>
      <c r="H767" s="12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4"/>
      <c r="AB767" s="4"/>
      <c r="AC767" s="4"/>
    </row>
    <row r="768" spans="1:29" ht="14.25" customHeight="1">
      <c r="A768" s="58"/>
      <c r="B768" s="123"/>
      <c r="C768" s="123"/>
      <c r="D768" s="123"/>
      <c r="E768" s="123"/>
      <c r="F768" s="123"/>
      <c r="G768" s="123"/>
      <c r="H768" s="12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4"/>
      <c r="AB768" s="4"/>
      <c r="AC768" s="4"/>
    </row>
    <row r="769" spans="1:29" ht="14.25" customHeight="1">
      <c r="A769" s="58"/>
      <c r="B769" s="123"/>
      <c r="C769" s="123"/>
      <c r="D769" s="123"/>
      <c r="E769" s="123"/>
      <c r="F769" s="123"/>
      <c r="G769" s="123"/>
      <c r="H769" s="12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4"/>
      <c r="AB769" s="4"/>
      <c r="AC769" s="4"/>
    </row>
    <row r="770" spans="1:29" ht="14.25" customHeight="1">
      <c r="A770" s="58"/>
      <c r="B770" s="123"/>
      <c r="C770" s="123"/>
      <c r="D770" s="123"/>
      <c r="E770" s="123"/>
      <c r="F770" s="123"/>
      <c r="G770" s="123"/>
      <c r="H770" s="12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4"/>
      <c r="AB770" s="4"/>
      <c r="AC770" s="4"/>
    </row>
    <row r="771" spans="1:29" ht="14.25" customHeight="1">
      <c r="A771" s="58"/>
      <c r="B771" s="123"/>
      <c r="C771" s="123"/>
      <c r="D771" s="123"/>
      <c r="E771" s="123"/>
      <c r="F771" s="123"/>
      <c r="G771" s="123"/>
      <c r="H771" s="12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4"/>
      <c r="AB771" s="4"/>
      <c r="AC771" s="4"/>
    </row>
    <row r="772" spans="1:29" ht="14.25" customHeight="1">
      <c r="A772" s="58"/>
      <c r="B772" s="123"/>
      <c r="C772" s="123"/>
      <c r="D772" s="123"/>
      <c r="E772" s="123"/>
      <c r="F772" s="123"/>
      <c r="G772" s="123"/>
      <c r="H772" s="12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4"/>
      <c r="AB772" s="4"/>
      <c r="AC772" s="4"/>
    </row>
    <row r="773" spans="1:29" ht="14.25" customHeight="1">
      <c r="A773" s="58"/>
      <c r="B773" s="123"/>
      <c r="C773" s="123"/>
      <c r="D773" s="123"/>
      <c r="E773" s="123"/>
      <c r="F773" s="123"/>
      <c r="G773" s="123"/>
      <c r="H773" s="12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4"/>
      <c r="AB773" s="4"/>
      <c r="AC773" s="4"/>
    </row>
    <row r="774" spans="1:29" ht="14.25" customHeight="1">
      <c r="A774" s="58"/>
      <c r="B774" s="123"/>
      <c r="C774" s="123"/>
      <c r="D774" s="123"/>
      <c r="E774" s="123"/>
      <c r="F774" s="123"/>
      <c r="G774" s="123"/>
      <c r="H774" s="12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4"/>
      <c r="AB774" s="4"/>
      <c r="AC774" s="4"/>
    </row>
    <row r="775" spans="1:29" ht="14.25" customHeight="1">
      <c r="A775" s="58"/>
      <c r="B775" s="123"/>
      <c r="C775" s="123"/>
      <c r="D775" s="123"/>
      <c r="E775" s="123"/>
      <c r="F775" s="123"/>
      <c r="G775" s="123"/>
      <c r="H775" s="12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4"/>
      <c r="AB775" s="4"/>
      <c r="AC775" s="4"/>
    </row>
    <row r="776" spans="1:29" ht="14.25" customHeight="1">
      <c r="A776" s="58"/>
      <c r="B776" s="123"/>
      <c r="C776" s="123"/>
      <c r="D776" s="123"/>
      <c r="E776" s="123"/>
      <c r="F776" s="123"/>
      <c r="G776" s="123"/>
      <c r="H776" s="12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4"/>
      <c r="AB776" s="4"/>
      <c r="AC776" s="4"/>
    </row>
    <row r="777" spans="1:29" ht="14.25" customHeight="1">
      <c r="A777" s="58"/>
      <c r="B777" s="123"/>
      <c r="C777" s="123"/>
      <c r="D777" s="123"/>
      <c r="E777" s="123"/>
      <c r="F777" s="123"/>
      <c r="G777" s="123"/>
      <c r="H777" s="12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4"/>
      <c r="AB777" s="4"/>
      <c r="AC777" s="4"/>
    </row>
    <row r="778" spans="1:29" ht="14.25" customHeight="1">
      <c r="A778" s="58"/>
      <c r="B778" s="123"/>
      <c r="C778" s="123"/>
      <c r="D778" s="123"/>
      <c r="E778" s="123"/>
      <c r="F778" s="123"/>
      <c r="G778" s="123"/>
      <c r="H778" s="12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4"/>
      <c r="AB778" s="4"/>
      <c r="AC778" s="4"/>
    </row>
    <row r="779" spans="1:29" ht="14.25" customHeight="1">
      <c r="A779" s="58"/>
      <c r="B779" s="123"/>
      <c r="C779" s="123"/>
      <c r="D779" s="123"/>
      <c r="E779" s="123"/>
      <c r="F779" s="123"/>
      <c r="G779" s="123"/>
      <c r="H779" s="12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4"/>
      <c r="AB779" s="4"/>
      <c r="AC779" s="4"/>
    </row>
    <row r="780" spans="1:29" ht="14.25" customHeight="1">
      <c r="A780" s="58"/>
      <c r="B780" s="123"/>
      <c r="C780" s="123"/>
      <c r="D780" s="123"/>
      <c r="E780" s="123"/>
      <c r="F780" s="123"/>
      <c r="G780" s="123"/>
      <c r="H780" s="12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4"/>
      <c r="AB780" s="4"/>
      <c r="AC780" s="4"/>
    </row>
    <row r="781" spans="1:29" ht="14.25" customHeight="1">
      <c r="A781" s="58"/>
      <c r="B781" s="123"/>
      <c r="C781" s="123"/>
      <c r="D781" s="123"/>
      <c r="E781" s="123"/>
      <c r="F781" s="123"/>
      <c r="G781" s="123"/>
      <c r="H781" s="12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4"/>
      <c r="AB781" s="4"/>
      <c r="AC781" s="4"/>
    </row>
    <row r="782" spans="1:29" ht="14.25" customHeight="1">
      <c r="A782" s="58"/>
      <c r="B782" s="123"/>
      <c r="C782" s="123"/>
      <c r="D782" s="123"/>
      <c r="E782" s="123"/>
      <c r="F782" s="123"/>
      <c r="G782" s="123"/>
      <c r="H782" s="12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4"/>
      <c r="AB782" s="4"/>
      <c r="AC782" s="4"/>
    </row>
    <row r="783" spans="1:29" ht="14.25" customHeight="1">
      <c r="A783" s="58"/>
      <c r="B783" s="123"/>
      <c r="C783" s="123"/>
      <c r="D783" s="123"/>
      <c r="E783" s="123"/>
      <c r="F783" s="123"/>
      <c r="G783" s="123"/>
      <c r="H783" s="12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4"/>
      <c r="AB783" s="4"/>
      <c r="AC783" s="4"/>
    </row>
    <row r="784" spans="1:29" ht="14.25" customHeight="1">
      <c r="A784" s="58"/>
      <c r="B784" s="123"/>
      <c r="C784" s="123"/>
      <c r="D784" s="123"/>
      <c r="E784" s="123"/>
      <c r="F784" s="123"/>
      <c r="G784" s="123"/>
      <c r="H784" s="12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4"/>
      <c r="AB784" s="4"/>
      <c r="AC784" s="4"/>
    </row>
    <row r="785" spans="1:29" ht="14.25" customHeight="1">
      <c r="A785" s="58"/>
      <c r="B785" s="123"/>
      <c r="C785" s="123"/>
      <c r="D785" s="123"/>
      <c r="E785" s="123"/>
      <c r="F785" s="123"/>
      <c r="G785" s="123"/>
      <c r="H785" s="12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4"/>
      <c r="AB785" s="4"/>
      <c r="AC785" s="4"/>
    </row>
    <row r="786" spans="1:29" ht="14.25" customHeight="1">
      <c r="A786" s="58"/>
      <c r="B786" s="123"/>
      <c r="C786" s="123"/>
      <c r="D786" s="123"/>
      <c r="E786" s="123"/>
      <c r="F786" s="123"/>
      <c r="G786" s="123"/>
      <c r="H786" s="12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4"/>
      <c r="AB786" s="4"/>
      <c r="AC786" s="4"/>
    </row>
    <row r="787" spans="1:29" ht="14.25" customHeight="1">
      <c r="A787" s="58"/>
      <c r="B787" s="123"/>
      <c r="C787" s="123"/>
      <c r="D787" s="123"/>
      <c r="E787" s="123"/>
      <c r="F787" s="123"/>
      <c r="G787" s="123"/>
      <c r="H787" s="12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4"/>
      <c r="AB787" s="4"/>
      <c r="AC787" s="4"/>
    </row>
    <row r="788" spans="1:29" ht="14.25" customHeight="1">
      <c r="A788" s="58"/>
      <c r="B788" s="123"/>
      <c r="C788" s="123"/>
      <c r="D788" s="123"/>
      <c r="E788" s="123"/>
      <c r="F788" s="123"/>
      <c r="G788" s="123"/>
      <c r="H788" s="12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4"/>
      <c r="AB788" s="4"/>
      <c r="AC788" s="4"/>
    </row>
    <row r="789" spans="1:29" ht="14.25" customHeight="1">
      <c r="A789" s="58"/>
      <c r="B789" s="123"/>
      <c r="C789" s="123"/>
      <c r="D789" s="123"/>
      <c r="E789" s="123"/>
      <c r="F789" s="123"/>
      <c r="G789" s="123"/>
      <c r="H789" s="12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4"/>
      <c r="AB789" s="4"/>
      <c r="AC789" s="4"/>
    </row>
    <row r="790" spans="1:29" ht="14.25" customHeight="1">
      <c r="A790" s="58"/>
      <c r="B790" s="123"/>
      <c r="C790" s="123"/>
      <c r="D790" s="123"/>
      <c r="E790" s="123"/>
      <c r="F790" s="123"/>
      <c r="G790" s="123"/>
      <c r="H790" s="12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4"/>
      <c r="AB790" s="4"/>
      <c r="AC790" s="4"/>
    </row>
    <row r="791" spans="1:29" ht="14.25" customHeight="1">
      <c r="A791" s="58"/>
      <c r="B791" s="123"/>
      <c r="C791" s="123"/>
      <c r="D791" s="123"/>
      <c r="E791" s="123"/>
      <c r="F791" s="123"/>
      <c r="G791" s="123"/>
      <c r="H791" s="12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4"/>
      <c r="AB791" s="4"/>
      <c r="AC791" s="4"/>
    </row>
    <row r="792" spans="1:29" ht="14.25" customHeight="1">
      <c r="A792" s="58"/>
      <c r="B792" s="123"/>
      <c r="C792" s="123"/>
      <c r="D792" s="123"/>
      <c r="E792" s="123"/>
      <c r="F792" s="123"/>
      <c r="G792" s="123"/>
      <c r="H792" s="12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4"/>
      <c r="AB792" s="4"/>
      <c r="AC792" s="4"/>
    </row>
    <row r="793" spans="1:29" ht="14.25" customHeight="1">
      <c r="A793" s="58"/>
      <c r="B793" s="123"/>
      <c r="C793" s="123"/>
      <c r="D793" s="123"/>
      <c r="E793" s="123"/>
      <c r="F793" s="123"/>
      <c r="G793" s="123"/>
      <c r="H793" s="12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4"/>
      <c r="AB793" s="4"/>
      <c r="AC793" s="4"/>
    </row>
    <row r="794" spans="1:29" ht="14.25" customHeight="1">
      <c r="A794" s="58"/>
      <c r="B794" s="123"/>
      <c r="C794" s="123"/>
      <c r="D794" s="123"/>
      <c r="E794" s="123"/>
      <c r="F794" s="123"/>
      <c r="G794" s="123"/>
      <c r="H794" s="12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4"/>
      <c r="AB794" s="4"/>
      <c r="AC794" s="4"/>
    </row>
    <row r="795" spans="1:29" ht="14.25" customHeight="1">
      <c r="A795" s="58"/>
      <c r="B795" s="123"/>
      <c r="C795" s="123"/>
      <c r="D795" s="123"/>
      <c r="E795" s="123"/>
      <c r="F795" s="123"/>
      <c r="G795" s="123"/>
      <c r="H795" s="12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4"/>
      <c r="AB795" s="4"/>
      <c r="AC795" s="4"/>
    </row>
    <row r="796" spans="1:29" ht="14.25" customHeight="1">
      <c r="A796" s="58"/>
      <c r="B796" s="123"/>
      <c r="C796" s="123"/>
      <c r="D796" s="123"/>
      <c r="E796" s="123"/>
      <c r="F796" s="123"/>
      <c r="G796" s="123"/>
      <c r="H796" s="12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4"/>
      <c r="AB796" s="4"/>
      <c r="AC796" s="4"/>
    </row>
    <row r="797" spans="1:29" ht="14.25" customHeight="1">
      <c r="A797" s="58"/>
      <c r="B797" s="123"/>
      <c r="C797" s="123"/>
      <c r="D797" s="123"/>
      <c r="E797" s="123"/>
      <c r="F797" s="123"/>
      <c r="G797" s="123"/>
      <c r="H797" s="12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4"/>
      <c r="AB797" s="4"/>
      <c r="AC797" s="4"/>
    </row>
    <row r="798" spans="1:29" ht="14.25" customHeight="1">
      <c r="A798" s="58"/>
      <c r="B798" s="123"/>
      <c r="C798" s="123"/>
      <c r="D798" s="123"/>
      <c r="E798" s="123"/>
      <c r="F798" s="123"/>
      <c r="G798" s="123"/>
      <c r="H798" s="12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4"/>
      <c r="AB798" s="4"/>
      <c r="AC798" s="4"/>
    </row>
    <row r="799" spans="1:29" ht="14.25" customHeight="1">
      <c r="A799" s="58"/>
      <c r="B799" s="123"/>
      <c r="C799" s="123"/>
      <c r="D799" s="123"/>
      <c r="E799" s="123"/>
      <c r="F799" s="123"/>
      <c r="G799" s="123"/>
      <c r="H799" s="12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4"/>
      <c r="AB799" s="4"/>
      <c r="AC799" s="4"/>
    </row>
    <row r="800" spans="1:29" ht="14.25" customHeight="1">
      <c r="A800" s="58"/>
      <c r="B800" s="123"/>
      <c r="C800" s="123"/>
      <c r="D800" s="123"/>
      <c r="E800" s="123"/>
      <c r="F800" s="123"/>
      <c r="G800" s="123"/>
      <c r="H800" s="12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4"/>
      <c r="AB800" s="4"/>
      <c r="AC800" s="4"/>
    </row>
    <row r="801" spans="1:29" ht="14.25" customHeight="1">
      <c r="A801" s="58"/>
      <c r="B801" s="123"/>
      <c r="C801" s="123"/>
      <c r="D801" s="123"/>
      <c r="E801" s="123"/>
      <c r="F801" s="123"/>
      <c r="G801" s="123"/>
      <c r="H801" s="12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4"/>
      <c r="AB801" s="4"/>
      <c r="AC801" s="4"/>
    </row>
    <row r="802" spans="1:29" ht="14.25" customHeight="1">
      <c r="A802" s="58"/>
      <c r="B802" s="123"/>
      <c r="C802" s="123"/>
      <c r="D802" s="123"/>
      <c r="E802" s="123"/>
      <c r="F802" s="123"/>
      <c r="G802" s="123"/>
      <c r="H802" s="12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4"/>
      <c r="AB802" s="4"/>
      <c r="AC802" s="4"/>
    </row>
    <row r="803" spans="1:29" ht="14.25" customHeight="1">
      <c r="A803" s="58"/>
      <c r="B803" s="123"/>
      <c r="C803" s="123"/>
      <c r="D803" s="123"/>
      <c r="E803" s="123"/>
      <c r="F803" s="123"/>
      <c r="G803" s="123"/>
      <c r="H803" s="12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4"/>
      <c r="AB803" s="4"/>
      <c r="AC803" s="4"/>
    </row>
    <row r="804" spans="1:29" ht="14.25" customHeight="1">
      <c r="A804" s="58"/>
      <c r="B804" s="123"/>
      <c r="C804" s="123"/>
      <c r="D804" s="123"/>
      <c r="E804" s="123"/>
      <c r="F804" s="123"/>
      <c r="G804" s="123"/>
      <c r="H804" s="12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4"/>
      <c r="AB804" s="4"/>
      <c r="AC804" s="4"/>
    </row>
    <row r="805" spans="1:29" ht="14.25" customHeight="1">
      <c r="A805" s="58"/>
      <c r="B805" s="123"/>
      <c r="C805" s="123"/>
      <c r="D805" s="123"/>
      <c r="E805" s="123"/>
      <c r="F805" s="123"/>
      <c r="G805" s="123"/>
      <c r="H805" s="12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4"/>
      <c r="AB805" s="4"/>
      <c r="AC805" s="4"/>
    </row>
    <row r="806" spans="1:29" ht="14.25" customHeight="1">
      <c r="A806" s="58"/>
      <c r="B806" s="123"/>
      <c r="C806" s="123"/>
      <c r="D806" s="123"/>
      <c r="E806" s="123"/>
      <c r="F806" s="123"/>
      <c r="G806" s="123"/>
      <c r="H806" s="12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4"/>
      <c r="AB806" s="4"/>
      <c r="AC806" s="4"/>
    </row>
    <row r="807" spans="1:29" ht="14.25" customHeight="1">
      <c r="A807" s="58"/>
      <c r="B807" s="123"/>
      <c r="C807" s="123"/>
      <c r="D807" s="123"/>
      <c r="E807" s="123"/>
      <c r="F807" s="123"/>
      <c r="G807" s="123"/>
      <c r="H807" s="12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4"/>
      <c r="AB807" s="4"/>
      <c r="AC807" s="4"/>
    </row>
    <row r="808" spans="1:29" ht="14.25" customHeight="1">
      <c r="A808" s="58"/>
      <c r="B808" s="123"/>
      <c r="C808" s="123"/>
      <c r="D808" s="123"/>
      <c r="E808" s="123"/>
      <c r="F808" s="123"/>
      <c r="G808" s="123"/>
      <c r="H808" s="12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4"/>
      <c r="AB808" s="4"/>
      <c r="AC808" s="4"/>
    </row>
    <row r="809" spans="1:29" ht="14.25" customHeight="1">
      <c r="A809" s="58"/>
      <c r="B809" s="123"/>
      <c r="C809" s="123"/>
      <c r="D809" s="123"/>
      <c r="E809" s="123"/>
      <c r="F809" s="123"/>
      <c r="G809" s="123"/>
      <c r="H809" s="12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4"/>
      <c r="AB809" s="4"/>
      <c r="AC809" s="4"/>
    </row>
    <row r="810" spans="1:29" ht="14.25" customHeight="1">
      <c r="A810" s="58"/>
      <c r="B810" s="123"/>
      <c r="C810" s="123"/>
      <c r="D810" s="123"/>
      <c r="E810" s="123"/>
      <c r="F810" s="123"/>
      <c r="G810" s="123"/>
      <c r="H810" s="12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4"/>
      <c r="AB810" s="4"/>
      <c r="AC810" s="4"/>
    </row>
    <row r="811" spans="1:29" ht="14.25" customHeight="1">
      <c r="A811" s="58"/>
      <c r="B811" s="123"/>
      <c r="C811" s="123"/>
      <c r="D811" s="123"/>
      <c r="E811" s="123"/>
      <c r="F811" s="123"/>
      <c r="G811" s="123"/>
      <c r="H811" s="12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4"/>
      <c r="AB811" s="4"/>
      <c r="AC811" s="4"/>
    </row>
    <row r="812" spans="1:29" ht="14.25" customHeight="1">
      <c r="A812" s="58"/>
      <c r="B812" s="123"/>
      <c r="C812" s="123"/>
      <c r="D812" s="123"/>
      <c r="E812" s="123"/>
      <c r="F812" s="123"/>
      <c r="G812" s="123"/>
      <c r="H812" s="12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4"/>
      <c r="AB812" s="4"/>
      <c r="AC812" s="4"/>
    </row>
    <row r="813" spans="1:29" ht="14.25" customHeight="1">
      <c r="A813" s="58"/>
      <c r="B813" s="123"/>
      <c r="C813" s="123"/>
      <c r="D813" s="123"/>
      <c r="E813" s="123"/>
      <c r="F813" s="123"/>
      <c r="G813" s="123"/>
      <c r="H813" s="12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4"/>
      <c r="AB813" s="4"/>
      <c r="AC813" s="4"/>
    </row>
    <row r="814" spans="1:29" ht="14.25" customHeight="1">
      <c r="A814" s="58"/>
      <c r="B814" s="123"/>
      <c r="C814" s="123"/>
      <c r="D814" s="123"/>
      <c r="E814" s="123"/>
      <c r="F814" s="123"/>
      <c r="G814" s="123"/>
      <c r="H814" s="12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4"/>
      <c r="AB814" s="4"/>
      <c r="AC814" s="4"/>
    </row>
    <row r="815" spans="1:29" ht="14.25" customHeight="1">
      <c r="A815" s="58"/>
      <c r="B815" s="123"/>
      <c r="C815" s="123"/>
      <c r="D815" s="123"/>
      <c r="E815" s="123"/>
      <c r="F815" s="123"/>
      <c r="G815" s="123"/>
      <c r="H815" s="12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4"/>
      <c r="AB815" s="4"/>
      <c r="AC815" s="4"/>
    </row>
    <row r="816" spans="1:29" ht="14.25" customHeight="1">
      <c r="A816" s="58"/>
      <c r="B816" s="123"/>
      <c r="C816" s="123"/>
      <c r="D816" s="123"/>
      <c r="E816" s="123"/>
      <c r="F816" s="123"/>
      <c r="G816" s="123"/>
      <c r="H816" s="12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4"/>
      <c r="AB816" s="4"/>
      <c r="AC816" s="4"/>
    </row>
    <row r="817" spans="1:29" ht="14.25" customHeight="1">
      <c r="A817" s="58"/>
      <c r="B817" s="123"/>
      <c r="C817" s="123"/>
      <c r="D817" s="123"/>
      <c r="E817" s="123"/>
      <c r="F817" s="123"/>
      <c r="G817" s="123"/>
      <c r="H817" s="12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4"/>
      <c r="AB817" s="4"/>
      <c r="AC817" s="4"/>
    </row>
    <row r="818" spans="1:29" ht="14.25" customHeight="1">
      <c r="A818" s="58"/>
      <c r="B818" s="123"/>
      <c r="C818" s="123"/>
      <c r="D818" s="123"/>
      <c r="E818" s="123"/>
      <c r="F818" s="123"/>
      <c r="G818" s="123"/>
      <c r="H818" s="12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4"/>
      <c r="AB818" s="4"/>
      <c r="AC818" s="4"/>
    </row>
    <row r="819" spans="1:29" ht="14.25" customHeight="1">
      <c r="A819" s="58"/>
      <c r="B819" s="123"/>
      <c r="C819" s="123"/>
      <c r="D819" s="123"/>
      <c r="E819" s="123"/>
      <c r="F819" s="123"/>
      <c r="G819" s="123"/>
      <c r="H819" s="12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4"/>
      <c r="AB819" s="4"/>
      <c r="AC819" s="4"/>
    </row>
    <row r="820" spans="1:29" ht="14.25" customHeight="1">
      <c r="A820" s="58"/>
      <c r="B820" s="123"/>
      <c r="C820" s="123"/>
      <c r="D820" s="123"/>
      <c r="E820" s="123"/>
      <c r="F820" s="123"/>
      <c r="G820" s="123"/>
      <c r="H820" s="12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4"/>
      <c r="AB820" s="4"/>
      <c r="AC820" s="4"/>
    </row>
    <row r="821" spans="1:29" ht="14.25" customHeight="1">
      <c r="A821" s="58"/>
      <c r="B821" s="123"/>
      <c r="C821" s="123"/>
      <c r="D821" s="123"/>
      <c r="E821" s="123"/>
      <c r="F821" s="123"/>
      <c r="G821" s="123"/>
      <c r="H821" s="12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4"/>
      <c r="AB821" s="4"/>
      <c r="AC821" s="4"/>
    </row>
    <row r="822" spans="1:29" ht="14.25" customHeight="1">
      <c r="A822" s="58"/>
      <c r="B822" s="123"/>
      <c r="C822" s="123"/>
      <c r="D822" s="123"/>
      <c r="E822" s="123"/>
      <c r="F822" s="123"/>
      <c r="G822" s="123"/>
      <c r="H822" s="12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4"/>
      <c r="AB822" s="4"/>
      <c r="AC822" s="4"/>
    </row>
    <row r="823" spans="1:29" ht="14.25" customHeight="1">
      <c r="A823" s="58"/>
      <c r="B823" s="123"/>
      <c r="C823" s="123"/>
      <c r="D823" s="123"/>
      <c r="E823" s="123"/>
      <c r="F823" s="123"/>
      <c r="G823" s="123"/>
      <c r="H823" s="12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4"/>
      <c r="AB823" s="4"/>
      <c r="AC823" s="4"/>
    </row>
    <row r="824" spans="1:29" ht="14.25" customHeight="1">
      <c r="A824" s="58"/>
      <c r="B824" s="123"/>
      <c r="C824" s="123"/>
      <c r="D824" s="123"/>
      <c r="E824" s="123"/>
      <c r="F824" s="123"/>
      <c r="G824" s="123"/>
      <c r="H824" s="12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4"/>
      <c r="AB824" s="4"/>
      <c r="AC824" s="4"/>
    </row>
    <row r="825" spans="1:29" ht="14.25" customHeight="1">
      <c r="A825" s="58"/>
      <c r="B825" s="123"/>
      <c r="C825" s="123"/>
      <c r="D825" s="123"/>
      <c r="E825" s="123"/>
      <c r="F825" s="123"/>
      <c r="G825" s="123"/>
      <c r="H825" s="12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4"/>
      <c r="AB825" s="4"/>
      <c r="AC825" s="4"/>
    </row>
    <row r="826" spans="1:29" ht="14.25" customHeight="1">
      <c r="A826" s="58"/>
      <c r="B826" s="123"/>
      <c r="C826" s="123"/>
      <c r="D826" s="123"/>
      <c r="E826" s="123"/>
      <c r="F826" s="123"/>
      <c r="G826" s="123"/>
      <c r="H826" s="12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4"/>
      <c r="AB826" s="4"/>
      <c r="AC826" s="4"/>
    </row>
    <row r="827" spans="1:29" ht="14.25" customHeight="1">
      <c r="A827" s="58"/>
      <c r="B827" s="123"/>
      <c r="C827" s="123"/>
      <c r="D827" s="123"/>
      <c r="E827" s="123"/>
      <c r="F827" s="123"/>
      <c r="G827" s="123"/>
      <c r="H827" s="12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4"/>
      <c r="AB827" s="4"/>
      <c r="AC827" s="4"/>
    </row>
    <row r="828" spans="1:29" ht="14.25" customHeight="1">
      <c r="A828" s="58"/>
      <c r="B828" s="123"/>
      <c r="C828" s="123"/>
      <c r="D828" s="123"/>
      <c r="E828" s="123"/>
      <c r="F828" s="123"/>
      <c r="G828" s="123"/>
      <c r="H828" s="12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4"/>
      <c r="AB828" s="4"/>
      <c r="AC828" s="4"/>
    </row>
    <row r="829" spans="1:29" ht="14.25" customHeight="1">
      <c r="A829" s="58"/>
      <c r="B829" s="123"/>
      <c r="C829" s="123"/>
      <c r="D829" s="123"/>
      <c r="E829" s="123"/>
      <c r="F829" s="123"/>
      <c r="G829" s="123"/>
      <c r="H829" s="12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4"/>
      <c r="AB829" s="4"/>
      <c r="AC829" s="4"/>
    </row>
    <row r="830" spans="1:29" ht="14.25" customHeight="1">
      <c r="A830" s="58"/>
      <c r="B830" s="123"/>
      <c r="C830" s="123"/>
      <c r="D830" s="123"/>
      <c r="E830" s="123"/>
      <c r="F830" s="123"/>
      <c r="G830" s="123"/>
      <c r="H830" s="12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4"/>
      <c r="AB830" s="4"/>
      <c r="AC830" s="4"/>
    </row>
    <row r="831" spans="1:29" ht="14.25" customHeight="1">
      <c r="A831" s="58"/>
      <c r="B831" s="123"/>
      <c r="C831" s="123"/>
      <c r="D831" s="123"/>
      <c r="E831" s="123"/>
      <c r="F831" s="123"/>
      <c r="G831" s="123"/>
      <c r="H831" s="12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4"/>
      <c r="AB831" s="4"/>
      <c r="AC831" s="4"/>
    </row>
    <row r="832" spans="1:29" ht="14.25" customHeight="1">
      <c r="A832" s="58"/>
      <c r="B832" s="123"/>
      <c r="C832" s="123"/>
      <c r="D832" s="123"/>
      <c r="E832" s="123"/>
      <c r="F832" s="123"/>
      <c r="G832" s="123"/>
      <c r="H832" s="12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4"/>
      <c r="AB832" s="4"/>
      <c r="AC832" s="4"/>
    </row>
    <row r="833" spans="1:29" ht="14.25" customHeight="1">
      <c r="A833" s="58"/>
      <c r="B833" s="123"/>
      <c r="C833" s="123"/>
      <c r="D833" s="123"/>
      <c r="E833" s="123"/>
      <c r="F833" s="123"/>
      <c r="G833" s="123"/>
      <c r="H833" s="12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4"/>
      <c r="AB833" s="4"/>
      <c r="AC833" s="4"/>
    </row>
    <row r="834" spans="1:29" ht="14.25" customHeight="1">
      <c r="A834" s="58"/>
      <c r="B834" s="123"/>
      <c r="C834" s="123"/>
      <c r="D834" s="123"/>
      <c r="E834" s="123"/>
      <c r="F834" s="123"/>
      <c r="G834" s="123"/>
      <c r="H834" s="12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4"/>
      <c r="AB834" s="4"/>
      <c r="AC834" s="4"/>
    </row>
    <row r="835" spans="1:29" ht="14.25" customHeight="1">
      <c r="A835" s="58"/>
      <c r="B835" s="123"/>
      <c r="C835" s="123"/>
      <c r="D835" s="123"/>
      <c r="E835" s="123"/>
      <c r="F835" s="123"/>
      <c r="G835" s="123"/>
      <c r="H835" s="12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4"/>
      <c r="AB835" s="4"/>
      <c r="AC835" s="4"/>
    </row>
    <row r="836" spans="1:29" ht="14.25" customHeight="1">
      <c r="A836" s="58"/>
      <c r="B836" s="123"/>
      <c r="C836" s="123"/>
      <c r="D836" s="123"/>
      <c r="E836" s="123"/>
      <c r="F836" s="123"/>
      <c r="G836" s="123"/>
      <c r="H836" s="12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4"/>
      <c r="AB836" s="4"/>
      <c r="AC836" s="4"/>
    </row>
    <row r="837" spans="1:29" ht="14.25" customHeight="1">
      <c r="A837" s="58"/>
      <c r="B837" s="123"/>
      <c r="C837" s="123"/>
      <c r="D837" s="123"/>
      <c r="E837" s="123"/>
      <c r="F837" s="123"/>
      <c r="G837" s="123"/>
      <c r="H837" s="12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4"/>
      <c r="AB837" s="4"/>
      <c r="AC837" s="4"/>
    </row>
    <row r="838" spans="1:29" ht="14.25" customHeight="1">
      <c r="A838" s="58"/>
      <c r="B838" s="123"/>
      <c r="C838" s="123"/>
      <c r="D838" s="123"/>
      <c r="E838" s="123"/>
      <c r="F838" s="123"/>
      <c r="G838" s="123"/>
      <c r="H838" s="12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4"/>
      <c r="AB838" s="4"/>
      <c r="AC838" s="4"/>
    </row>
    <row r="839" spans="1:29" ht="14.25" customHeight="1">
      <c r="A839" s="58"/>
      <c r="B839" s="123"/>
      <c r="C839" s="123"/>
      <c r="D839" s="123"/>
      <c r="E839" s="123"/>
      <c r="F839" s="123"/>
      <c r="G839" s="123"/>
      <c r="H839" s="12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4"/>
      <c r="AB839" s="4"/>
      <c r="AC839" s="4"/>
    </row>
    <row r="840" spans="1:29" ht="14.25" customHeight="1">
      <c r="A840" s="58"/>
      <c r="B840" s="123"/>
      <c r="C840" s="123"/>
      <c r="D840" s="123"/>
      <c r="E840" s="123"/>
      <c r="F840" s="123"/>
      <c r="G840" s="123"/>
      <c r="H840" s="12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4"/>
      <c r="AB840" s="4"/>
      <c r="AC840" s="4"/>
    </row>
    <row r="841" spans="1:29" ht="14.25" customHeight="1">
      <c r="A841" s="58"/>
      <c r="B841" s="123"/>
      <c r="C841" s="123"/>
      <c r="D841" s="123"/>
      <c r="E841" s="123"/>
      <c r="F841" s="123"/>
      <c r="G841" s="123"/>
      <c r="H841" s="12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4"/>
      <c r="AB841" s="4"/>
      <c r="AC841" s="4"/>
    </row>
    <row r="842" spans="1:29" ht="14.25" customHeight="1">
      <c r="A842" s="58"/>
      <c r="B842" s="123"/>
      <c r="C842" s="123"/>
      <c r="D842" s="123"/>
      <c r="E842" s="123"/>
      <c r="F842" s="123"/>
      <c r="G842" s="123"/>
      <c r="H842" s="12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4"/>
      <c r="AB842" s="4"/>
      <c r="AC842" s="4"/>
    </row>
    <row r="843" spans="1:29" ht="14.25" customHeight="1">
      <c r="A843" s="58"/>
      <c r="B843" s="123"/>
      <c r="C843" s="123"/>
      <c r="D843" s="123"/>
      <c r="E843" s="123"/>
      <c r="F843" s="123"/>
      <c r="G843" s="123"/>
      <c r="H843" s="12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4"/>
      <c r="AB843" s="4"/>
      <c r="AC843" s="4"/>
    </row>
    <row r="844" spans="1:29" ht="14.25" customHeight="1">
      <c r="A844" s="58"/>
      <c r="B844" s="123"/>
      <c r="C844" s="123"/>
      <c r="D844" s="123"/>
      <c r="E844" s="123"/>
      <c r="F844" s="123"/>
      <c r="G844" s="123"/>
      <c r="H844" s="12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4"/>
      <c r="AB844" s="4"/>
      <c r="AC844" s="4"/>
    </row>
    <row r="845" spans="1:29" ht="14.25" customHeight="1">
      <c r="A845" s="58"/>
      <c r="B845" s="123"/>
      <c r="C845" s="123"/>
      <c r="D845" s="123"/>
      <c r="E845" s="123"/>
      <c r="F845" s="123"/>
      <c r="G845" s="123"/>
      <c r="H845" s="12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4"/>
      <c r="AB845" s="4"/>
      <c r="AC845" s="4"/>
    </row>
    <row r="846" spans="1:29" ht="14.25" customHeight="1">
      <c r="A846" s="58"/>
      <c r="B846" s="123"/>
      <c r="C846" s="123"/>
      <c r="D846" s="123"/>
      <c r="E846" s="123"/>
      <c r="F846" s="123"/>
      <c r="G846" s="123"/>
      <c r="H846" s="12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4"/>
      <c r="AB846" s="4"/>
      <c r="AC846" s="4"/>
    </row>
    <row r="847" spans="1:29" ht="14.25" customHeight="1">
      <c r="A847" s="58"/>
      <c r="B847" s="123"/>
      <c r="C847" s="123"/>
      <c r="D847" s="123"/>
      <c r="E847" s="123"/>
      <c r="F847" s="123"/>
      <c r="G847" s="123"/>
      <c r="H847" s="12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4"/>
      <c r="AB847" s="4"/>
      <c r="AC847" s="4"/>
    </row>
    <row r="848" spans="1:29" ht="14.25" customHeight="1">
      <c r="A848" s="58"/>
      <c r="B848" s="123"/>
      <c r="C848" s="123"/>
      <c r="D848" s="123"/>
      <c r="E848" s="123"/>
      <c r="F848" s="123"/>
      <c r="G848" s="123"/>
      <c r="H848" s="12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4"/>
      <c r="AB848" s="4"/>
      <c r="AC848" s="4"/>
    </row>
    <row r="849" spans="1:29" ht="14.25" customHeight="1">
      <c r="A849" s="58"/>
      <c r="B849" s="123"/>
      <c r="C849" s="123"/>
      <c r="D849" s="123"/>
      <c r="E849" s="123"/>
      <c r="F849" s="123"/>
      <c r="G849" s="123"/>
      <c r="H849" s="12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4"/>
      <c r="AB849" s="4"/>
      <c r="AC849" s="4"/>
    </row>
    <row r="850" spans="1:29" ht="14.25" customHeight="1">
      <c r="A850" s="58"/>
      <c r="B850" s="123"/>
      <c r="C850" s="123"/>
      <c r="D850" s="123"/>
      <c r="E850" s="123"/>
      <c r="F850" s="123"/>
      <c r="G850" s="123"/>
      <c r="H850" s="12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4"/>
      <c r="AB850" s="4"/>
      <c r="AC850" s="4"/>
    </row>
    <row r="851" spans="1:29" ht="14.25" customHeight="1">
      <c r="A851" s="58"/>
      <c r="B851" s="123"/>
      <c r="C851" s="123"/>
      <c r="D851" s="123"/>
      <c r="E851" s="123"/>
      <c r="F851" s="123"/>
      <c r="G851" s="123"/>
      <c r="H851" s="12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4"/>
      <c r="AB851" s="4"/>
      <c r="AC851" s="4"/>
    </row>
    <row r="852" spans="1:29" ht="14.25" customHeight="1">
      <c r="A852" s="58"/>
      <c r="B852" s="123"/>
      <c r="C852" s="123"/>
      <c r="D852" s="123"/>
      <c r="E852" s="123"/>
      <c r="F852" s="123"/>
      <c r="G852" s="123"/>
      <c r="H852" s="12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4"/>
      <c r="AB852" s="4"/>
      <c r="AC852" s="4"/>
    </row>
    <row r="853" spans="1:29" ht="14.25" customHeight="1">
      <c r="A853" s="58"/>
      <c r="B853" s="123"/>
      <c r="C853" s="123"/>
      <c r="D853" s="123"/>
      <c r="E853" s="123"/>
      <c r="F853" s="123"/>
      <c r="G853" s="123"/>
      <c r="H853" s="12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4"/>
      <c r="AB853" s="4"/>
      <c r="AC853" s="4"/>
    </row>
    <row r="854" spans="1:29" ht="14.25" customHeight="1">
      <c r="A854" s="58"/>
      <c r="B854" s="123"/>
      <c r="C854" s="123"/>
      <c r="D854" s="123"/>
      <c r="E854" s="123"/>
      <c r="F854" s="123"/>
      <c r="G854" s="123"/>
      <c r="H854" s="12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4"/>
      <c r="AB854" s="4"/>
      <c r="AC854" s="4"/>
    </row>
    <row r="855" spans="1:29" ht="14.25" customHeight="1">
      <c r="A855" s="58"/>
      <c r="B855" s="123"/>
      <c r="C855" s="123"/>
      <c r="D855" s="123"/>
      <c r="E855" s="123"/>
      <c r="F855" s="123"/>
      <c r="G855" s="123"/>
      <c r="H855" s="12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4"/>
      <c r="AB855" s="4"/>
      <c r="AC855" s="4"/>
    </row>
    <row r="856" spans="1:29" ht="14.25" customHeight="1">
      <c r="A856" s="58"/>
      <c r="B856" s="123"/>
      <c r="C856" s="123"/>
      <c r="D856" s="123"/>
      <c r="E856" s="123"/>
      <c r="F856" s="123"/>
      <c r="G856" s="123"/>
      <c r="H856" s="12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4"/>
      <c r="AB856" s="4"/>
      <c r="AC856" s="4"/>
    </row>
    <row r="857" spans="1:29" ht="14.25" customHeight="1">
      <c r="A857" s="58"/>
      <c r="B857" s="123"/>
      <c r="C857" s="123"/>
      <c r="D857" s="123"/>
      <c r="E857" s="123"/>
      <c r="F857" s="123"/>
      <c r="G857" s="123"/>
      <c r="H857" s="12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4"/>
      <c r="AB857" s="4"/>
      <c r="AC857" s="4"/>
    </row>
    <row r="858" spans="1:29" ht="14.25" customHeight="1">
      <c r="A858" s="58"/>
      <c r="B858" s="123"/>
      <c r="C858" s="123"/>
      <c r="D858" s="123"/>
      <c r="E858" s="123"/>
      <c r="F858" s="123"/>
      <c r="G858" s="123"/>
      <c r="H858" s="12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4"/>
      <c r="AB858" s="4"/>
      <c r="AC858" s="4"/>
    </row>
    <row r="859" spans="1:29" ht="14.25" customHeight="1">
      <c r="A859" s="58"/>
      <c r="B859" s="123"/>
      <c r="C859" s="123"/>
      <c r="D859" s="123"/>
      <c r="E859" s="123"/>
      <c r="F859" s="123"/>
      <c r="G859" s="123"/>
      <c r="H859" s="12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4"/>
      <c r="AB859" s="4"/>
      <c r="AC859" s="4"/>
    </row>
    <row r="860" spans="1:29" ht="14.25" customHeight="1">
      <c r="A860" s="58"/>
      <c r="B860" s="123"/>
      <c r="C860" s="123"/>
      <c r="D860" s="123"/>
      <c r="E860" s="123"/>
      <c r="F860" s="123"/>
      <c r="G860" s="123"/>
      <c r="H860" s="12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4"/>
      <c r="AB860" s="4"/>
      <c r="AC860" s="4"/>
    </row>
    <row r="861" spans="1:29" ht="14.25" customHeight="1">
      <c r="A861" s="58"/>
      <c r="B861" s="123"/>
      <c r="C861" s="123"/>
      <c r="D861" s="123"/>
      <c r="E861" s="123"/>
      <c r="F861" s="123"/>
      <c r="G861" s="123"/>
      <c r="H861" s="12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4"/>
      <c r="AB861" s="4"/>
      <c r="AC861" s="4"/>
    </row>
    <row r="862" spans="1:29" ht="14.25" customHeight="1">
      <c r="A862" s="58"/>
      <c r="B862" s="123"/>
      <c r="C862" s="123"/>
      <c r="D862" s="123"/>
      <c r="E862" s="123"/>
      <c r="F862" s="123"/>
      <c r="G862" s="123"/>
      <c r="H862" s="12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4"/>
      <c r="AB862" s="4"/>
      <c r="AC862" s="4"/>
    </row>
    <row r="863" spans="1:29" ht="14.25" customHeight="1">
      <c r="A863" s="58"/>
      <c r="B863" s="123"/>
      <c r="C863" s="123"/>
      <c r="D863" s="123"/>
      <c r="E863" s="123"/>
      <c r="F863" s="123"/>
      <c r="G863" s="123"/>
      <c r="H863" s="12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4"/>
      <c r="AB863" s="4"/>
      <c r="AC863" s="4"/>
    </row>
    <row r="864" spans="1:29" ht="14.25" customHeight="1">
      <c r="A864" s="58"/>
      <c r="B864" s="123"/>
      <c r="C864" s="123"/>
      <c r="D864" s="123"/>
      <c r="E864" s="123"/>
      <c r="F864" s="123"/>
      <c r="G864" s="123"/>
      <c r="H864" s="12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4"/>
      <c r="AB864" s="4"/>
      <c r="AC864" s="4"/>
    </row>
    <row r="865" spans="1:29" ht="14.25" customHeight="1">
      <c r="A865" s="58"/>
      <c r="B865" s="123"/>
      <c r="C865" s="123"/>
      <c r="D865" s="123"/>
      <c r="E865" s="123"/>
      <c r="F865" s="123"/>
      <c r="G865" s="123"/>
      <c r="H865" s="12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4"/>
      <c r="AB865" s="4"/>
      <c r="AC865" s="4"/>
    </row>
    <row r="866" spans="1:29" ht="14.25" customHeight="1">
      <c r="A866" s="58"/>
      <c r="B866" s="123"/>
      <c r="C866" s="123"/>
      <c r="D866" s="123"/>
      <c r="E866" s="123"/>
      <c r="F866" s="123"/>
      <c r="G866" s="123"/>
      <c r="H866" s="12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4"/>
      <c r="AB866" s="4"/>
      <c r="AC866" s="4"/>
    </row>
    <row r="867" spans="1:29" ht="14.25" customHeight="1">
      <c r="A867" s="58"/>
      <c r="B867" s="123"/>
      <c r="C867" s="123"/>
      <c r="D867" s="123"/>
      <c r="E867" s="123"/>
      <c r="F867" s="123"/>
      <c r="G867" s="123"/>
      <c r="H867" s="12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4"/>
      <c r="AB867" s="4"/>
      <c r="AC867" s="4"/>
    </row>
    <row r="868" spans="1:29" ht="14.25" customHeight="1">
      <c r="A868" s="58"/>
      <c r="B868" s="123"/>
      <c r="C868" s="123"/>
      <c r="D868" s="123"/>
      <c r="E868" s="123"/>
      <c r="F868" s="123"/>
      <c r="G868" s="123"/>
      <c r="H868" s="12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4"/>
      <c r="AB868" s="4"/>
      <c r="AC868" s="4"/>
    </row>
    <row r="869" spans="1:29" ht="14.25" customHeight="1">
      <c r="A869" s="58"/>
      <c r="B869" s="123"/>
      <c r="C869" s="123"/>
      <c r="D869" s="123"/>
      <c r="E869" s="123"/>
      <c r="F869" s="123"/>
      <c r="G869" s="123"/>
      <c r="H869" s="12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4"/>
      <c r="AB869" s="4"/>
      <c r="AC869" s="4"/>
    </row>
    <row r="870" spans="1:29" ht="14.25" customHeight="1">
      <c r="A870" s="58"/>
      <c r="B870" s="123"/>
      <c r="C870" s="123"/>
      <c r="D870" s="123"/>
      <c r="E870" s="123"/>
      <c r="F870" s="123"/>
      <c r="G870" s="123"/>
      <c r="H870" s="12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4"/>
      <c r="AB870" s="4"/>
      <c r="AC870" s="4"/>
    </row>
    <row r="871" spans="1:29" ht="14.25" customHeight="1">
      <c r="A871" s="58"/>
      <c r="B871" s="123"/>
      <c r="C871" s="123"/>
      <c r="D871" s="123"/>
      <c r="E871" s="123"/>
      <c r="F871" s="123"/>
      <c r="G871" s="123"/>
      <c r="H871" s="12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4"/>
      <c r="AB871" s="4"/>
      <c r="AC871" s="4"/>
    </row>
    <row r="872" spans="1:29" ht="14.25" customHeight="1">
      <c r="A872" s="58"/>
      <c r="B872" s="123"/>
      <c r="C872" s="123"/>
      <c r="D872" s="123"/>
      <c r="E872" s="123"/>
      <c r="F872" s="123"/>
      <c r="G872" s="123"/>
      <c r="H872" s="12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4"/>
      <c r="AB872" s="4"/>
      <c r="AC872" s="4"/>
    </row>
    <row r="873" spans="1:29" ht="14.25" customHeight="1">
      <c r="A873" s="58"/>
      <c r="B873" s="123"/>
      <c r="C873" s="123"/>
      <c r="D873" s="123"/>
      <c r="E873" s="123"/>
      <c r="F873" s="123"/>
      <c r="G873" s="123"/>
      <c r="H873" s="12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4"/>
      <c r="AB873" s="4"/>
      <c r="AC873" s="4"/>
    </row>
    <row r="874" spans="1:29" ht="14.25" customHeight="1">
      <c r="A874" s="58"/>
      <c r="B874" s="123"/>
      <c r="C874" s="123"/>
      <c r="D874" s="123"/>
      <c r="E874" s="123"/>
      <c r="F874" s="123"/>
      <c r="G874" s="123"/>
      <c r="H874" s="12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4"/>
      <c r="AB874" s="4"/>
      <c r="AC874" s="4"/>
    </row>
    <row r="875" spans="1:29" ht="14.25" customHeight="1">
      <c r="A875" s="58"/>
      <c r="B875" s="123"/>
      <c r="C875" s="123"/>
      <c r="D875" s="123"/>
      <c r="E875" s="123"/>
      <c r="F875" s="123"/>
      <c r="G875" s="123"/>
      <c r="H875" s="12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4"/>
      <c r="AB875" s="4"/>
      <c r="AC875" s="4"/>
    </row>
    <row r="876" spans="1:29" ht="14.25" customHeight="1">
      <c r="A876" s="58"/>
      <c r="B876" s="123"/>
      <c r="C876" s="123"/>
      <c r="D876" s="123"/>
      <c r="E876" s="123"/>
      <c r="F876" s="123"/>
      <c r="G876" s="123"/>
      <c r="H876" s="12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4"/>
      <c r="AB876" s="4"/>
      <c r="AC876" s="4"/>
    </row>
    <row r="877" spans="1:29" ht="14.25" customHeight="1">
      <c r="A877" s="58"/>
      <c r="B877" s="123"/>
      <c r="C877" s="123"/>
      <c r="D877" s="123"/>
      <c r="E877" s="123"/>
      <c r="F877" s="123"/>
      <c r="G877" s="123"/>
      <c r="H877" s="12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4"/>
      <c r="AB877" s="4"/>
      <c r="AC877" s="4"/>
    </row>
    <row r="878" spans="1:29" ht="14.25" customHeight="1">
      <c r="A878" s="58"/>
      <c r="B878" s="123"/>
      <c r="C878" s="123"/>
      <c r="D878" s="123"/>
      <c r="E878" s="123"/>
      <c r="F878" s="123"/>
      <c r="G878" s="123"/>
      <c r="H878" s="12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4"/>
      <c r="AB878" s="4"/>
      <c r="AC878" s="4"/>
    </row>
    <row r="879" spans="1:29" ht="14.25" customHeight="1">
      <c r="A879" s="58"/>
      <c r="B879" s="123"/>
      <c r="C879" s="123"/>
      <c r="D879" s="123"/>
      <c r="E879" s="123"/>
      <c r="F879" s="123"/>
      <c r="G879" s="123"/>
      <c r="H879" s="12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4"/>
      <c r="AB879" s="4"/>
      <c r="AC879" s="4"/>
    </row>
    <row r="880" spans="1:29" ht="14.25" customHeight="1">
      <c r="A880" s="58"/>
      <c r="B880" s="123"/>
      <c r="C880" s="123"/>
      <c r="D880" s="123"/>
      <c r="E880" s="123"/>
      <c r="F880" s="123"/>
      <c r="G880" s="123"/>
      <c r="H880" s="12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4"/>
      <c r="AB880" s="4"/>
      <c r="AC880" s="4"/>
    </row>
    <row r="881" spans="1:29" ht="14.25" customHeight="1">
      <c r="A881" s="58"/>
      <c r="B881" s="123"/>
      <c r="C881" s="123"/>
      <c r="D881" s="123"/>
      <c r="E881" s="123"/>
      <c r="F881" s="123"/>
      <c r="G881" s="123"/>
      <c r="H881" s="12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4"/>
      <c r="AB881" s="4"/>
      <c r="AC881" s="4"/>
    </row>
    <row r="882" spans="1:29" ht="14.25" customHeight="1">
      <c r="A882" s="58"/>
      <c r="B882" s="123"/>
      <c r="C882" s="123"/>
      <c r="D882" s="123"/>
      <c r="E882" s="123"/>
      <c r="F882" s="123"/>
      <c r="G882" s="123"/>
      <c r="H882" s="12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4"/>
      <c r="AB882" s="4"/>
      <c r="AC882" s="4"/>
    </row>
    <row r="883" spans="1:29" ht="14.25" customHeight="1">
      <c r="A883" s="58"/>
      <c r="B883" s="123"/>
      <c r="C883" s="123"/>
      <c r="D883" s="123"/>
      <c r="E883" s="123"/>
      <c r="F883" s="123"/>
      <c r="G883" s="123"/>
      <c r="H883" s="12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4"/>
      <c r="AB883" s="4"/>
      <c r="AC883" s="4"/>
    </row>
    <row r="884" spans="1:29" ht="14.25" customHeight="1">
      <c r="A884" s="58"/>
      <c r="B884" s="123"/>
      <c r="C884" s="123"/>
      <c r="D884" s="123"/>
      <c r="E884" s="123"/>
      <c r="F884" s="123"/>
      <c r="G884" s="123"/>
      <c r="H884" s="12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4"/>
      <c r="AB884" s="4"/>
      <c r="AC884" s="4"/>
    </row>
    <row r="885" spans="1:29" ht="14.25" customHeight="1">
      <c r="A885" s="58"/>
      <c r="B885" s="123"/>
      <c r="C885" s="123"/>
      <c r="D885" s="123"/>
      <c r="E885" s="123"/>
      <c r="F885" s="123"/>
      <c r="G885" s="123"/>
      <c r="H885" s="12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4"/>
      <c r="AB885" s="4"/>
      <c r="AC885" s="4"/>
    </row>
    <row r="886" spans="1:29" ht="14.25" customHeight="1">
      <c r="A886" s="58"/>
      <c r="B886" s="123"/>
      <c r="C886" s="123"/>
      <c r="D886" s="123"/>
      <c r="E886" s="123"/>
      <c r="F886" s="123"/>
      <c r="G886" s="123"/>
      <c r="H886" s="12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4"/>
      <c r="AB886" s="4"/>
      <c r="AC886" s="4"/>
    </row>
    <row r="887" spans="1:29" ht="14.25" customHeight="1">
      <c r="A887" s="58"/>
      <c r="B887" s="123"/>
      <c r="C887" s="123"/>
      <c r="D887" s="123"/>
      <c r="E887" s="123"/>
      <c r="F887" s="123"/>
      <c r="G887" s="123"/>
      <c r="H887" s="12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4"/>
      <c r="AB887" s="4"/>
      <c r="AC887" s="4"/>
    </row>
    <row r="888" spans="1:29" ht="14.25" customHeight="1">
      <c r="A888" s="58"/>
      <c r="B888" s="123"/>
      <c r="C888" s="123"/>
      <c r="D888" s="123"/>
      <c r="E888" s="123"/>
      <c r="F888" s="123"/>
      <c r="G888" s="123"/>
      <c r="H888" s="12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4"/>
      <c r="AB888" s="4"/>
      <c r="AC888" s="4"/>
    </row>
    <row r="889" spans="1:29" ht="14.25" customHeight="1">
      <c r="A889" s="58"/>
      <c r="B889" s="123"/>
      <c r="C889" s="123"/>
      <c r="D889" s="123"/>
      <c r="E889" s="123"/>
      <c r="F889" s="123"/>
      <c r="G889" s="123"/>
      <c r="H889" s="12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4"/>
      <c r="AB889" s="4"/>
      <c r="AC889" s="4"/>
    </row>
    <row r="890" spans="1:29" ht="14.25" customHeight="1">
      <c r="A890" s="58"/>
      <c r="B890" s="123"/>
      <c r="C890" s="123"/>
      <c r="D890" s="123"/>
      <c r="E890" s="123"/>
      <c r="F890" s="123"/>
      <c r="G890" s="123"/>
      <c r="H890" s="12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4"/>
      <c r="AB890" s="4"/>
      <c r="AC890" s="4"/>
    </row>
    <row r="891" spans="1:29" ht="14.25" customHeight="1">
      <c r="A891" s="58"/>
      <c r="B891" s="123"/>
      <c r="C891" s="123"/>
      <c r="D891" s="123"/>
      <c r="E891" s="123"/>
      <c r="F891" s="123"/>
      <c r="G891" s="123"/>
      <c r="H891" s="12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4"/>
      <c r="AB891" s="4"/>
      <c r="AC891" s="4"/>
    </row>
    <row r="892" spans="1:29" ht="14.25" customHeight="1">
      <c r="A892" s="58"/>
      <c r="B892" s="123"/>
      <c r="C892" s="123"/>
      <c r="D892" s="123"/>
      <c r="E892" s="123"/>
      <c r="F892" s="123"/>
      <c r="G892" s="123"/>
      <c r="H892" s="12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4"/>
      <c r="AB892" s="4"/>
      <c r="AC892" s="4"/>
    </row>
    <row r="893" spans="1:29" ht="14.25" customHeight="1">
      <c r="A893" s="58"/>
      <c r="B893" s="123"/>
      <c r="C893" s="123"/>
      <c r="D893" s="123"/>
      <c r="E893" s="123"/>
      <c r="F893" s="123"/>
      <c r="G893" s="123"/>
      <c r="H893" s="12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4"/>
      <c r="AB893" s="4"/>
      <c r="AC893" s="4"/>
    </row>
    <row r="894" spans="1:29" ht="14.25" customHeight="1">
      <c r="A894" s="58"/>
      <c r="B894" s="123"/>
      <c r="C894" s="123"/>
      <c r="D894" s="123"/>
      <c r="E894" s="123"/>
      <c r="F894" s="123"/>
      <c r="G894" s="123"/>
      <c r="H894" s="12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4"/>
      <c r="AB894" s="4"/>
      <c r="AC894" s="4"/>
    </row>
    <row r="895" spans="1:29" ht="14.25" customHeight="1">
      <c r="A895" s="58"/>
      <c r="B895" s="123"/>
      <c r="C895" s="123"/>
      <c r="D895" s="123"/>
      <c r="E895" s="123"/>
      <c r="F895" s="123"/>
      <c r="G895" s="123"/>
      <c r="H895" s="12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4"/>
      <c r="AB895" s="4"/>
      <c r="AC895" s="4"/>
    </row>
    <row r="896" spans="1:29" ht="14.25" customHeight="1">
      <c r="A896" s="58"/>
      <c r="B896" s="123"/>
      <c r="C896" s="123"/>
      <c r="D896" s="123"/>
      <c r="E896" s="123"/>
      <c r="F896" s="123"/>
      <c r="G896" s="123"/>
      <c r="H896" s="12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4"/>
      <c r="AB896" s="4"/>
      <c r="AC896" s="4"/>
    </row>
    <row r="897" spans="1:29" ht="14.25" customHeight="1">
      <c r="A897" s="58"/>
      <c r="B897" s="123"/>
      <c r="C897" s="123"/>
      <c r="D897" s="123"/>
      <c r="E897" s="123"/>
      <c r="F897" s="123"/>
      <c r="G897" s="123"/>
      <c r="H897" s="12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4"/>
      <c r="AB897" s="4"/>
      <c r="AC897" s="4"/>
    </row>
    <row r="898" spans="1:29" ht="14.25" customHeight="1">
      <c r="A898" s="58"/>
      <c r="B898" s="123"/>
      <c r="C898" s="123"/>
      <c r="D898" s="123"/>
      <c r="E898" s="123"/>
      <c r="F898" s="123"/>
      <c r="G898" s="123"/>
      <c r="H898" s="12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4"/>
      <c r="AB898" s="4"/>
      <c r="AC898" s="4"/>
    </row>
    <row r="899" spans="1:29" ht="14.25" customHeight="1">
      <c r="A899" s="58"/>
      <c r="B899" s="123"/>
      <c r="C899" s="123"/>
      <c r="D899" s="123"/>
      <c r="E899" s="123"/>
      <c r="F899" s="123"/>
      <c r="G899" s="123"/>
      <c r="H899" s="12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4"/>
      <c r="AB899" s="4"/>
      <c r="AC899" s="4"/>
    </row>
    <row r="900" spans="1:29" ht="14.25" customHeight="1">
      <c r="A900" s="58"/>
      <c r="B900" s="123"/>
      <c r="C900" s="123"/>
      <c r="D900" s="123"/>
      <c r="E900" s="123"/>
      <c r="F900" s="123"/>
      <c r="G900" s="123"/>
      <c r="H900" s="12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4"/>
      <c r="AB900" s="4"/>
      <c r="AC900" s="4"/>
    </row>
    <row r="901" spans="1:29" ht="14.25" customHeight="1">
      <c r="A901" s="58"/>
      <c r="B901" s="123"/>
      <c r="C901" s="123"/>
      <c r="D901" s="123"/>
      <c r="E901" s="123"/>
      <c r="F901" s="123"/>
      <c r="G901" s="123"/>
      <c r="H901" s="12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4"/>
      <c r="AB901" s="4"/>
      <c r="AC901" s="4"/>
    </row>
    <row r="902" spans="1:29" ht="14.25" customHeight="1">
      <c r="A902" s="58"/>
      <c r="B902" s="123"/>
      <c r="C902" s="123"/>
      <c r="D902" s="123"/>
      <c r="E902" s="123"/>
      <c r="F902" s="123"/>
      <c r="G902" s="123"/>
      <c r="H902" s="12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4"/>
      <c r="AB902" s="4"/>
      <c r="AC902" s="4"/>
    </row>
    <row r="903" spans="1:29" ht="14.25" customHeight="1">
      <c r="A903" s="58"/>
      <c r="B903" s="123"/>
      <c r="C903" s="123"/>
      <c r="D903" s="123"/>
      <c r="E903" s="123"/>
      <c r="F903" s="123"/>
      <c r="G903" s="123"/>
      <c r="H903" s="12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4"/>
      <c r="AB903" s="4"/>
      <c r="AC903" s="4"/>
    </row>
    <row r="904" spans="1:29" ht="14.25" customHeight="1">
      <c r="A904" s="58"/>
      <c r="B904" s="123"/>
      <c r="C904" s="123"/>
      <c r="D904" s="123"/>
      <c r="E904" s="123"/>
      <c r="F904" s="123"/>
      <c r="G904" s="123"/>
      <c r="H904" s="12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4"/>
      <c r="AB904" s="4"/>
      <c r="AC904" s="4"/>
    </row>
    <row r="905" spans="1:29" ht="14.25" customHeight="1">
      <c r="A905" s="58"/>
      <c r="B905" s="123"/>
      <c r="C905" s="123"/>
      <c r="D905" s="123"/>
      <c r="E905" s="123"/>
      <c r="F905" s="123"/>
      <c r="G905" s="123"/>
      <c r="H905" s="12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4"/>
      <c r="AB905" s="4"/>
      <c r="AC905" s="4"/>
    </row>
    <row r="906" spans="1:29" ht="14.25" customHeight="1">
      <c r="A906" s="58"/>
      <c r="B906" s="123"/>
      <c r="C906" s="123"/>
      <c r="D906" s="123"/>
      <c r="E906" s="123"/>
      <c r="F906" s="123"/>
      <c r="G906" s="123"/>
      <c r="H906" s="12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4"/>
      <c r="AB906" s="4"/>
      <c r="AC906" s="4"/>
    </row>
    <row r="907" spans="1:29" ht="14.25" customHeight="1">
      <c r="A907" s="58"/>
      <c r="B907" s="123"/>
      <c r="C907" s="123"/>
      <c r="D907" s="123"/>
      <c r="E907" s="123"/>
      <c r="F907" s="123"/>
      <c r="G907" s="123"/>
      <c r="H907" s="12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4"/>
      <c r="AB907" s="4"/>
      <c r="AC907" s="4"/>
    </row>
    <row r="908" spans="1:29" ht="14.25" customHeight="1">
      <c r="A908" s="58"/>
      <c r="B908" s="123"/>
      <c r="C908" s="123"/>
      <c r="D908" s="123"/>
      <c r="E908" s="123"/>
      <c r="F908" s="123"/>
      <c r="G908" s="123"/>
      <c r="H908" s="12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4"/>
      <c r="AB908" s="4"/>
      <c r="AC908" s="4"/>
    </row>
    <row r="909" spans="1:29" ht="14.25" customHeight="1">
      <c r="A909" s="58"/>
      <c r="B909" s="123"/>
      <c r="C909" s="123"/>
      <c r="D909" s="123"/>
      <c r="E909" s="123"/>
      <c r="F909" s="123"/>
      <c r="G909" s="123"/>
      <c r="H909" s="12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4"/>
      <c r="AB909" s="4"/>
      <c r="AC909" s="4"/>
    </row>
    <row r="910" spans="1:29" ht="14.25" customHeight="1">
      <c r="A910" s="58"/>
      <c r="B910" s="123"/>
      <c r="C910" s="123"/>
      <c r="D910" s="123"/>
      <c r="E910" s="123"/>
      <c r="F910" s="123"/>
      <c r="G910" s="123"/>
      <c r="H910" s="12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4"/>
      <c r="AB910" s="4"/>
      <c r="AC910" s="4"/>
    </row>
    <row r="911" spans="1:29" ht="14.25" customHeight="1">
      <c r="A911" s="58"/>
      <c r="B911" s="123"/>
      <c r="C911" s="123"/>
      <c r="D911" s="123"/>
      <c r="E911" s="123"/>
      <c r="F911" s="123"/>
      <c r="G911" s="123"/>
      <c r="H911" s="12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4"/>
      <c r="AB911" s="4"/>
      <c r="AC911" s="4"/>
    </row>
    <row r="912" spans="1:29" ht="14.25" customHeight="1">
      <c r="A912" s="58"/>
      <c r="B912" s="123"/>
      <c r="C912" s="123"/>
      <c r="D912" s="123"/>
      <c r="E912" s="123"/>
      <c r="F912" s="123"/>
      <c r="G912" s="123"/>
      <c r="H912" s="12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4"/>
      <c r="AB912" s="4"/>
      <c r="AC912" s="4"/>
    </row>
    <row r="913" spans="1:29" ht="14.25" customHeight="1">
      <c r="A913" s="58"/>
      <c r="B913" s="123"/>
      <c r="C913" s="123"/>
      <c r="D913" s="123"/>
      <c r="E913" s="123"/>
      <c r="F913" s="123"/>
      <c r="G913" s="123"/>
      <c r="H913" s="12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4"/>
      <c r="AB913" s="4"/>
      <c r="AC913" s="4"/>
    </row>
    <row r="914" spans="1:29" ht="14.25" customHeight="1">
      <c r="A914" s="58"/>
      <c r="B914" s="123"/>
      <c r="C914" s="123"/>
      <c r="D914" s="123"/>
      <c r="E914" s="123"/>
      <c r="F914" s="123"/>
      <c r="G914" s="123"/>
      <c r="H914" s="12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4"/>
      <c r="AB914" s="4"/>
      <c r="AC914" s="4"/>
    </row>
    <row r="915" spans="1:29" ht="14.25" customHeight="1">
      <c r="A915" s="58"/>
      <c r="B915" s="123"/>
      <c r="C915" s="123"/>
      <c r="D915" s="123"/>
      <c r="E915" s="123"/>
      <c r="F915" s="123"/>
      <c r="G915" s="123"/>
      <c r="H915" s="12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4"/>
      <c r="AB915" s="4"/>
      <c r="AC915" s="4"/>
    </row>
    <row r="916" spans="1:29" ht="14.25" customHeight="1">
      <c r="A916" s="58"/>
      <c r="B916" s="123"/>
      <c r="C916" s="123"/>
      <c r="D916" s="123"/>
      <c r="E916" s="123"/>
      <c r="F916" s="123"/>
      <c r="G916" s="123"/>
      <c r="H916" s="12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4"/>
      <c r="AB916" s="4"/>
      <c r="AC916" s="4"/>
    </row>
    <row r="917" spans="1:29" ht="14.25" customHeight="1">
      <c r="A917" s="58"/>
      <c r="B917" s="123"/>
      <c r="C917" s="123"/>
      <c r="D917" s="123"/>
      <c r="E917" s="123"/>
      <c r="F917" s="123"/>
      <c r="G917" s="123"/>
      <c r="H917" s="12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4"/>
      <c r="AB917" s="4"/>
      <c r="AC917" s="4"/>
    </row>
    <row r="918" spans="1:29" ht="14.25" customHeight="1">
      <c r="A918" s="58"/>
      <c r="B918" s="123"/>
      <c r="C918" s="123"/>
      <c r="D918" s="123"/>
      <c r="E918" s="123"/>
      <c r="F918" s="123"/>
      <c r="G918" s="123"/>
      <c r="H918" s="12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4"/>
      <c r="AB918" s="4"/>
      <c r="AC918" s="4"/>
    </row>
    <row r="919" spans="1:29" ht="14.25" customHeight="1">
      <c r="A919" s="58"/>
      <c r="B919" s="123"/>
      <c r="C919" s="123"/>
      <c r="D919" s="123"/>
      <c r="E919" s="123"/>
      <c r="F919" s="123"/>
      <c r="G919" s="123"/>
      <c r="H919" s="12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4"/>
      <c r="AB919" s="4"/>
      <c r="AC919" s="4"/>
    </row>
    <row r="920" spans="1:29" ht="14.25" customHeight="1">
      <c r="A920" s="58"/>
      <c r="B920" s="123"/>
      <c r="C920" s="123"/>
      <c r="D920" s="123"/>
      <c r="E920" s="123"/>
      <c r="F920" s="123"/>
      <c r="G920" s="123"/>
      <c r="H920" s="12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4"/>
      <c r="AB920" s="4"/>
      <c r="AC920" s="4"/>
    </row>
    <row r="921" spans="1:29" ht="14.25" customHeight="1">
      <c r="A921" s="58"/>
      <c r="B921" s="123"/>
      <c r="C921" s="123"/>
      <c r="D921" s="123"/>
      <c r="E921" s="123"/>
      <c r="F921" s="123"/>
      <c r="G921" s="123"/>
      <c r="H921" s="12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4"/>
      <c r="AB921" s="4"/>
      <c r="AC921" s="4"/>
    </row>
    <row r="922" spans="1:29" ht="14.25" customHeight="1">
      <c r="A922" s="58"/>
      <c r="B922" s="123"/>
      <c r="C922" s="123"/>
      <c r="D922" s="123"/>
      <c r="E922" s="123"/>
      <c r="F922" s="123"/>
      <c r="G922" s="123"/>
      <c r="H922" s="12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4"/>
      <c r="AB922" s="4"/>
      <c r="AC922" s="4"/>
    </row>
    <row r="923" spans="1:29" ht="14.25" customHeight="1">
      <c r="A923" s="58"/>
      <c r="B923" s="123"/>
      <c r="C923" s="123"/>
      <c r="D923" s="123"/>
      <c r="E923" s="123"/>
      <c r="F923" s="123"/>
      <c r="G923" s="123"/>
      <c r="H923" s="12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4"/>
      <c r="AB923" s="4"/>
      <c r="AC923" s="4"/>
    </row>
    <row r="924" spans="1:29" ht="14.25" customHeight="1">
      <c r="A924" s="58"/>
      <c r="B924" s="123"/>
      <c r="C924" s="123"/>
      <c r="D924" s="123"/>
      <c r="E924" s="123"/>
      <c r="F924" s="123"/>
      <c r="G924" s="123"/>
      <c r="H924" s="12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4"/>
      <c r="AB924" s="4"/>
      <c r="AC924" s="4"/>
    </row>
    <row r="925" spans="1:29" ht="14.25" customHeight="1">
      <c r="A925" s="58"/>
      <c r="B925" s="123"/>
      <c r="C925" s="123"/>
      <c r="D925" s="123"/>
      <c r="E925" s="123"/>
      <c r="F925" s="123"/>
      <c r="G925" s="123"/>
      <c r="H925" s="12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4"/>
      <c r="AB925" s="4"/>
      <c r="AC925" s="4"/>
    </row>
    <row r="926" spans="1:29" ht="14.25" customHeight="1">
      <c r="A926" s="58"/>
      <c r="B926" s="123"/>
      <c r="C926" s="123"/>
      <c r="D926" s="123"/>
      <c r="E926" s="123"/>
      <c r="F926" s="123"/>
      <c r="G926" s="123"/>
      <c r="H926" s="12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4"/>
      <c r="AB926" s="4"/>
      <c r="AC926" s="4"/>
    </row>
    <row r="927" spans="1:29" ht="14.25" customHeight="1">
      <c r="A927" s="58"/>
      <c r="B927" s="123"/>
      <c r="C927" s="123"/>
      <c r="D927" s="123"/>
      <c r="E927" s="123"/>
      <c r="F927" s="123"/>
      <c r="G927" s="123"/>
      <c r="H927" s="12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4"/>
      <c r="AB927" s="4"/>
      <c r="AC927" s="4"/>
    </row>
    <row r="928" spans="1:29" ht="14.25" customHeight="1">
      <c r="A928" s="58"/>
      <c r="B928" s="123"/>
      <c r="C928" s="123"/>
      <c r="D928" s="123"/>
      <c r="E928" s="123"/>
      <c r="F928" s="123"/>
      <c r="G928" s="123"/>
      <c r="H928" s="12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4"/>
      <c r="AB928" s="4"/>
      <c r="AC928" s="4"/>
    </row>
    <row r="929" spans="1:29" ht="14.25" customHeight="1">
      <c r="A929" s="58"/>
      <c r="B929" s="123"/>
      <c r="C929" s="123"/>
      <c r="D929" s="123"/>
      <c r="E929" s="123"/>
      <c r="F929" s="123"/>
      <c r="G929" s="123"/>
      <c r="H929" s="12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4"/>
      <c r="AB929" s="4"/>
      <c r="AC929" s="4"/>
    </row>
    <row r="930" spans="1:29" ht="14.25" customHeight="1">
      <c r="A930" s="58"/>
      <c r="B930" s="123"/>
      <c r="C930" s="123"/>
      <c r="D930" s="123"/>
      <c r="E930" s="123"/>
      <c r="F930" s="123"/>
      <c r="G930" s="123"/>
      <c r="H930" s="12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4"/>
      <c r="AB930" s="4"/>
      <c r="AC930" s="4"/>
    </row>
    <row r="931" spans="1:29" ht="14.25" customHeight="1">
      <c r="A931" s="58"/>
      <c r="B931" s="123"/>
      <c r="C931" s="123"/>
      <c r="D931" s="123"/>
      <c r="E931" s="123"/>
      <c r="F931" s="123"/>
      <c r="G931" s="123"/>
      <c r="H931" s="12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4"/>
      <c r="AB931" s="4"/>
      <c r="AC931" s="4"/>
    </row>
    <row r="932" spans="1:29" ht="14.25" customHeight="1">
      <c r="A932" s="58"/>
      <c r="B932" s="123"/>
      <c r="C932" s="123"/>
      <c r="D932" s="123"/>
      <c r="E932" s="123"/>
      <c r="F932" s="123"/>
      <c r="G932" s="123"/>
      <c r="H932" s="12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4"/>
      <c r="AB932" s="4"/>
      <c r="AC932" s="4"/>
    </row>
    <row r="933" spans="1:29" ht="14.25" customHeight="1">
      <c r="A933" s="58"/>
      <c r="B933" s="123"/>
      <c r="C933" s="123"/>
      <c r="D933" s="123"/>
      <c r="E933" s="123"/>
      <c r="F933" s="123"/>
      <c r="G933" s="123"/>
      <c r="H933" s="12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4"/>
      <c r="AB933" s="4"/>
      <c r="AC933" s="4"/>
    </row>
    <row r="934" spans="1:29" ht="14.25" customHeight="1">
      <c r="A934" s="58"/>
      <c r="B934" s="123"/>
      <c r="C934" s="123"/>
      <c r="D934" s="123"/>
      <c r="E934" s="123"/>
      <c r="F934" s="123"/>
      <c r="G934" s="123"/>
      <c r="H934" s="12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4"/>
      <c r="AB934" s="4"/>
      <c r="AC934" s="4"/>
    </row>
    <row r="935" spans="1:29" ht="14.25" customHeight="1">
      <c r="A935" s="58"/>
      <c r="B935" s="123"/>
      <c r="C935" s="123"/>
      <c r="D935" s="123"/>
      <c r="E935" s="123"/>
      <c r="F935" s="123"/>
      <c r="G935" s="123"/>
      <c r="H935" s="12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4"/>
      <c r="AB935" s="4"/>
      <c r="AC935" s="4"/>
    </row>
    <row r="936" spans="1:29" ht="14.25" customHeight="1">
      <c r="A936" s="58"/>
      <c r="B936" s="123"/>
      <c r="C936" s="123"/>
      <c r="D936" s="123"/>
      <c r="E936" s="123"/>
      <c r="F936" s="123"/>
      <c r="G936" s="123"/>
      <c r="H936" s="12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4"/>
      <c r="AB936" s="4"/>
      <c r="AC936" s="4"/>
    </row>
    <row r="937" spans="1:29" ht="14.25" customHeight="1">
      <c r="A937" s="58"/>
      <c r="B937" s="123"/>
      <c r="C937" s="123"/>
      <c r="D937" s="123"/>
      <c r="E937" s="123"/>
      <c r="F937" s="123"/>
      <c r="G937" s="123"/>
      <c r="H937" s="12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4"/>
      <c r="AB937" s="4"/>
      <c r="AC937" s="4"/>
    </row>
    <row r="938" spans="1:29" ht="14.25" customHeight="1">
      <c r="A938" s="58"/>
      <c r="B938" s="123"/>
      <c r="C938" s="123"/>
      <c r="D938" s="123"/>
      <c r="E938" s="123"/>
      <c r="F938" s="123"/>
      <c r="G938" s="123"/>
      <c r="H938" s="12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4"/>
      <c r="AB938" s="4"/>
      <c r="AC938" s="4"/>
    </row>
    <row r="939" spans="1:29" ht="14.25" customHeight="1">
      <c r="A939" s="58"/>
      <c r="B939" s="123"/>
      <c r="C939" s="123"/>
      <c r="D939" s="123"/>
      <c r="E939" s="123"/>
      <c r="F939" s="123"/>
      <c r="G939" s="123"/>
      <c r="H939" s="12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4"/>
      <c r="AB939" s="4"/>
      <c r="AC939" s="4"/>
    </row>
    <row r="940" spans="1:29" ht="14.25" customHeight="1">
      <c r="A940" s="58"/>
      <c r="B940" s="123"/>
      <c r="C940" s="123"/>
      <c r="D940" s="123"/>
      <c r="E940" s="123"/>
      <c r="F940" s="123"/>
      <c r="G940" s="123"/>
      <c r="H940" s="12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4"/>
      <c r="AB940" s="4"/>
      <c r="AC940" s="4"/>
    </row>
    <row r="941" spans="1:29" ht="14.25" customHeight="1">
      <c r="A941" s="58"/>
      <c r="B941" s="123"/>
      <c r="C941" s="123"/>
      <c r="D941" s="123"/>
      <c r="E941" s="123"/>
      <c r="F941" s="123"/>
      <c r="G941" s="123"/>
      <c r="H941" s="12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4"/>
      <c r="AB941" s="4"/>
      <c r="AC941" s="4"/>
    </row>
    <row r="942" spans="1:29" ht="14.25" customHeight="1">
      <c r="A942" s="58"/>
      <c r="B942" s="123"/>
      <c r="C942" s="123"/>
      <c r="D942" s="123"/>
      <c r="E942" s="123"/>
      <c r="F942" s="123"/>
      <c r="G942" s="123"/>
      <c r="H942" s="12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4"/>
      <c r="AB942" s="4"/>
      <c r="AC942" s="4"/>
    </row>
    <row r="943" spans="1:29" ht="14.25" customHeight="1">
      <c r="A943" s="58"/>
      <c r="B943" s="123"/>
      <c r="C943" s="123"/>
      <c r="D943" s="123"/>
      <c r="E943" s="123"/>
      <c r="F943" s="123"/>
      <c r="G943" s="123"/>
      <c r="H943" s="12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4"/>
      <c r="AB943" s="4"/>
      <c r="AC943" s="4"/>
    </row>
    <row r="944" spans="1:29" ht="14.25" customHeight="1">
      <c r="A944" s="58"/>
      <c r="B944" s="123"/>
      <c r="C944" s="123"/>
      <c r="D944" s="123"/>
      <c r="E944" s="123"/>
      <c r="F944" s="123"/>
      <c r="G944" s="123"/>
      <c r="H944" s="12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4"/>
      <c r="AB944" s="4"/>
      <c r="AC944" s="4"/>
    </row>
    <row r="945" spans="1:29" ht="14.25" customHeight="1">
      <c r="A945" s="58"/>
      <c r="B945" s="123"/>
      <c r="C945" s="123"/>
      <c r="D945" s="123"/>
      <c r="E945" s="123"/>
      <c r="F945" s="123"/>
      <c r="G945" s="123"/>
      <c r="H945" s="12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4"/>
      <c r="AB945" s="4"/>
      <c r="AC945" s="4"/>
    </row>
    <row r="946" spans="1:29" ht="14.25" customHeight="1">
      <c r="A946" s="58"/>
      <c r="B946" s="123"/>
      <c r="C946" s="123"/>
      <c r="D946" s="123"/>
      <c r="E946" s="123"/>
      <c r="F946" s="123"/>
      <c r="G946" s="123"/>
      <c r="H946" s="12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4"/>
      <c r="AB946" s="4"/>
      <c r="AC946" s="4"/>
    </row>
    <row r="947" spans="1:29" ht="14.25" customHeight="1">
      <c r="A947" s="58"/>
      <c r="B947" s="123"/>
      <c r="C947" s="123"/>
      <c r="D947" s="123"/>
      <c r="E947" s="123"/>
      <c r="F947" s="123"/>
      <c r="G947" s="123"/>
      <c r="H947" s="12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4"/>
      <c r="AB947" s="4"/>
      <c r="AC947" s="4"/>
    </row>
    <row r="948" spans="1:29" ht="14.25" customHeight="1">
      <c r="A948" s="58"/>
      <c r="B948" s="123"/>
      <c r="C948" s="123"/>
      <c r="D948" s="123"/>
      <c r="E948" s="123"/>
      <c r="F948" s="123"/>
      <c r="G948" s="123"/>
      <c r="H948" s="12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4"/>
      <c r="AB948" s="4"/>
      <c r="AC948" s="4"/>
    </row>
    <row r="949" spans="1:29" ht="14.25" customHeight="1">
      <c r="A949" s="58"/>
      <c r="B949" s="123"/>
      <c r="C949" s="123"/>
      <c r="D949" s="123"/>
      <c r="E949" s="123"/>
      <c r="F949" s="123"/>
      <c r="G949" s="123"/>
      <c r="H949" s="12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4"/>
      <c r="AB949" s="4"/>
      <c r="AC949" s="4"/>
    </row>
    <row r="950" spans="1:29" ht="14.25" customHeight="1">
      <c r="A950" s="58"/>
      <c r="B950" s="123"/>
      <c r="C950" s="123"/>
      <c r="D950" s="123"/>
      <c r="E950" s="123"/>
      <c r="F950" s="123"/>
      <c r="G950" s="123"/>
      <c r="H950" s="12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4"/>
      <c r="AB950" s="4"/>
      <c r="AC950" s="4"/>
    </row>
    <row r="951" spans="1:29" ht="14.25" customHeight="1">
      <c r="A951" s="58"/>
      <c r="B951" s="123"/>
      <c r="C951" s="123"/>
      <c r="D951" s="123"/>
      <c r="E951" s="123"/>
      <c r="F951" s="123"/>
      <c r="G951" s="123"/>
      <c r="H951" s="12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4"/>
      <c r="AB951" s="4"/>
      <c r="AC951" s="4"/>
    </row>
    <row r="952" spans="1:29" ht="14.25" customHeight="1">
      <c r="A952" s="58"/>
      <c r="B952" s="123"/>
      <c r="C952" s="123"/>
      <c r="D952" s="123"/>
      <c r="E952" s="123"/>
      <c r="F952" s="123"/>
      <c r="G952" s="123"/>
      <c r="H952" s="12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4"/>
      <c r="AB952" s="4"/>
      <c r="AC952" s="4"/>
    </row>
    <row r="953" spans="1:29" ht="14.25" customHeight="1">
      <c r="A953" s="58"/>
      <c r="B953" s="123"/>
      <c r="C953" s="123"/>
      <c r="D953" s="123"/>
      <c r="E953" s="123"/>
      <c r="F953" s="123"/>
      <c r="G953" s="123"/>
      <c r="H953" s="12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4"/>
      <c r="AB953" s="4"/>
      <c r="AC953" s="4"/>
    </row>
    <row r="954" spans="1:29" ht="14.25" customHeight="1">
      <c r="A954" s="58"/>
      <c r="B954" s="123"/>
      <c r="C954" s="123"/>
      <c r="D954" s="123"/>
      <c r="E954" s="123"/>
      <c r="F954" s="123"/>
      <c r="G954" s="123"/>
      <c r="H954" s="12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4"/>
      <c r="AB954" s="4"/>
      <c r="AC954" s="4"/>
    </row>
    <row r="955" spans="1:29" ht="14.25" customHeight="1">
      <c r="A955" s="58"/>
      <c r="B955" s="123"/>
      <c r="C955" s="123"/>
      <c r="D955" s="123"/>
      <c r="E955" s="123"/>
      <c r="F955" s="123"/>
      <c r="G955" s="123"/>
      <c r="H955" s="12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4"/>
      <c r="AB955" s="4"/>
      <c r="AC955" s="4"/>
    </row>
    <row r="956" spans="1:29" ht="14.25" customHeight="1">
      <c r="A956" s="58"/>
      <c r="B956" s="123"/>
      <c r="C956" s="123"/>
      <c r="D956" s="123"/>
      <c r="E956" s="123"/>
      <c r="F956" s="123"/>
      <c r="G956" s="123"/>
      <c r="H956" s="12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4"/>
      <c r="AB956" s="4"/>
      <c r="AC956" s="4"/>
    </row>
    <row r="957" spans="1:29" ht="14.25" customHeight="1">
      <c r="A957" s="58"/>
      <c r="B957" s="123"/>
      <c r="C957" s="123"/>
      <c r="D957" s="123"/>
      <c r="E957" s="123"/>
      <c r="F957" s="123"/>
      <c r="G957" s="123"/>
      <c r="H957" s="12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4"/>
      <c r="AB957" s="4"/>
      <c r="AC957" s="4"/>
    </row>
    <row r="958" spans="1:29" ht="14.25" customHeight="1">
      <c r="A958" s="58"/>
      <c r="B958" s="123"/>
      <c r="C958" s="123"/>
      <c r="D958" s="123"/>
      <c r="E958" s="123"/>
      <c r="F958" s="123"/>
      <c r="G958" s="123"/>
      <c r="H958" s="12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4"/>
      <c r="AB958" s="4"/>
      <c r="AC958" s="4"/>
    </row>
    <row r="959" spans="1:29" ht="14.25" customHeight="1">
      <c r="A959" s="58"/>
      <c r="B959" s="123"/>
      <c r="C959" s="123"/>
      <c r="D959" s="123"/>
      <c r="E959" s="123"/>
      <c r="F959" s="123"/>
      <c r="G959" s="123"/>
      <c r="H959" s="12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4"/>
      <c r="AB959" s="4"/>
      <c r="AC959" s="4"/>
    </row>
    <row r="960" spans="1:29" ht="14.25" customHeight="1">
      <c r="A960" s="58"/>
      <c r="B960" s="123"/>
      <c r="C960" s="123"/>
      <c r="D960" s="123"/>
      <c r="E960" s="123"/>
      <c r="F960" s="123"/>
      <c r="G960" s="123"/>
      <c r="H960" s="12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4"/>
      <c r="AB960" s="4"/>
      <c r="AC960" s="4"/>
    </row>
    <row r="961" spans="1:29" ht="14.25" customHeight="1">
      <c r="A961" s="58"/>
      <c r="B961" s="123"/>
      <c r="C961" s="123"/>
      <c r="D961" s="123"/>
      <c r="E961" s="123"/>
      <c r="F961" s="123"/>
      <c r="G961" s="123"/>
      <c r="H961" s="12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4"/>
      <c r="AB961" s="4"/>
      <c r="AC961" s="4"/>
    </row>
    <row r="962" spans="1:29" ht="14.25" customHeight="1">
      <c r="A962" s="58"/>
      <c r="B962" s="123"/>
      <c r="C962" s="123"/>
      <c r="D962" s="123"/>
      <c r="E962" s="123"/>
      <c r="F962" s="123"/>
      <c r="G962" s="123"/>
      <c r="H962" s="12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4"/>
      <c r="AB962" s="4"/>
      <c r="AC962" s="4"/>
    </row>
    <row r="963" spans="1:29" ht="14.25" customHeight="1">
      <c r="A963" s="58"/>
      <c r="B963" s="123"/>
      <c r="C963" s="123"/>
      <c r="D963" s="123"/>
      <c r="E963" s="123"/>
      <c r="F963" s="123"/>
      <c r="G963" s="123"/>
      <c r="H963" s="12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4"/>
      <c r="AB963" s="4"/>
      <c r="AC963" s="4"/>
    </row>
    <row r="964" spans="1:29" ht="14.25" customHeight="1">
      <c r="A964" s="58"/>
      <c r="B964" s="123"/>
      <c r="C964" s="123"/>
      <c r="D964" s="123"/>
      <c r="E964" s="123"/>
      <c r="F964" s="123"/>
      <c r="G964" s="123"/>
      <c r="H964" s="12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4"/>
      <c r="AB964" s="4"/>
      <c r="AC964" s="4"/>
    </row>
    <row r="965" spans="1:29" ht="14.25" customHeight="1">
      <c r="A965" s="58"/>
      <c r="B965" s="123"/>
      <c r="C965" s="123"/>
      <c r="D965" s="123"/>
      <c r="E965" s="123"/>
      <c r="F965" s="123"/>
      <c r="G965" s="123"/>
      <c r="H965" s="12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4"/>
      <c r="AB965" s="4"/>
      <c r="AC965" s="4"/>
    </row>
    <row r="966" spans="1:29" ht="14.25" customHeight="1">
      <c r="A966" s="58"/>
      <c r="B966" s="123"/>
      <c r="C966" s="123"/>
      <c r="D966" s="123"/>
      <c r="E966" s="123"/>
      <c r="F966" s="123"/>
      <c r="G966" s="123"/>
      <c r="H966" s="12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4"/>
      <c r="AB966" s="4"/>
      <c r="AC966" s="4"/>
    </row>
    <row r="967" spans="1:29" ht="14.25" customHeight="1">
      <c r="A967" s="58"/>
      <c r="B967" s="123"/>
      <c r="C967" s="123"/>
      <c r="D967" s="123"/>
      <c r="E967" s="123"/>
      <c r="F967" s="123"/>
      <c r="G967" s="123"/>
      <c r="H967" s="12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4"/>
      <c r="AB967" s="4"/>
      <c r="AC967" s="4"/>
    </row>
    <row r="968" spans="1:29" ht="14.25" customHeight="1">
      <c r="A968" s="58"/>
      <c r="B968" s="123"/>
      <c r="C968" s="123"/>
      <c r="D968" s="123"/>
      <c r="E968" s="123"/>
      <c r="F968" s="123"/>
      <c r="G968" s="123"/>
      <c r="H968" s="12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4"/>
      <c r="AB968" s="4"/>
      <c r="AC968" s="4"/>
    </row>
    <row r="969" spans="1:29" ht="14.25" customHeight="1">
      <c r="A969" s="58"/>
      <c r="B969" s="123"/>
      <c r="C969" s="123"/>
      <c r="D969" s="123"/>
      <c r="E969" s="123"/>
      <c r="F969" s="123"/>
      <c r="G969" s="123"/>
      <c r="H969" s="12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4"/>
      <c r="AB969" s="4"/>
      <c r="AC969" s="4"/>
    </row>
    <row r="970" spans="1:29" ht="14.25" customHeight="1">
      <c r="A970" s="58"/>
      <c r="B970" s="123"/>
      <c r="C970" s="123"/>
      <c r="D970" s="123"/>
      <c r="E970" s="123"/>
      <c r="F970" s="123"/>
      <c r="G970" s="123"/>
      <c r="H970" s="12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4"/>
      <c r="AB970" s="4"/>
      <c r="AC970" s="4"/>
    </row>
    <row r="971" spans="1:29" ht="14.25" customHeight="1">
      <c r="A971" s="58"/>
      <c r="B971" s="123"/>
      <c r="C971" s="123"/>
      <c r="D971" s="123"/>
      <c r="E971" s="123"/>
      <c r="F971" s="123"/>
      <c r="G971" s="123"/>
      <c r="H971" s="12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4"/>
      <c r="AB971" s="4"/>
      <c r="AC971" s="4"/>
    </row>
    <row r="972" spans="1:29" ht="14.25" customHeight="1">
      <c r="A972" s="58"/>
      <c r="B972" s="123"/>
      <c r="C972" s="123"/>
      <c r="D972" s="123"/>
      <c r="E972" s="123"/>
      <c r="F972" s="123"/>
      <c r="G972" s="123"/>
      <c r="H972" s="12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4"/>
      <c r="AB972" s="4"/>
      <c r="AC972" s="4"/>
    </row>
    <row r="973" spans="1:29" ht="14.25" customHeight="1">
      <c r="A973" s="58"/>
      <c r="B973" s="123"/>
      <c r="C973" s="123"/>
      <c r="D973" s="123"/>
      <c r="E973" s="123"/>
      <c r="F973" s="123"/>
      <c r="G973" s="123"/>
      <c r="H973" s="12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4"/>
      <c r="AB973" s="4"/>
      <c r="AC973" s="4"/>
    </row>
    <row r="974" spans="1:29" ht="14.25" customHeight="1">
      <c r="A974" s="58"/>
      <c r="B974" s="123"/>
      <c r="C974" s="123"/>
      <c r="D974" s="123"/>
      <c r="E974" s="123"/>
      <c r="F974" s="123"/>
      <c r="G974" s="123"/>
      <c r="H974" s="12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4"/>
      <c r="AB974" s="4"/>
      <c r="AC974" s="4"/>
    </row>
    <row r="975" spans="1:29" ht="14.25" customHeight="1">
      <c r="A975" s="58"/>
      <c r="B975" s="123"/>
      <c r="C975" s="123"/>
      <c r="D975" s="123"/>
      <c r="E975" s="123"/>
      <c r="F975" s="123"/>
      <c r="G975" s="123"/>
      <c r="H975" s="12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4"/>
      <c r="AB975" s="4"/>
      <c r="AC975" s="4"/>
    </row>
    <row r="976" spans="1:29" ht="14.25" customHeight="1">
      <c r="A976" s="58"/>
      <c r="B976" s="123"/>
      <c r="C976" s="123"/>
      <c r="D976" s="123"/>
      <c r="E976" s="123"/>
      <c r="F976" s="123"/>
      <c r="G976" s="123"/>
      <c r="H976" s="12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4"/>
      <c r="AB976" s="4"/>
      <c r="AC976" s="4"/>
    </row>
    <row r="977" spans="1:29" ht="14.25" customHeight="1">
      <c r="A977" s="58"/>
      <c r="B977" s="123"/>
      <c r="C977" s="123"/>
      <c r="D977" s="123"/>
      <c r="E977" s="123"/>
      <c r="F977" s="123"/>
      <c r="G977" s="123"/>
      <c r="H977" s="12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4"/>
      <c r="AB977" s="4"/>
      <c r="AC977" s="4"/>
    </row>
    <row r="978" spans="1:29" ht="14.25" customHeight="1">
      <c r="A978" s="58"/>
      <c r="B978" s="123"/>
      <c r="C978" s="123"/>
      <c r="D978" s="123"/>
      <c r="E978" s="123"/>
      <c r="F978" s="123"/>
      <c r="G978" s="123"/>
      <c r="H978" s="12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4"/>
      <c r="AB978" s="4"/>
      <c r="AC978" s="4"/>
    </row>
    <row r="979" spans="1:29" ht="14.25" customHeight="1">
      <c r="A979" s="58"/>
      <c r="B979" s="123"/>
      <c r="C979" s="123"/>
      <c r="D979" s="123"/>
      <c r="E979" s="123"/>
      <c r="F979" s="123"/>
      <c r="G979" s="123"/>
      <c r="H979" s="12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4"/>
      <c r="AB979" s="4"/>
      <c r="AC979" s="4"/>
    </row>
    <row r="980" spans="1:29" ht="14.25" customHeight="1">
      <c r="A980" s="58"/>
      <c r="B980" s="123"/>
      <c r="C980" s="123"/>
      <c r="D980" s="123"/>
      <c r="E980" s="123"/>
      <c r="F980" s="123"/>
      <c r="G980" s="123"/>
      <c r="H980" s="12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4"/>
      <c r="AB980" s="4"/>
      <c r="AC980" s="4"/>
    </row>
    <row r="981" spans="1:29" ht="14.25" customHeight="1">
      <c r="A981" s="58"/>
      <c r="B981" s="123"/>
      <c r="C981" s="123"/>
      <c r="D981" s="123"/>
      <c r="E981" s="123"/>
      <c r="F981" s="123"/>
      <c r="G981" s="123"/>
      <c r="H981" s="12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4"/>
      <c r="AB981" s="4"/>
      <c r="AC981" s="4"/>
    </row>
    <row r="982" spans="1:29" ht="14.25" customHeight="1">
      <c r="A982" s="58"/>
      <c r="B982" s="123"/>
      <c r="C982" s="123"/>
      <c r="D982" s="123"/>
      <c r="E982" s="123"/>
      <c r="F982" s="123"/>
      <c r="G982" s="123"/>
      <c r="H982" s="12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4"/>
      <c r="AB982" s="4"/>
      <c r="AC982" s="4"/>
    </row>
    <row r="983" spans="1:29" ht="14.25" customHeight="1">
      <c r="A983" s="58"/>
      <c r="B983" s="123"/>
      <c r="C983" s="123"/>
      <c r="D983" s="123"/>
      <c r="E983" s="123"/>
      <c r="F983" s="123"/>
      <c r="G983" s="123"/>
      <c r="H983" s="12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4"/>
      <c r="AB983" s="4"/>
      <c r="AC983" s="4"/>
    </row>
    <row r="984" spans="1:29" ht="14.25" customHeight="1">
      <c r="A984" s="58"/>
      <c r="B984" s="123"/>
      <c r="C984" s="123"/>
      <c r="D984" s="123"/>
      <c r="E984" s="123"/>
      <c r="F984" s="123"/>
      <c r="G984" s="123"/>
      <c r="H984" s="12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4"/>
      <c r="AB984" s="4"/>
      <c r="AC984" s="4"/>
    </row>
    <row r="985" spans="1:29" ht="14.25" customHeight="1">
      <c r="A985" s="58"/>
      <c r="B985" s="123"/>
      <c r="C985" s="123"/>
      <c r="D985" s="123"/>
      <c r="E985" s="123"/>
      <c r="F985" s="123"/>
      <c r="G985" s="123"/>
      <c r="H985" s="12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4"/>
      <c r="AB985" s="4"/>
      <c r="AC985" s="4"/>
    </row>
    <row r="986" spans="1:29" ht="14.25" customHeight="1">
      <c r="A986" s="58"/>
      <c r="B986" s="123"/>
      <c r="C986" s="123"/>
      <c r="D986" s="123"/>
      <c r="E986" s="123"/>
      <c r="F986" s="123"/>
      <c r="G986" s="123"/>
      <c r="H986" s="12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4"/>
      <c r="AB986" s="4"/>
      <c r="AC986" s="4"/>
    </row>
    <row r="987" spans="1:29" ht="14.25" customHeight="1">
      <c r="A987" s="58"/>
      <c r="B987" s="123"/>
      <c r="C987" s="123"/>
      <c r="D987" s="123"/>
      <c r="E987" s="123"/>
      <c r="F987" s="123"/>
      <c r="G987" s="123"/>
      <c r="H987" s="12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4"/>
      <c r="AB987" s="4"/>
      <c r="AC987" s="4"/>
    </row>
    <row r="988" spans="1:29" ht="14.25" customHeight="1">
      <c r="A988" s="58"/>
      <c r="B988" s="123"/>
      <c r="C988" s="123"/>
      <c r="D988" s="123"/>
      <c r="E988" s="123"/>
      <c r="F988" s="123"/>
      <c r="G988" s="123"/>
      <c r="H988" s="12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4"/>
      <c r="AB988" s="4"/>
      <c r="AC988" s="4"/>
    </row>
    <row r="989" spans="1:29" ht="14.25" customHeight="1">
      <c r="A989" s="58"/>
      <c r="B989" s="123"/>
      <c r="C989" s="123"/>
      <c r="D989" s="123"/>
      <c r="E989" s="123"/>
      <c r="F989" s="123"/>
      <c r="G989" s="123"/>
      <c r="H989" s="12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4"/>
      <c r="AB989" s="4"/>
      <c r="AC989" s="4"/>
    </row>
    <row r="990" spans="1:29" ht="14.25" customHeight="1">
      <c r="A990" s="58"/>
      <c r="B990" s="123"/>
      <c r="C990" s="123"/>
      <c r="D990" s="123"/>
      <c r="E990" s="123"/>
      <c r="F990" s="123"/>
      <c r="G990" s="123"/>
      <c r="H990" s="12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4"/>
      <c r="AB990" s="4"/>
      <c r="AC990" s="4"/>
    </row>
    <row r="991" spans="1:29" ht="14.25" customHeight="1">
      <c r="A991" s="58"/>
      <c r="B991" s="123"/>
      <c r="C991" s="123"/>
      <c r="D991" s="123"/>
      <c r="E991" s="123"/>
      <c r="F991" s="123"/>
      <c r="G991" s="123"/>
      <c r="H991" s="12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4"/>
      <c r="AB991" s="4"/>
      <c r="AC991" s="4"/>
    </row>
    <row r="992" spans="1:29" ht="14.25" customHeight="1">
      <c r="A992" s="58"/>
      <c r="B992" s="123"/>
      <c r="C992" s="123"/>
      <c r="D992" s="123"/>
      <c r="E992" s="123"/>
      <c r="F992" s="123"/>
      <c r="G992" s="123"/>
      <c r="H992" s="12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4"/>
      <c r="AB992" s="4"/>
      <c r="AC992" s="4"/>
    </row>
    <row r="993" spans="1:29" ht="14.25" customHeight="1">
      <c r="A993" s="58"/>
      <c r="B993" s="123"/>
      <c r="C993" s="123"/>
      <c r="D993" s="123"/>
      <c r="E993" s="123"/>
      <c r="F993" s="123"/>
      <c r="G993" s="123"/>
      <c r="H993" s="12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4"/>
      <c r="AB993" s="4"/>
      <c r="AC993" s="4"/>
    </row>
    <row r="994" spans="1:29" ht="14.25" customHeight="1">
      <c r="A994" s="58"/>
      <c r="B994" s="123"/>
      <c r="C994" s="123"/>
      <c r="D994" s="123"/>
      <c r="E994" s="123"/>
      <c r="F994" s="123"/>
      <c r="G994" s="123"/>
      <c r="H994" s="12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4"/>
      <c r="AB994" s="4"/>
      <c r="AC994" s="4"/>
    </row>
    <row r="995" spans="1:29" ht="14.25" customHeight="1">
      <c r="A995" s="58"/>
      <c r="B995" s="123"/>
      <c r="C995" s="123"/>
      <c r="D995" s="123"/>
      <c r="E995" s="123"/>
      <c r="F995" s="123"/>
      <c r="G995" s="123"/>
      <c r="H995" s="12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4"/>
      <c r="AB995" s="4"/>
      <c r="AC995" s="4"/>
    </row>
    <row r="996" spans="1:29" ht="14.25" customHeight="1">
      <c r="A996" s="58"/>
      <c r="B996" s="123"/>
      <c r="C996" s="123"/>
      <c r="D996" s="123"/>
      <c r="E996" s="123"/>
      <c r="F996" s="123"/>
      <c r="G996" s="123"/>
      <c r="H996" s="12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4"/>
      <c r="AB996" s="4"/>
      <c r="AC996" s="4"/>
    </row>
    <row r="997" spans="1:29" ht="14.25" customHeight="1">
      <c r="A997" s="58"/>
      <c r="B997" s="123"/>
      <c r="C997" s="123"/>
      <c r="D997" s="123"/>
      <c r="E997" s="123"/>
      <c r="F997" s="123"/>
      <c r="G997" s="123"/>
      <c r="H997" s="12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4"/>
      <c r="AB997" s="4"/>
      <c r="AC997" s="4"/>
    </row>
    <row r="998" spans="1:29" ht="14.25" customHeight="1">
      <c r="A998" s="58"/>
      <c r="B998" s="123"/>
      <c r="C998" s="123"/>
      <c r="D998" s="123"/>
      <c r="E998" s="123"/>
      <c r="F998" s="123"/>
      <c r="G998" s="123"/>
      <c r="H998" s="12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4"/>
      <c r="AB998" s="4"/>
      <c r="AC998" s="4"/>
    </row>
    <row r="999" spans="1:29" ht="14.25" customHeight="1">
      <c r="A999" s="58"/>
      <c r="B999" s="123"/>
      <c r="C999" s="123"/>
      <c r="D999" s="123"/>
      <c r="E999" s="123"/>
      <c r="F999" s="123"/>
      <c r="G999" s="123"/>
      <c r="H999" s="12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4"/>
      <c r="AB999" s="4"/>
      <c r="AC999" s="4"/>
    </row>
    <row r="1000" spans="1:29" ht="14.25" customHeight="1">
      <c r="A1000" s="58"/>
      <c r="B1000" s="123"/>
      <c r="C1000" s="123"/>
      <c r="D1000" s="123"/>
      <c r="E1000" s="123"/>
      <c r="F1000" s="123"/>
      <c r="G1000" s="123"/>
      <c r="H1000" s="12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4"/>
      <c r="AB1000" s="4"/>
      <c r="AC1000" s="4"/>
    </row>
  </sheetData>
  <autoFilter ref="A5:AC100" xr:uid="{00000000-0009-0000-0000-000001000000}"/>
  <mergeCells count="114">
    <mergeCell ref="W59:W60"/>
    <mergeCell ref="W61:W62"/>
    <mergeCell ref="W64:W69"/>
    <mergeCell ref="W70:W91"/>
    <mergeCell ref="W92:W96"/>
    <mergeCell ref="W98:W99"/>
    <mergeCell ref="K59:K60"/>
    <mergeCell ref="M59:M60"/>
    <mergeCell ref="U59:U60"/>
    <mergeCell ref="K61:K62"/>
    <mergeCell ref="M61:M62"/>
    <mergeCell ref="Q61:Q62"/>
    <mergeCell ref="U61:U62"/>
    <mergeCell ref="S92:S96"/>
    <mergeCell ref="S98:S99"/>
    <mergeCell ref="S59:S60"/>
    <mergeCell ref="S61:S62"/>
    <mergeCell ref="S64:S69"/>
    <mergeCell ref="U64:U69"/>
    <mergeCell ref="S70:S91"/>
    <mergeCell ref="U70:U91"/>
    <mergeCell ref="U92:U96"/>
    <mergeCell ref="U98:U99"/>
    <mergeCell ref="U56:U58"/>
    <mergeCell ref="W56:W58"/>
    <mergeCell ref="M35:M36"/>
    <mergeCell ref="M37:M38"/>
    <mergeCell ref="K39:K54"/>
    <mergeCell ref="O39:O55"/>
    <mergeCell ref="S39:S54"/>
    <mergeCell ref="K56:K58"/>
    <mergeCell ref="O56:O58"/>
    <mergeCell ref="M56:M58"/>
    <mergeCell ref="Q39:Q54"/>
    <mergeCell ref="Q56:Q58"/>
    <mergeCell ref="Q59:Q60"/>
    <mergeCell ref="Q64:Q69"/>
    <mergeCell ref="Q70:Q91"/>
    <mergeCell ref="Q92:Q96"/>
    <mergeCell ref="Q98:Q99"/>
    <mergeCell ref="S56:S58"/>
    <mergeCell ref="K70:K91"/>
    <mergeCell ref="K92:K96"/>
    <mergeCell ref="K98:K99"/>
    <mergeCell ref="O70:O91"/>
    <mergeCell ref="O92:O96"/>
    <mergeCell ref="M98:M99"/>
    <mergeCell ref="O98:O99"/>
    <mergeCell ref="O59:O60"/>
    <mergeCell ref="O61:O62"/>
    <mergeCell ref="K64:K69"/>
    <mergeCell ref="M64:M69"/>
    <mergeCell ref="O64:O69"/>
    <mergeCell ref="M70:M91"/>
    <mergeCell ref="M92:M96"/>
    <mergeCell ref="K35:K36"/>
    <mergeCell ref="O35:O36"/>
    <mergeCell ref="K37:K38"/>
    <mergeCell ref="O37:O38"/>
    <mergeCell ref="S35:S36"/>
    <mergeCell ref="S37:S38"/>
    <mergeCell ref="U37:U38"/>
    <mergeCell ref="W37:W38"/>
    <mergeCell ref="U39:U54"/>
    <mergeCell ref="W39:W54"/>
    <mergeCell ref="M39:M54"/>
    <mergeCell ref="K17:K25"/>
    <mergeCell ref="M17:M25"/>
    <mergeCell ref="O17:O25"/>
    <mergeCell ref="M26:M30"/>
    <mergeCell ref="O26:O30"/>
    <mergeCell ref="K26:K30"/>
    <mergeCell ref="K32:K34"/>
    <mergeCell ref="M32:M34"/>
    <mergeCell ref="O32:O34"/>
    <mergeCell ref="K13:K14"/>
    <mergeCell ref="O13:O14"/>
    <mergeCell ref="S13:S14"/>
    <mergeCell ref="W13:W14"/>
    <mergeCell ref="K15:K16"/>
    <mergeCell ref="O15:O16"/>
    <mergeCell ref="S15:S16"/>
    <mergeCell ref="W15:W16"/>
    <mergeCell ref="M13:M14"/>
    <mergeCell ref="M15:M16"/>
    <mergeCell ref="U7:U9"/>
    <mergeCell ref="W7:W9"/>
    <mergeCell ref="J3:W3"/>
    <mergeCell ref="G4:H4"/>
    <mergeCell ref="K7:K9"/>
    <mergeCell ref="M7:M9"/>
    <mergeCell ref="O7:O9"/>
    <mergeCell ref="Q7:Q9"/>
    <mergeCell ref="S7:S9"/>
    <mergeCell ref="Q32:Q34"/>
    <mergeCell ref="Q35:Q36"/>
    <mergeCell ref="Q37:Q38"/>
    <mergeCell ref="Q13:Q14"/>
    <mergeCell ref="Q15:Q16"/>
    <mergeCell ref="Q17:Q25"/>
    <mergeCell ref="S17:S25"/>
    <mergeCell ref="Q26:Q30"/>
    <mergeCell ref="S26:S30"/>
    <mergeCell ref="S32:S34"/>
    <mergeCell ref="U32:U34"/>
    <mergeCell ref="U35:U36"/>
    <mergeCell ref="U13:U14"/>
    <mergeCell ref="U15:U16"/>
    <mergeCell ref="U17:U25"/>
    <mergeCell ref="W17:W25"/>
    <mergeCell ref="U26:U30"/>
    <mergeCell ref="W26:W30"/>
    <mergeCell ref="W32:W34"/>
    <mergeCell ref="W35:W36"/>
  </mergeCells>
  <conditionalFormatting sqref="I6:I99">
    <cfRule type="containsText" dxfId="9" priority="1" operator="containsText" text="Will be Updated">
      <formula>NOT(ISERROR(SEARCH(("Will be Updated"),(I6))))</formula>
    </cfRule>
    <cfRule type="cellIs" dxfId="8" priority="2" operator="equal">
      <formula>"Partial Delivery"</formula>
    </cfRule>
    <cfRule type="cellIs" dxfId="7" priority="3" operator="equal">
      <formula>"Delivery"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Z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4.42578125" defaultRowHeight="15" customHeight="1" outlineLevelRow="1"/>
  <cols>
    <col min="1" max="1" width="6" customWidth="1"/>
    <col min="2" max="2" width="8.7109375" customWidth="1"/>
    <col min="3" max="3" width="19.28515625" customWidth="1"/>
    <col min="4" max="4" width="13" customWidth="1"/>
    <col min="5" max="5" width="18.7109375" customWidth="1"/>
    <col min="6" max="6" width="25.42578125" customWidth="1"/>
    <col min="7" max="12" width="12.42578125" customWidth="1"/>
    <col min="13" max="13" width="13" customWidth="1"/>
    <col min="14" max="14" width="11.28515625" customWidth="1"/>
    <col min="15" max="15" width="2.7109375" customWidth="1"/>
    <col min="16" max="16" width="11.28515625" customWidth="1"/>
    <col min="17" max="26" width="8.7109375" customWidth="1"/>
  </cols>
  <sheetData>
    <row r="1" spans="1:26" ht="14.25" customHeight="1">
      <c r="A1" s="125"/>
      <c r="B1" s="125"/>
      <c r="C1" s="314" t="s">
        <v>316</v>
      </c>
      <c r="D1" s="315"/>
      <c r="E1" s="126"/>
      <c r="F1" s="125"/>
      <c r="G1" s="127"/>
      <c r="H1" s="128" t="s">
        <v>317</v>
      </c>
      <c r="I1" s="127"/>
      <c r="J1" s="126"/>
      <c r="K1" s="126"/>
      <c r="L1" s="126"/>
      <c r="M1" s="126"/>
      <c r="N1" s="129"/>
      <c r="O1" s="125"/>
      <c r="P1" s="129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4.25" customHeight="1">
      <c r="A2" s="125"/>
      <c r="B2" s="125"/>
      <c r="C2" s="316"/>
      <c r="D2" s="317"/>
      <c r="E2" s="126"/>
      <c r="F2" s="125"/>
      <c r="G2" s="130"/>
      <c r="H2" s="131" t="s">
        <v>318</v>
      </c>
      <c r="I2" s="130"/>
      <c r="J2" s="130"/>
      <c r="K2" s="130"/>
      <c r="L2" s="130"/>
      <c r="M2" s="130"/>
      <c r="N2" s="129"/>
      <c r="O2" s="125"/>
      <c r="P2" s="129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spans="1:26" ht="14.25" customHeight="1">
      <c r="A3" s="125"/>
      <c r="B3" s="132" t="s">
        <v>319</v>
      </c>
      <c r="C3" s="132" t="s">
        <v>320</v>
      </c>
      <c r="D3" s="132" t="s">
        <v>321</v>
      </c>
      <c r="E3" s="133" t="s">
        <v>2</v>
      </c>
      <c r="F3" s="133" t="s">
        <v>322</v>
      </c>
      <c r="G3" s="134"/>
      <c r="H3" s="135" t="s">
        <v>323</v>
      </c>
      <c r="I3" s="134"/>
      <c r="J3" s="134"/>
      <c r="K3" s="134"/>
      <c r="L3" s="134"/>
      <c r="M3" s="134"/>
      <c r="N3" s="129"/>
      <c r="O3" s="125"/>
      <c r="P3" s="129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 spans="1:26" ht="14.25" customHeight="1">
      <c r="A4" s="136"/>
      <c r="B4" s="137" t="s">
        <v>284</v>
      </c>
      <c r="C4" s="137">
        <v>47</v>
      </c>
      <c r="D4" s="137">
        <v>2025</v>
      </c>
      <c r="E4" s="138" t="e">
        <f t="array" aca="1" ref="E4" ca="1">_xludf.XLOOKUP(B4&amp;D4,Mapping!$G:$G,Mapping!$B:$B,0,0,-1)</f>
        <v>#NAME?</v>
      </c>
      <c r="F4" s="139" t="e">
        <f t="array" aca="1" ref="F4" ca="1">_xludf.XLOOKUP(B4,Mapping!N:N,Mapping!P:P)</f>
        <v>#NAME?</v>
      </c>
      <c r="G4" s="140" t="s">
        <v>324</v>
      </c>
      <c r="H4" s="140"/>
      <c r="I4" s="140"/>
      <c r="J4" s="140"/>
      <c r="K4" s="140"/>
      <c r="L4" s="140"/>
      <c r="M4" s="140"/>
      <c r="N4" s="141">
        <f>SUM(G4:L4)</f>
        <v>0</v>
      </c>
      <c r="O4" s="142"/>
      <c r="P4" s="141">
        <f>SUM(I4:N4)</f>
        <v>0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spans="1:26" ht="14.25" customHeight="1">
      <c r="A5" s="143" t="s">
        <v>325</v>
      </c>
      <c r="B5" s="144" t="s">
        <v>326</v>
      </c>
      <c r="C5" s="144" t="s">
        <v>327</v>
      </c>
      <c r="D5" s="144" t="s">
        <v>328</v>
      </c>
      <c r="E5" s="145" t="s">
        <v>329</v>
      </c>
      <c r="F5" s="145" t="s">
        <v>327</v>
      </c>
      <c r="G5" s="146" t="s">
        <v>7</v>
      </c>
      <c r="H5" s="147" t="s">
        <v>9</v>
      </c>
      <c r="I5" s="147" t="s">
        <v>10</v>
      </c>
      <c r="J5" s="147" t="s">
        <v>11</v>
      </c>
      <c r="K5" s="147" t="s">
        <v>12</v>
      </c>
      <c r="L5" s="147" t="s">
        <v>13</v>
      </c>
      <c r="M5" s="148" t="s">
        <v>14</v>
      </c>
      <c r="N5" s="149" t="s">
        <v>330</v>
      </c>
      <c r="O5" s="125"/>
      <c r="P5" s="149" t="s">
        <v>331</v>
      </c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4.25" hidden="1" customHeight="1" outlineLevel="1">
      <c r="A6" s="150">
        <v>1</v>
      </c>
      <c r="B6" s="150" t="s">
        <v>332</v>
      </c>
      <c r="C6" s="150" t="str">
        <f t="shared" ref="C6:C18" si="0">MID(F6,4,LEN(F6))</f>
        <v xml:space="preserve"> Medan 1</v>
      </c>
      <c r="D6" s="151" t="s">
        <v>333</v>
      </c>
      <c r="E6" s="152" t="s">
        <v>334</v>
      </c>
      <c r="F6" s="150" t="s">
        <v>335</v>
      </c>
      <c r="G6" s="153" t="e">
        <f t="shared" ref="G6:M6" ca="1" si="1">SUMIFS(INDIRECT("'[WK "&amp;$C$4&amp;" "&amp;$D$4&amp;" East.xlsx]"&amp;G$5&amp;"'!$E:$E"),INDIRECT("'[WK "&amp;$C$4&amp;" "&amp;$D$4&amp;" East.xlsx]"&amp;G$5&amp;"'!$D:$D"),$E$4,INDIRECT("'[WK "&amp;$C$4&amp;" "&amp;$D$4&amp;" East.xlsx]"&amp;G$5&amp;"'!$J:$J"),$B6)+SUMIFS(INDIRECT("'[WK "&amp;$C$4&amp;" "&amp;$D$4&amp;" West.xlsx]"&amp;G$5&amp;"'!$E:$E"),INDIRECT("'[WK "&amp;$C$4&amp;" "&amp;$D$4&amp;" West.xlsx]"&amp;G$5&amp;"'!$D:$D"),$E$4,INDIRECT("'[WK "&amp;$C$4&amp;" "&amp;$D$4&amp;" West.xlsx]"&amp;G$5&amp;"'!$J:$J"),$B6)</f>
        <v>#REF!</v>
      </c>
      <c r="H6" s="154" t="e">
        <f t="shared" ca="1" si="1"/>
        <v>#REF!</v>
      </c>
      <c r="I6" s="154" t="e">
        <f t="shared" ca="1" si="1"/>
        <v>#REF!</v>
      </c>
      <c r="J6" s="154" t="e">
        <f t="shared" ca="1" si="1"/>
        <v>#REF!</v>
      </c>
      <c r="K6" s="154" t="e">
        <f t="shared" ca="1" si="1"/>
        <v>#REF!</v>
      </c>
      <c r="L6" s="154" t="e">
        <f t="shared" ca="1" si="1"/>
        <v>#REF!</v>
      </c>
      <c r="M6" s="155" t="e">
        <f t="shared" ca="1" si="1"/>
        <v>#REF!</v>
      </c>
      <c r="N6" s="156" t="e">
        <f t="shared" ref="N6:N111" ca="1" si="2">SUM(G6:M6)</f>
        <v>#REF!</v>
      </c>
      <c r="O6" s="142"/>
      <c r="P6" s="156" t="e">
        <f t="shared" ref="P6:P111" ca="1" si="3">N6*$F$4</f>
        <v>#REF!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4.25" hidden="1" customHeight="1" outlineLevel="1">
      <c r="A7" s="150">
        <v>1</v>
      </c>
      <c r="B7" s="150" t="s">
        <v>336</v>
      </c>
      <c r="C7" s="150" t="str">
        <f t="shared" si="0"/>
        <v xml:space="preserve"> Langkat</v>
      </c>
      <c r="D7" s="151" t="s">
        <v>333</v>
      </c>
      <c r="E7" s="152" t="s">
        <v>334</v>
      </c>
      <c r="F7" s="150" t="s">
        <v>337</v>
      </c>
      <c r="G7" s="153" t="e">
        <f t="shared" ref="G7:M7" ca="1" si="4">SUMIFS(INDIRECT("'[WK "&amp;$C$4&amp;" "&amp;$D$4&amp;" East.xlsx]"&amp;G$5&amp;"'!$E:$E"),INDIRECT("'[WK "&amp;$C$4&amp;" "&amp;$D$4&amp;" East.xlsx]"&amp;G$5&amp;"'!$D:$D"),$E$4,INDIRECT("'[WK "&amp;$C$4&amp;" "&amp;$D$4&amp;" East.xlsx]"&amp;G$5&amp;"'!$J:$J"),$B7)+SUMIFS(INDIRECT("'[WK "&amp;$C$4&amp;" "&amp;$D$4&amp;" West.xlsx]"&amp;G$5&amp;"'!$E:$E"),INDIRECT("'[WK "&amp;$C$4&amp;" "&amp;$D$4&amp;" West.xlsx]"&amp;G$5&amp;"'!$D:$D"),$E$4,INDIRECT("'[WK "&amp;$C$4&amp;" "&amp;$D$4&amp;" West.xlsx]"&amp;G$5&amp;"'!$J:$J"),$B7)</f>
        <v>#REF!</v>
      </c>
      <c r="H7" s="154" t="e">
        <f t="shared" ca="1" si="4"/>
        <v>#REF!</v>
      </c>
      <c r="I7" s="154" t="e">
        <f t="shared" ca="1" si="4"/>
        <v>#REF!</v>
      </c>
      <c r="J7" s="154" t="e">
        <f t="shared" ca="1" si="4"/>
        <v>#REF!</v>
      </c>
      <c r="K7" s="154" t="e">
        <f t="shared" ca="1" si="4"/>
        <v>#REF!</v>
      </c>
      <c r="L7" s="154" t="e">
        <f t="shared" ca="1" si="4"/>
        <v>#REF!</v>
      </c>
      <c r="M7" s="155" t="e">
        <f t="shared" ca="1" si="4"/>
        <v>#REF!</v>
      </c>
      <c r="N7" s="156" t="e">
        <f t="shared" ca="1" si="2"/>
        <v>#REF!</v>
      </c>
      <c r="O7" s="142"/>
      <c r="P7" s="156" t="e">
        <f t="shared" ca="1" si="3"/>
        <v>#REF!</v>
      </c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4.25" hidden="1" customHeight="1" outlineLevel="1">
      <c r="A8" s="150">
        <v>1</v>
      </c>
      <c r="B8" s="150" t="s">
        <v>338</v>
      </c>
      <c r="C8" s="150" t="str">
        <f t="shared" si="0"/>
        <v xml:space="preserve"> Medan 2</v>
      </c>
      <c r="D8" s="151" t="s">
        <v>333</v>
      </c>
      <c r="E8" s="152" t="s">
        <v>334</v>
      </c>
      <c r="F8" s="150" t="s">
        <v>339</v>
      </c>
      <c r="G8" s="153" t="e">
        <f t="shared" ref="G8:M8" ca="1" si="5">SUMIFS(INDIRECT("'[WK "&amp;$C$4&amp;" "&amp;$D$4&amp;" East.xlsx]"&amp;G$5&amp;"'!$E:$E"),INDIRECT("'[WK "&amp;$C$4&amp;" "&amp;$D$4&amp;" East.xlsx]"&amp;G$5&amp;"'!$D:$D"),$E$4,INDIRECT("'[WK "&amp;$C$4&amp;" "&amp;$D$4&amp;" East.xlsx]"&amp;G$5&amp;"'!$J:$J"),$B8)+SUMIFS(INDIRECT("'[WK "&amp;$C$4&amp;" "&amp;$D$4&amp;" West.xlsx]"&amp;G$5&amp;"'!$E:$E"),INDIRECT("'[WK "&amp;$C$4&amp;" "&amp;$D$4&amp;" West.xlsx]"&amp;G$5&amp;"'!$D:$D"),$E$4,INDIRECT("'[WK "&amp;$C$4&amp;" "&amp;$D$4&amp;" West.xlsx]"&amp;G$5&amp;"'!$J:$J"),$B8)</f>
        <v>#REF!</v>
      </c>
      <c r="H8" s="154" t="e">
        <f t="shared" ca="1" si="5"/>
        <v>#REF!</v>
      </c>
      <c r="I8" s="154" t="e">
        <f t="shared" ca="1" si="5"/>
        <v>#REF!</v>
      </c>
      <c r="J8" s="154" t="e">
        <f t="shared" ca="1" si="5"/>
        <v>#REF!</v>
      </c>
      <c r="K8" s="154" t="e">
        <f t="shared" ca="1" si="5"/>
        <v>#REF!</v>
      </c>
      <c r="L8" s="154" t="e">
        <f t="shared" ca="1" si="5"/>
        <v>#REF!</v>
      </c>
      <c r="M8" s="155" t="e">
        <f t="shared" ca="1" si="5"/>
        <v>#REF!</v>
      </c>
      <c r="N8" s="156" t="e">
        <f t="shared" ca="1" si="2"/>
        <v>#REF!</v>
      </c>
      <c r="O8" s="142"/>
      <c r="P8" s="156" t="e">
        <f t="shared" ca="1" si="3"/>
        <v>#REF!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4.25" hidden="1" customHeight="1" outlineLevel="1">
      <c r="A9" s="150">
        <v>1</v>
      </c>
      <c r="B9" s="150" t="s">
        <v>340</v>
      </c>
      <c r="C9" s="150" t="str">
        <f t="shared" si="0"/>
        <v xml:space="preserve"> Tanah Karo</v>
      </c>
      <c r="D9" s="151" t="s">
        <v>333</v>
      </c>
      <c r="E9" s="152" t="s">
        <v>334</v>
      </c>
      <c r="F9" s="150" t="s">
        <v>341</v>
      </c>
      <c r="G9" s="153" t="e">
        <f t="shared" ref="G9:M9" ca="1" si="6">SUMIFS(INDIRECT("'[WK "&amp;$C$4&amp;" "&amp;$D$4&amp;" East.xlsx]"&amp;G$5&amp;"'!$E:$E"),INDIRECT("'[WK "&amp;$C$4&amp;" "&amp;$D$4&amp;" East.xlsx]"&amp;G$5&amp;"'!$D:$D"),$E$4,INDIRECT("'[WK "&amp;$C$4&amp;" "&amp;$D$4&amp;" East.xlsx]"&amp;G$5&amp;"'!$J:$J"),$B9)+SUMIFS(INDIRECT("'[WK "&amp;$C$4&amp;" "&amp;$D$4&amp;" West.xlsx]"&amp;G$5&amp;"'!$E:$E"),INDIRECT("'[WK "&amp;$C$4&amp;" "&amp;$D$4&amp;" West.xlsx]"&amp;G$5&amp;"'!$D:$D"),$E$4,INDIRECT("'[WK "&amp;$C$4&amp;" "&amp;$D$4&amp;" West.xlsx]"&amp;G$5&amp;"'!$J:$J"),$B9)</f>
        <v>#REF!</v>
      </c>
      <c r="H9" s="154" t="e">
        <f t="shared" ca="1" si="6"/>
        <v>#REF!</v>
      </c>
      <c r="I9" s="154" t="e">
        <f t="shared" ca="1" si="6"/>
        <v>#REF!</v>
      </c>
      <c r="J9" s="154" t="e">
        <f t="shared" ca="1" si="6"/>
        <v>#REF!</v>
      </c>
      <c r="K9" s="154" t="e">
        <f t="shared" ca="1" si="6"/>
        <v>#REF!</v>
      </c>
      <c r="L9" s="154" t="e">
        <f t="shared" ca="1" si="6"/>
        <v>#REF!</v>
      </c>
      <c r="M9" s="155" t="e">
        <f t="shared" ca="1" si="6"/>
        <v>#REF!</v>
      </c>
      <c r="N9" s="156" t="e">
        <f t="shared" ca="1" si="2"/>
        <v>#REF!</v>
      </c>
      <c r="O9" s="142"/>
      <c r="P9" s="156" t="e">
        <f t="shared" ca="1" si="3"/>
        <v>#REF!</v>
      </c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4.25" hidden="1" customHeight="1" outlineLevel="1">
      <c r="A10" s="150">
        <v>1</v>
      </c>
      <c r="B10" s="150" t="s">
        <v>342</v>
      </c>
      <c r="C10" s="150" t="str">
        <f t="shared" si="0"/>
        <v xml:space="preserve"> Pematang Siantar</v>
      </c>
      <c r="D10" s="151" t="s">
        <v>333</v>
      </c>
      <c r="E10" s="152" t="s">
        <v>334</v>
      </c>
      <c r="F10" s="150" t="s">
        <v>343</v>
      </c>
      <c r="G10" s="153" t="e">
        <f t="shared" ref="G10:M10" ca="1" si="7">SUMIFS(INDIRECT("'[WK "&amp;$C$4&amp;" "&amp;$D$4&amp;" East.xlsx]"&amp;G$5&amp;"'!$E:$E"),INDIRECT("'[WK "&amp;$C$4&amp;" "&amp;$D$4&amp;" East.xlsx]"&amp;G$5&amp;"'!$D:$D"),$E$4,INDIRECT("'[WK "&amp;$C$4&amp;" "&amp;$D$4&amp;" East.xlsx]"&amp;G$5&amp;"'!$J:$J"),$B10)+SUMIFS(INDIRECT("'[WK "&amp;$C$4&amp;" "&amp;$D$4&amp;" West.xlsx]"&amp;G$5&amp;"'!$E:$E"),INDIRECT("'[WK "&amp;$C$4&amp;" "&amp;$D$4&amp;" West.xlsx]"&amp;G$5&amp;"'!$D:$D"),$E$4,INDIRECT("'[WK "&amp;$C$4&amp;" "&amp;$D$4&amp;" West.xlsx]"&amp;G$5&amp;"'!$J:$J"),$B10)</f>
        <v>#REF!</v>
      </c>
      <c r="H10" s="154" t="e">
        <f t="shared" ca="1" si="7"/>
        <v>#REF!</v>
      </c>
      <c r="I10" s="154" t="e">
        <f t="shared" ca="1" si="7"/>
        <v>#REF!</v>
      </c>
      <c r="J10" s="154" t="e">
        <f t="shared" ca="1" si="7"/>
        <v>#REF!</v>
      </c>
      <c r="K10" s="154" t="e">
        <f t="shared" ca="1" si="7"/>
        <v>#REF!</v>
      </c>
      <c r="L10" s="154" t="e">
        <f t="shared" ca="1" si="7"/>
        <v>#REF!</v>
      </c>
      <c r="M10" s="155" t="e">
        <f t="shared" ca="1" si="7"/>
        <v>#REF!</v>
      </c>
      <c r="N10" s="156" t="e">
        <f t="shared" ca="1" si="2"/>
        <v>#REF!</v>
      </c>
      <c r="O10" s="142"/>
      <c r="P10" s="156" t="e">
        <f t="shared" ca="1" si="3"/>
        <v>#REF!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4.25" hidden="1" customHeight="1" outlineLevel="1">
      <c r="A11" s="150">
        <v>1</v>
      </c>
      <c r="B11" s="150" t="s">
        <v>344</v>
      </c>
      <c r="C11" s="150" t="str">
        <f t="shared" si="0"/>
        <v xml:space="preserve"> Rantau Prapat</v>
      </c>
      <c r="D11" s="151" t="s">
        <v>333</v>
      </c>
      <c r="E11" s="152" t="s">
        <v>334</v>
      </c>
      <c r="F11" s="150" t="s">
        <v>345</v>
      </c>
      <c r="G11" s="153" t="e">
        <f t="shared" ref="G11:M11" ca="1" si="8">SUMIFS(INDIRECT("'[WK "&amp;$C$4&amp;" "&amp;$D$4&amp;" East.xlsx]"&amp;G$5&amp;"'!$E:$E"),INDIRECT("'[WK "&amp;$C$4&amp;" "&amp;$D$4&amp;" East.xlsx]"&amp;G$5&amp;"'!$D:$D"),$E$4,INDIRECT("'[WK "&amp;$C$4&amp;" "&amp;$D$4&amp;" East.xlsx]"&amp;G$5&amp;"'!$J:$J"),$B11)+SUMIFS(INDIRECT("'[WK "&amp;$C$4&amp;" "&amp;$D$4&amp;" West.xlsx]"&amp;G$5&amp;"'!$E:$E"),INDIRECT("'[WK "&amp;$C$4&amp;" "&amp;$D$4&amp;" West.xlsx]"&amp;G$5&amp;"'!$D:$D"),$E$4,INDIRECT("'[WK "&amp;$C$4&amp;" "&amp;$D$4&amp;" West.xlsx]"&amp;G$5&amp;"'!$J:$J"),$B11)</f>
        <v>#REF!</v>
      </c>
      <c r="H11" s="154" t="e">
        <f t="shared" ca="1" si="8"/>
        <v>#REF!</v>
      </c>
      <c r="I11" s="154" t="e">
        <f t="shared" ca="1" si="8"/>
        <v>#REF!</v>
      </c>
      <c r="J11" s="154" t="e">
        <f t="shared" ca="1" si="8"/>
        <v>#REF!</v>
      </c>
      <c r="K11" s="154" t="e">
        <f t="shared" ca="1" si="8"/>
        <v>#REF!</v>
      </c>
      <c r="L11" s="154" t="e">
        <f t="shared" ca="1" si="8"/>
        <v>#REF!</v>
      </c>
      <c r="M11" s="155" t="e">
        <f t="shared" ca="1" si="8"/>
        <v>#REF!</v>
      </c>
      <c r="N11" s="156" t="e">
        <f t="shared" ca="1" si="2"/>
        <v>#REF!</v>
      </c>
      <c r="O11" s="142"/>
      <c r="P11" s="156" t="e">
        <f t="shared" ca="1" si="3"/>
        <v>#REF!</v>
      </c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ht="14.25" hidden="1" customHeight="1" outlineLevel="1">
      <c r="A12" s="150">
        <v>1</v>
      </c>
      <c r="B12" s="150" t="s">
        <v>346</v>
      </c>
      <c r="C12" s="150" t="str">
        <f t="shared" si="0"/>
        <v xml:space="preserve"> Kisaran</v>
      </c>
      <c r="D12" s="151" t="s">
        <v>333</v>
      </c>
      <c r="E12" s="152" t="s">
        <v>334</v>
      </c>
      <c r="F12" s="150" t="s">
        <v>347</v>
      </c>
      <c r="G12" s="153" t="e">
        <f t="shared" ref="G12:M12" ca="1" si="9">SUMIFS(INDIRECT("'[WK "&amp;$C$4&amp;" "&amp;$D$4&amp;" East.xlsx]"&amp;G$5&amp;"'!$E:$E"),INDIRECT("'[WK "&amp;$C$4&amp;" "&amp;$D$4&amp;" East.xlsx]"&amp;G$5&amp;"'!$D:$D"),$E$4,INDIRECT("'[WK "&amp;$C$4&amp;" "&amp;$D$4&amp;" East.xlsx]"&amp;G$5&amp;"'!$J:$J"),$B12)+SUMIFS(INDIRECT("'[WK "&amp;$C$4&amp;" "&amp;$D$4&amp;" West.xlsx]"&amp;G$5&amp;"'!$E:$E"),INDIRECT("'[WK "&amp;$C$4&amp;" "&amp;$D$4&amp;" West.xlsx]"&amp;G$5&amp;"'!$D:$D"),$E$4,INDIRECT("'[WK "&amp;$C$4&amp;" "&amp;$D$4&amp;" West.xlsx]"&amp;G$5&amp;"'!$J:$J"),$B12)</f>
        <v>#REF!</v>
      </c>
      <c r="H12" s="154" t="e">
        <f t="shared" ca="1" si="9"/>
        <v>#REF!</v>
      </c>
      <c r="I12" s="154" t="e">
        <f t="shared" ca="1" si="9"/>
        <v>#REF!</v>
      </c>
      <c r="J12" s="154" t="e">
        <f t="shared" ca="1" si="9"/>
        <v>#REF!</v>
      </c>
      <c r="K12" s="154" t="e">
        <f t="shared" ca="1" si="9"/>
        <v>#REF!</v>
      </c>
      <c r="L12" s="154" t="e">
        <f t="shared" ca="1" si="9"/>
        <v>#REF!</v>
      </c>
      <c r="M12" s="155" t="e">
        <f t="shared" ca="1" si="9"/>
        <v>#REF!</v>
      </c>
      <c r="N12" s="156" t="e">
        <f t="shared" ca="1" si="2"/>
        <v>#REF!</v>
      </c>
      <c r="O12" s="142"/>
      <c r="P12" s="156" t="e">
        <f t="shared" ca="1" si="3"/>
        <v>#REF!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ht="14.25" hidden="1" customHeight="1" outlineLevel="1">
      <c r="A13" s="150">
        <v>1</v>
      </c>
      <c r="B13" s="150" t="s">
        <v>348</v>
      </c>
      <c r="C13" s="150" t="str">
        <f t="shared" si="0"/>
        <v xml:space="preserve"> Banda Aceh</v>
      </c>
      <c r="D13" s="151" t="s">
        <v>333</v>
      </c>
      <c r="E13" s="152" t="s">
        <v>334</v>
      </c>
      <c r="F13" s="150" t="s">
        <v>349</v>
      </c>
      <c r="G13" s="153" t="e">
        <f t="shared" ref="G13:M13" ca="1" si="10">SUMIFS(INDIRECT("'[WK "&amp;$C$4&amp;" "&amp;$D$4&amp;" East.xlsx]"&amp;G$5&amp;"'!$E:$E"),INDIRECT("'[WK "&amp;$C$4&amp;" "&amp;$D$4&amp;" East.xlsx]"&amp;G$5&amp;"'!$D:$D"),$E$4,INDIRECT("'[WK "&amp;$C$4&amp;" "&amp;$D$4&amp;" East.xlsx]"&amp;G$5&amp;"'!$J:$J"),$B13)+SUMIFS(INDIRECT("'[WK "&amp;$C$4&amp;" "&amp;$D$4&amp;" West.xlsx]"&amp;G$5&amp;"'!$E:$E"),INDIRECT("'[WK "&amp;$C$4&amp;" "&amp;$D$4&amp;" West.xlsx]"&amp;G$5&amp;"'!$D:$D"),$E$4,INDIRECT("'[WK "&amp;$C$4&amp;" "&amp;$D$4&amp;" West.xlsx]"&amp;G$5&amp;"'!$J:$J"),$B13)</f>
        <v>#REF!</v>
      </c>
      <c r="H13" s="154" t="e">
        <f t="shared" ca="1" si="10"/>
        <v>#REF!</v>
      </c>
      <c r="I13" s="154" t="e">
        <f t="shared" ca="1" si="10"/>
        <v>#REF!</v>
      </c>
      <c r="J13" s="154" t="e">
        <f t="shared" ca="1" si="10"/>
        <v>#REF!</v>
      </c>
      <c r="K13" s="154" t="e">
        <f t="shared" ca="1" si="10"/>
        <v>#REF!</v>
      </c>
      <c r="L13" s="154" t="e">
        <f t="shared" ca="1" si="10"/>
        <v>#REF!</v>
      </c>
      <c r="M13" s="155" t="e">
        <f t="shared" ca="1" si="10"/>
        <v>#REF!</v>
      </c>
      <c r="N13" s="156" t="e">
        <f t="shared" ca="1" si="2"/>
        <v>#REF!</v>
      </c>
      <c r="O13" s="142"/>
      <c r="P13" s="156" t="e">
        <f t="shared" ca="1" si="3"/>
        <v>#REF!</v>
      </c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ht="14.25" hidden="1" customHeight="1" outlineLevel="1">
      <c r="A14" s="150">
        <v>1</v>
      </c>
      <c r="B14" s="150" t="s">
        <v>350</v>
      </c>
      <c r="C14" s="150" t="str">
        <f t="shared" si="0"/>
        <v xml:space="preserve"> Meulaboh</v>
      </c>
      <c r="D14" s="151" t="s">
        <v>333</v>
      </c>
      <c r="E14" s="152" t="s">
        <v>334</v>
      </c>
      <c r="F14" s="150" t="s">
        <v>351</v>
      </c>
      <c r="G14" s="153" t="e">
        <f t="shared" ref="G14:M14" ca="1" si="11">SUMIFS(INDIRECT("'[WK "&amp;$C$4&amp;" "&amp;$D$4&amp;" East.xlsx]"&amp;G$5&amp;"'!$E:$E"),INDIRECT("'[WK "&amp;$C$4&amp;" "&amp;$D$4&amp;" East.xlsx]"&amp;G$5&amp;"'!$D:$D"),$E$4,INDIRECT("'[WK "&amp;$C$4&amp;" "&amp;$D$4&amp;" East.xlsx]"&amp;G$5&amp;"'!$J:$J"),$B14)+SUMIFS(INDIRECT("'[WK "&amp;$C$4&amp;" "&amp;$D$4&amp;" West.xlsx]"&amp;G$5&amp;"'!$E:$E"),INDIRECT("'[WK "&amp;$C$4&amp;" "&amp;$D$4&amp;" West.xlsx]"&amp;G$5&amp;"'!$D:$D"),$E$4,INDIRECT("'[WK "&amp;$C$4&amp;" "&amp;$D$4&amp;" West.xlsx]"&amp;G$5&amp;"'!$J:$J"),$B14)</f>
        <v>#REF!</v>
      </c>
      <c r="H14" s="154" t="e">
        <f t="shared" ca="1" si="11"/>
        <v>#REF!</v>
      </c>
      <c r="I14" s="154" t="e">
        <f t="shared" ca="1" si="11"/>
        <v>#REF!</v>
      </c>
      <c r="J14" s="154" t="e">
        <f t="shared" ca="1" si="11"/>
        <v>#REF!</v>
      </c>
      <c r="K14" s="154" t="e">
        <f t="shared" ca="1" si="11"/>
        <v>#REF!</v>
      </c>
      <c r="L14" s="154" t="e">
        <f t="shared" ca="1" si="11"/>
        <v>#REF!</v>
      </c>
      <c r="M14" s="155" t="e">
        <f t="shared" ca="1" si="11"/>
        <v>#REF!</v>
      </c>
      <c r="N14" s="156" t="e">
        <f t="shared" ca="1" si="2"/>
        <v>#REF!</v>
      </c>
      <c r="O14" s="142"/>
      <c r="P14" s="156" t="e">
        <f t="shared" ca="1" si="3"/>
        <v>#REF!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ht="14.25" hidden="1" customHeight="1" outlineLevel="1">
      <c r="A15" s="150">
        <v>1</v>
      </c>
      <c r="B15" s="150" t="s">
        <v>352</v>
      </c>
      <c r="C15" s="150" t="str">
        <f t="shared" si="0"/>
        <v xml:space="preserve"> Lhokseumawe</v>
      </c>
      <c r="D15" s="151" t="s">
        <v>333</v>
      </c>
      <c r="E15" s="152" t="s">
        <v>334</v>
      </c>
      <c r="F15" s="150" t="s">
        <v>353</v>
      </c>
      <c r="G15" s="153" t="e">
        <f t="shared" ref="G15:M15" ca="1" si="12">SUMIFS(INDIRECT("'[WK "&amp;$C$4&amp;" "&amp;$D$4&amp;" East.xlsx]"&amp;G$5&amp;"'!$E:$E"),INDIRECT("'[WK "&amp;$C$4&amp;" "&amp;$D$4&amp;" East.xlsx]"&amp;G$5&amp;"'!$D:$D"),$E$4,INDIRECT("'[WK "&amp;$C$4&amp;" "&amp;$D$4&amp;" East.xlsx]"&amp;G$5&amp;"'!$J:$J"),$B15)+SUMIFS(INDIRECT("'[WK "&amp;$C$4&amp;" "&amp;$D$4&amp;" West.xlsx]"&amp;G$5&amp;"'!$E:$E"),INDIRECT("'[WK "&amp;$C$4&amp;" "&amp;$D$4&amp;" West.xlsx]"&amp;G$5&amp;"'!$D:$D"),$E$4,INDIRECT("'[WK "&amp;$C$4&amp;" "&amp;$D$4&amp;" West.xlsx]"&amp;G$5&amp;"'!$J:$J"),$B15)</f>
        <v>#REF!</v>
      </c>
      <c r="H15" s="154" t="e">
        <f t="shared" ca="1" si="12"/>
        <v>#REF!</v>
      </c>
      <c r="I15" s="154" t="e">
        <f t="shared" ca="1" si="12"/>
        <v>#REF!</v>
      </c>
      <c r="J15" s="154" t="e">
        <f t="shared" ca="1" si="12"/>
        <v>#REF!</v>
      </c>
      <c r="K15" s="154" t="e">
        <f t="shared" ca="1" si="12"/>
        <v>#REF!</v>
      </c>
      <c r="L15" s="154" t="e">
        <f t="shared" ca="1" si="12"/>
        <v>#REF!</v>
      </c>
      <c r="M15" s="155" t="e">
        <f t="shared" ca="1" si="12"/>
        <v>#REF!</v>
      </c>
      <c r="N15" s="156" t="e">
        <f t="shared" ca="1" si="2"/>
        <v>#REF!</v>
      </c>
      <c r="O15" s="142"/>
      <c r="P15" s="156" t="e">
        <f t="shared" ca="1" si="3"/>
        <v>#REF!</v>
      </c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ht="14.25" hidden="1" customHeight="1" outlineLevel="1">
      <c r="A16" s="150">
        <v>1</v>
      </c>
      <c r="B16" s="150" t="s">
        <v>354</v>
      </c>
      <c r="C16" s="150" t="str">
        <f t="shared" si="0"/>
        <v xml:space="preserve"> Langsa</v>
      </c>
      <c r="D16" s="151" t="s">
        <v>333</v>
      </c>
      <c r="E16" s="152" t="s">
        <v>334</v>
      </c>
      <c r="F16" s="150" t="s">
        <v>355</v>
      </c>
      <c r="G16" s="153" t="e">
        <f t="shared" ref="G16:M16" ca="1" si="13">SUMIFS(INDIRECT("'[WK "&amp;$C$4&amp;" "&amp;$D$4&amp;" East.xlsx]"&amp;G$5&amp;"'!$E:$E"),INDIRECT("'[WK "&amp;$C$4&amp;" "&amp;$D$4&amp;" East.xlsx]"&amp;G$5&amp;"'!$D:$D"),$E$4,INDIRECT("'[WK "&amp;$C$4&amp;" "&amp;$D$4&amp;" East.xlsx]"&amp;G$5&amp;"'!$J:$J"),$B16)+SUMIFS(INDIRECT("'[WK "&amp;$C$4&amp;" "&amp;$D$4&amp;" West.xlsx]"&amp;G$5&amp;"'!$E:$E"),INDIRECT("'[WK "&amp;$C$4&amp;" "&amp;$D$4&amp;" West.xlsx]"&amp;G$5&amp;"'!$D:$D"),$E$4,INDIRECT("'[WK "&amp;$C$4&amp;" "&amp;$D$4&amp;" West.xlsx]"&amp;G$5&amp;"'!$J:$J"),$B16)</f>
        <v>#REF!</v>
      </c>
      <c r="H16" s="154" t="e">
        <f t="shared" ca="1" si="13"/>
        <v>#REF!</v>
      </c>
      <c r="I16" s="154" t="e">
        <f t="shared" ca="1" si="13"/>
        <v>#REF!</v>
      </c>
      <c r="J16" s="154" t="e">
        <f t="shared" ca="1" si="13"/>
        <v>#REF!</v>
      </c>
      <c r="K16" s="154" t="e">
        <f t="shared" ca="1" si="13"/>
        <v>#REF!</v>
      </c>
      <c r="L16" s="154" t="e">
        <f t="shared" ca="1" si="13"/>
        <v>#REF!</v>
      </c>
      <c r="M16" s="155" t="e">
        <f t="shared" ca="1" si="13"/>
        <v>#REF!</v>
      </c>
      <c r="N16" s="156" t="e">
        <f t="shared" ca="1" si="2"/>
        <v>#REF!</v>
      </c>
      <c r="O16" s="142"/>
      <c r="P16" s="156" t="e">
        <f t="shared" ca="1" si="3"/>
        <v>#REF!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ht="14.25" hidden="1" customHeight="1" outlineLevel="1">
      <c r="A17" s="150">
        <v>1</v>
      </c>
      <c r="B17" s="150" t="s">
        <v>356</v>
      </c>
      <c r="C17" s="150" t="str">
        <f t="shared" si="0"/>
        <v xml:space="preserve"> Padang Sidempuan</v>
      </c>
      <c r="D17" s="151" t="s">
        <v>333</v>
      </c>
      <c r="E17" s="152" t="s">
        <v>334</v>
      </c>
      <c r="F17" s="150" t="s">
        <v>357</v>
      </c>
      <c r="G17" s="153" t="e">
        <f t="shared" ref="G17:M17" ca="1" si="14">SUMIFS(INDIRECT("'[WK "&amp;$C$4&amp;" "&amp;$D$4&amp;" East.xlsx]"&amp;G$5&amp;"'!$E:$E"),INDIRECT("'[WK "&amp;$C$4&amp;" "&amp;$D$4&amp;" East.xlsx]"&amp;G$5&amp;"'!$D:$D"),$E$4,INDIRECT("'[WK "&amp;$C$4&amp;" "&amp;$D$4&amp;" East.xlsx]"&amp;G$5&amp;"'!$J:$J"),$B17)+SUMIFS(INDIRECT("'[WK "&amp;$C$4&amp;" "&amp;$D$4&amp;" West.xlsx]"&amp;G$5&amp;"'!$E:$E"),INDIRECT("'[WK "&amp;$C$4&amp;" "&amp;$D$4&amp;" West.xlsx]"&amp;G$5&amp;"'!$D:$D"),$E$4,INDIRECT("'[WK "&amp;$C$4&amp;" "&amp;$D$4&amp;" West.xlsx]"&amp;G$5&amp;"'!$J:$J"),$B17)</f>
        <v>#REF!</v>
      </c>
      <c r="H17" s="154" t="e">
        <f t="shared" ca="1" si="14"/>
        <v>#REF!</v>
      </c>
      <c r="I17" s="154" t="e">
        <f t="shared" ca="1" si="14"/>
        <v>#REF!</v>
      </c>
      <c r="J17" s="154" t="e">
        <f t="shared" ca="1" si="14"/>
        <v>#REF!</v>
      </c>
      <c r="K17" s="154" t="e">
        <f t="shared" ca="1" si="14"/>
        <v>#REF!</v>
      </c>
      <c r="L17" s="154" t="e">
        <f t="shared" ca="1" si="14"/>
        <v>#REF!</v>
      </c>
      <c r="M17" s="155" t="e">
        <f t="shared" ca="1" si="14"/>
        <v>#REF!</v>
      </c>
      <c r="N17" s="156" t="e">
        <f t="shared" ca="1" si="2"/>
        <v>#REF!</v>
      </c>
      <c r="O17" s="142"/>
      <c r="P17" s="156" t="e">
        <f t="shared" ca="1" si="3"/>
        <v>#REF!</v>
      </c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ht="14.25" hidden="1" customHeight="1" outlineLevel="1">
      <c r="A18" s="150">
        <v>1</v>
      </c>
      <c r="B18" s="150" t="s">
        <v>358</v>
      </c>
      <c r="C18" s="150" t="str">
        <f t="shared" si="0"/>
        <v xml:space="preserve"> Sibolga</v>
      </c>
      <c r="D18" s="151" t="s">
        <v>333</v>
      </c>
      <c r="E18" s="152" t="s">
        <v>334</v>
      </c>
      <c r="F18" s="150" t="s">
        <v>359</v>
      </c>
      <c r="G18" s="153" t="e">
        <f t="shared" ref="G18:M18" ca="1" si="15">SUMIFS(INDIRECT("'[WK "&amp;$C$4&amp;" "&amp;$D$4&amp;" East.xlsx]"&amp;G$5&amp;"'!$E:$E"),INDIRECT("'[WK "&amp;$C$4&amp;" "&amp;$D$4&amp;" East.xlsx]"&amp;G$5&amp;"'!$D:$D"),$E$4,INDIRECT("'[WK "&amp;$C$4&amp;" "&amp;$D$4&amp;" East.xlsx]"&amp;G$5&amp;"'!$J:$J"),$B18)+SUMIFS(INDIRECT("'[WK "&amp;$C$4&amp;" "&amp;$D$4&amp;" West.xlsx]"&amp;G$5&amp;"'!$E:$E"),INDIRECT("'[WK "&amp;$C$4&amp;" "&amp;$D$4&amp;" West.xlsx]"&amp;G$5&amp;"'!$D:$D"),$E$4,INDIRECT("'[WK "&amp;$C$4&amp;" "&amp;$D$4&amp;" West.xlsx]"&amp;G$5&amp;"'!$J:$J"),$B18)</f>
        <v>#REF!</v>
      </c>
      <c r="H18" s="154" t="e">
        <f t="shared" ca="1" si="15"/>
        <v>#REF!</v>
      </c>
      <c r="I18" s="154" t="e">
        <f t="shared" ca="1" si="15"/>
        <v>#REF!</v>
      </c>
      <c r="J18" s="154" t="e">
        <f t="shared" ca="1" si="15"/>
        <v>#REF!</v>
      </c>
      <c r="K18" s="154" t="e">
        <f t="shared" ca="1" si="15"/>
        <v>#REF!</v>
      </c>
      <c r="L18" s="154" t="e">
        <f t="shared" ca="1" si="15"/>
        <v>#REF!</v>
      </c>
      <c r="M18" s="155" t="e">
        <f t="shared" ca="1" si="15"/>
        <v>#REF!</v>
      </c>
      <c r="N18" s="156" t="e">
        <f t="shared" ca="1" si="2"/>
        <v>#REF!</v>
      </c>
      <c r="O18" s="142"/>
      <c r="P18" s="156" t="e">
        <f t="shared" ca="1" si="3"/>
        <v>#REF!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ht="14.25" hidden="1" customHeight="1" outlineLevel="1">
      <c r="A19" s="157">
        <v>1</v>
      </c>
      <c r="B19" s="157" t="s">
        <v>360</v>
      </c>
      <c r="C19" s="157" t="s">
        <v>361</v>
      </c>
      <c r="D19" s="158" t="s">
        <v>323</v>
      </c>
      <c r="E19" s="158" t="s">
        <v>362</v>
      </c>
      <c r="F19" s="157" t="s">
        <v>363</v>
      </c>
      <c r="G19" s="159" t="e">
        <f t="shared" ref="G19:M19" ca="1" si="16">SUMIFS(INDIRECT("'[WK "&amp;$C$4&amp;" "&amp;$D$4&amp;" East.xlsx]"&amp;G$5&amp;"'!$E:$E"),INDIRECT("'[WK "&amp;$C$4&amp;" "&amp;$D$4&amp;" East.xlsx]"&amp;G$5&amp;"'!$D:$D"),$E$4,INDIRECT("'[WK "&amp;$C$4&amp;" "&amp;$D$4&amp;" East.xlsx]"&amp;G$5&amp;"'!$J:$J"),$B19)+SUMIFS(INDIRECT("'[WK "&amp;$C$4&amp;" "&amp;$D$4&amp;" West.xlsx]"&amp;G$5&amp;"'!$E:$E"),INDIRECT("'[WK "&amp;$C$4&amp;" "&amp;$D$4&amp;" West.xlsx]"&amp;G$5&amp;"'!$D:$D"),$E$4,INDIRECT("'[WK "&amp;$C$4&amp;" "&amp;$D$4&amp;" West.xlsx]"&amp;G$5&amp;"'!$J:$J"),$B19)</f>
        <v>#REF!</v>
      </c>
      <c r="H19" s="160" t="e">
        <f t="shared" ca="1" si="16"/>
        <v>#REF!</v>
      </c>
      <c r="I19" s="161" t="e">
        <f t="shared" ca="1" si="16"/>
        <v>#REF!</v>
      </c>
      <c r="J19" s="161" t="e">
        <f t="shared" ca="1" si="16"/>
        <v>#REF!</v>
      </c>
      <c r="K19" s="161" t="e">
        <f t="shared" ca="1" si="16"/>
        <v>#REF!</v>
      </c>
      <c r="L19" s="154" t="e">
        <f t="shared" ca="1" si="16"/>
        <v>#REF!</v>
      </c>
      <c r="M19" s="155" t="e">
        <f t="shared" ca="1" si="16"/>
        <v>#REF!</v>
      </c>
      <c r="N19" s="156" t="e">
        <f t="shared" ca="1" si="2"/>
        <v>#REF!</v>
      </c>
      <c r="O19" s="142"/>
      <c r="P19" s="156" t="e">
        <f t="shared" ca="1" si="3"/>
        <v>#REF!</v>
      </c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 ht="14.25" customHeight="1" collapsed="1">
      <c r="A20" s="162" t="s">
        <v>364</v>
      </c>
      <c r="B20" s="162"/>
      <c r="C20" s="162"/>
      <c r="D20" s="163">
        <v>1</v>
      </c>
      <c r="E20" s="163"/>
      <c r="F20" s="162" t="s">
        <v>365</v>
      </c>
      <c r="G20" s="164" t="e">
        <f t="shared" ref="G20:M20" ca="1" si="17">SUM(G6:G19)</f>
        <v>#REF!</v>
      </c>
      <c r="H20" s="165" t="e">
        <f t="shared" ca="1" si="17"/>
        <v>#REF!</v>
      </c>
      <c r="I20" s="165" t="e">
        <f t="shared" ca="1" si="17"/>
        <v>#REF!</v>
      </c>
      <c r="J20" s="165" t="e">
        <f t="shared" ca="1" si="17"/>
        <v>#REF!</v>
      </c>
      <c r="K20" s="165" t="e">
        <f t="shared" ca="1" si="17"/>
        <v>#REF!</v>
      </c>
      <c r="L20" s="165" t="e">
        <f t="shared" ca="1" si="17"/>
        <v>#REF!</v>
      </c>
      <c r="M20" s="166" t="e">
        <f t="shared" ca="1" si="17"/>
        <v>#REF!</v>
      </c>
      <c r="N20" s="165" t="e">
        <f t="shared" ca="1" si="2"/>
        <v>#REF!</v>
      </c>
      <c r="O20" s="167"/>
      <c r="P20" s="165" t="e">
        <f t="shared" ca="1" si="3"/>
        <v>#REF!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ht="14.25" hidden="1" customHeight="1" outlineLevel="1">
      <c r="A21" s="168">
        <v>10</v>
      </c>
      <c r="B21" s="168" t="s">
        <v>366</v>
      </c>
      <c r="C21" s="168" t="str">
        <f t="shared" ref="C21:C29" si="18">MID(F21,4,LEN(F21))</f>
        <v xml:space="preserve"> Padang</v>
      </c>
      <c r="D21" s="169" t="s">
        <v>317</v>
      </c>
      <c r="E21" s="169" t="s">
        <v>367</v>
      </c>
      <c r="F21" s="168" t="s">
        <v>368</v>
      </c>
      <c r="G21" s="153" t="e">
        <f t="shared" ref="G21:M21" ca="1" si="19">SUMIFS(INDIRECT("'[WK "&amp;$C$4&amp;" "&amp;$D$4&amp;" East.xlsx]"&amp;G$5&amp;"'!$E:$E"),INDIRECT("'[WK "&amp;$C$4&amp;" "&amp;$D$4&amp;" East.xlsx]"&amp;G$5&amp;"'!$D:$D"),$E$4,INDIRECT("'[WK "&amp;$C$4&amp;" "&amp;$D$4&amp;" East.xlsx]"&amp;G$5&amp;"'!$J:$J"),$B21)+SUMIFS(INDIRECT("'[WK "&amp;$C$4&amp;" "&amp;$D$4&amp;" West.xlsx]"&amp;G$5&amp;"'!$E:$E"),INDIRECT("'[WK "&amp;$C$4&amp;" "&amp;$D$4&amp;" West.xlsx]"&amp;G$5&amp;"'!$D:$D"),$E$4,INDIRECT("'[WK "&amp;$C$4&amp;" "&amp;$D$4&amp;" West.xlsx]"&amp;G$5&amp;"'!$J:$J"),$B21)</f>
        <v>#REF!</v>
      </c>
      <c r="H21" s="154" t="e">
        <f t="shared" ca="1" si="19"/>
        <v>#REF!</v>
      </c>
      <c r="I21" s="160" t="e">
        <f t="shared" ca="1" si="19"/>
        <v>#REF!</v>
      </c>
      <c r="J21" s="154" t="e">
        <f t="shared" ca="1" si="19"/>
        <v>#REF!</v>
      </c>
      <c r="K21" s="154" t="e">
        <f t="shared" ca="1" si="19"/>
        <v>#REF!</v>
      </c>
      <c r="L21" s="154" t="e">
        <f t="shared" ca="1" si="19"/>
        <v>#REF!</v>
      </c>
      <c r="M21" s="155" t="e">
        <f t="shared" ca="1" si="19"/>
        <v>#REF!</v>
      </c>
      <c r="N21" s="156" t="e">
        <f t="shared" ca="1" si="2"/>
        <v>#REF!</v>
      </c>
      <c r="O21" s="167"/>
      <c r="P21" s="156" t="e">
        <f t="shared" ca="1" si="3"/>
        <v>#REF!</v>
      </c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ht="14.25" hidden="1" customHeight="1" outlineLevel="1">
      <c r="A22" s="168">
        <v>4</v>
      </c>
      <c r="B22" s="168" t="s">
        <v>369</v>
      </c>
      <c r="C22" s="168" t="str">
        <f t="shared" si="18"/>
        <v xml:space="preserve"> Solok</v>
      </c>
      <c r="D22" s="169" t="s">
        <v>317</v>
      </c>
      <c r="E22" s="169" t="s">
        <v>370</v>
      </c>
      <c r="F22" s="168" t="s">
        <v>371</v>
      </c>
      <c r="G22" s="153" t="e">
        <f t="shared" ref="G22:M22" ca="1" si="20">SUMIFS(INDIRECT("'[WK "&amp;$C$4&amp;" "&amp;$D$4&amp;" East.xlsx]"&amp;G$5&amp;"'!$E:$E"),INDIRECT("'[WK "&amp;$C$4&amp;" "&amp;$D$4&amp;" East.xlsx]"&amp;G$5&amp;"'!$D:$D"),$E$4,INDIRECT("'[WK "&amp;$C$4&amp;" "&amp;$D$4&amp;" East.xlsx]"&amp;G$5&amp;"'!$J:$J"),$B22)+SUMIFS(INDIRECT("'[WK "&amp;$C$4&amp;" "&amp;$D$4&amp;" West.xlsx]"&amp;G$5&amp;"'!$E:$E"),INDIRECT("'[WK "&amp;$C$4&amp;" "&amp;$D$4&amp;" West.xlsx]"&amp;G$5&amp;"'!$D:$D"),$E$4,INDIRECT("'[WK "&amp;$C$4&amp;" "&amp;$D$4&amp;" West.xlsx]"&amp;G$5&amp;"'!$J:$J"),$B22)</f>
        <v>#REF!</v>
      </c>
      <c r="H22" s="154" t="e">
        <f t="shared" ca="1" si="20"/>
        <v>#REF!</v>
      </c>
      <c r="I22" s="154" t="e">
        <f t="shared" ca="1" si="20"/>
        <v>#REF!</v>
      </c>
      <c r="J22" s="154" t="e">
        <f t="shared" ca="1" si="20"/>
        <v>#REF!</v>
      </c>
      <c r="K22" s="160" t="e">
        <f t="shared" ca="1" si="20"/>
        <v>#REF!</v>
      </c>
      <c r="L22" s="154" t="e">
        <f t="shared" ca="1" si="20"/>
        <v>#REF!</v>
      </c>
      <c r="M22" s="155" t="e">
        <f t="shared" ca="1" si="20"/>
        <v>#REF!</v>
      </c>
      <c r="N22" s="156" t="e">
        <f t="shared" ca="1" si="2"/>
        <v>#REF!</v>
      </c>
      <c r="O22" s="167"/>
      <c r="P22" s="156" t="e">
        <f t="shared" ca="1" si="3"/>
        <v>#REF!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ht="14.25" hidden="1" customHeight="1" outlineLevel="1">
      <c r="A23" s="168">
        <v>4</v>
      </c>
      <c r="B23" s="168" t="s">
        <v>372</v>
      </c>
      <c r="C23" s="168" t="str">
        <f t="shared" si="18"/>
        <v xml:space="preserve"> Bukittinggi</v>
      </c>
      <c r="D23" s="169" t="s">
        <v>317</v>
      </c>
      <c r="E23" s="170" t="s">
        <v>373</v>
      </c>
      <c r="F23" s="168" t="s">
        <v>374</v>
      </c>
      <c r="G23" s="153" t="e">
        <f t="shared" ref="G23:M23" ca="1" si="21">SUMIFS(INDIRECT("'[WK "&amp;$C$4&amp;" "&amp;$D$4&amp;" East.xlsx]"&amp;G$5&amp;"'!$E:$E"),INDIRECT("'[WK "&amp;$C$4&amp;" "&amp;$D$4&amp;" East.xlsx]"&amp;G$5&amp;"'!$D:$D"),$E$4,INDIRECT("'[WK "&amp;$C$4&amp;" "&amp;$D$4&amp;" East.xlsx]"&amp;G$5&amp;"'!$J:$J"),$B23)+SUMIFS(INDIRECT("'[WK "&amp;$C$4&amp;" "&amp;$D$4&amp;" West.xlsx]"&amp;G$5&amp;"'!$E:$E"),INDIRECT("'[WK "&amp;$C$4&amp;" "&amp;$D$4&amp;" West.xlsx]"&amp;G$5&amp;"'!$D:$D"),$E$4,INDIRECT("'[WK "&amp;$C$4&amp;" "&amp;$D$4&amp;" West.xlsx]"&amp;G$5&amp;"'!$J:$J"),$B23)</f>
        <v>#REF!</v>
      </c>
      <c r="H23" s="154" t="e">
        <f t="shared" ca="1" si="21"/>
        <v>#REF!</v>
      </c>
      <c r="I23" s="154" t="e">
        <f t="shared" ca="1" si="21"/>
        <v>#REF!</v>
      </c>
      <c r="J23" s="154" t="e">
        <f t="shared" ca="1" si="21"/>
        <v>#REF!</v>
      </c>
      <c r="K23" s="160" t="e">
        <f t="shared" ca="1" si="21"/>
        <v>#REF!</v>
      </c>
      <c r="L23" s="160" t="e">
        <f t="shared" ca="1" si="21"/>
        <v>#REF!</v>
      </c>
      <c r="M23" s="155" t="e">
        <f t="shared" ca="1" si="21"/>
        <v>#REF!</v>
      </c>
      <c r="N23" s="156" t="e">
        <f t="shared" ca="1" si="2"/>
        <v>#REF!</v>
      </c>
      <c r="O23" s="167"/>
      <c r="P23" s="156" t="e">
        <f t="shared" ca="1" si="3"/>
        <v>#REF!</v>
      </c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ht="14.25" hidden="1" customHeight="1" outlineLevel="1">
      <c r="A24" s="168">
        <v>12</v>
      </c>
      <c r="B24" s="168" t="s">
        <v>375</v>
      </c>
      <c r="C24" s="168" t="str">
        <f t="shared" si="18"/>
        <v xml:space="preserve"> Pekanbaru</v>
      </c>
      <c r="D24" s="169" t="s">
        <v>317</v>
      </c>
      <c r="E24" s="169" t="s">
        <v>367</v>
      </c>
      <c r="F24" s="168" t="s">
        <v>376</v>
      </c>
      <c r="G24" s="153" t="e">
        <f t="shared" ref="G24:M24" ca="1" si="22">SUMIFS(INDIRECT("'[WK "&amp;$C$4&amp;" "&amp;$D$4&amp;" East.xlsx]"&amp;G$5&amp;"'!$E:$E"),INDIRECT("'[WK "&amp;$C$4&amp;" "&amp;$D$4&amp;" East.xlsx]"&amp;G$5&amp;"'!$D:$D"),$E$4,INDIRECT("'[WK "&amp;$C$4&amp;" "&amp;$D$4&amp;" East.xlsx]"&amp;G$5&amp;"'!$J:$J"),$B24)+SUMIFS(INDIRECT("'[WK "&amp;$C$4&amp;" "&amp;$D$4&amp;" West.xlsx]"&amp;G$5&amp;"'!$E:$E"),INDIRECT("'[WK "&amp;$C$4&amp;" "&amp;$D$4&amp;" West.xlsx]"&amp;G$5&amp;"'!$D:$D"),$E$4,INDIRECT("'[WK "&amp;$C$4&amp;" "&amp;$D$4&amp;" West.xlsx]"&amp;G$5&amp;"'!$J:$J"),$B24)</f>
        <v>#REF!</v>
      </c>
      <c r="H24" s="154" t="e">
        <f t="shared" ca="1" si="22"/>
        <v>#REF!</v>
      </c>
      <c r="I24" s="154" t="e">
        <f t="shared" ca="1" si="22"/>
        <v>#REF!</v>
      </c>
      <c r="J24" s="160" t="e">
        <f t="shared" ca="1" si="22"/>
        <v>#REF!</v>
      </c>
      <c r="K24" s="154" t="e">
        <f t="shared" ca="1" si="22"/>
        <v>#REF!</v>
      </c>
      <c r="L24" s="154" t="e">
        <f t="shared" ca="1" si="22"/>
        <v>#REF!</v>
      </c>
      <c r="M24" s="155" t="e">
        <f t="shared" ca="1" si="22"/>
        <v>#REF!</v>
      </c>
      <c r="N24" s="156" t="e">
        <f t="shared" ca="1" si="2"/>
        <v>#REF!</v>
      </c>
      <c r="O24" s="167"/>
      <c r="P24" s="156" t="e">
        <f t="shared" ca="1" si="3"/>
        <v>#REF!</v>
      </c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ht="14.25" hidden="1" customHeight="1" outlineLevel="1">
      <c r="A25" s="168">
        <v>10</v>
      </c>
      <c r="B25" s="168" t="s">
        <v>377</v>
      </c>
      <c r="C25" s="168" t="str">
        <f t="shared" si="18"/>
        <v xml:space="preserve"> Duri</v>
      </c>
      <c r="D25" s="169" t="s">
        <v>317</v>
      </c>
      <c r="E25" s="169" t="s">
        <v>378</v>
      </c>
      <c r="F25" s="168" t="s">
        <v>379</v>
      </c>
      <c r="G25" s="153" t="e">
        <f t="shared" ref="G25:M25" ca="1" si="23">SUMIFS(INDIRECT("'[WK "&amp;$C$4&amp;" "&amp;$D$4&amp;" East.xlsx]"&amp;G$5&amp;"'!$E:$E"),INDIRECT("'[WK "&amp;$C$4&amp;" "&amp;$D$4&amp;" East.xlsx]"&amp;G$5&amp;"'!$D:$D"),$E$4,INDIRECT("'[WK "&amp;$C$4&amp;" "&amp;$D$4&amp;" East.xlsx]"&amp;G$5&amp;"'!$J:$J"),$B25)+SUMIFS(INDIRECT("'[WK "&amp;$C$4&amp;" "&amp;$D$4&amp;" West.xlsx]"&amp;G$5&amp;"'!$E:$E"),INDIRECT("'[WK "&amp;$C$4&amp;" "&amp;$D$4&amp;" West.xlsx]"&amp;G$5&amp;"'!$D:$D"),$E$4,INDIRECT("'[WK "&amp;$C$4&amp;" "&amp;$D$4&amp;" West.xlsx]"&amp;G$5&amp;"'!$J:$J"),$B25)</f>
        <v>#REF!</v>
      </c>
      <c r="H25" s="154" t="e">
        <f t="shared" ca="1" si="23"/>
        <v>#REF!</v>
      </c>
      <c r="I25" s="154" t="e">
        <f t="shared" ca="1" si="23"/>
        <v>#REF!</v>
      </c>
      <c r="J25" s="160" t="e">
        <f t="shared" ca="1" si="23"/>
        <v>#REF!</v>
      </c>
      <c r="K25" s="160" t="e">
        <f t="shared" ca="1" si="23"/>
        <v>#REF!</v>
      </c>
      <c r="L25" s="154" t="e">
        <f t="shared" ca="1" si="23"/>
        <v>#REF!</v>
      </c>
      <c r="M25" s="155" t="e">
        <f t="shared" ca="1" si="23"/>
        <v>#REF!</v>
      </c>
      <c r="N25" s="156" t="e">
        <f t="shared" ca="1" si="2"/>
        <v>#REF!</v>
      </c>
      <c r="O25" s="167"/>
      <c r="P25" s="156" t="e">
        <f t="shared" ca="1" si="3"/>
        <v>#REF!</v>
      </c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4.25" hidden="1" customHeight="1" outlineLevel="1">
      <c r="A26" s="168">
        <v>5</v>
      </c>
      <c r="B26" s="168" t="s">
        <v>380</v>
      </c>
      <c r="C26" s="168" t="str">
        <f t="shared" si="18"/>
        <v xml:space="preserve"> Air Molek</v>
      </c>
      <c r="D26" s="169" t="s">
        <v>317</v>
      </c>
      <c r="E26" s="170" t="s">
        <v>373</v>
      </c>
      <c r="F26" s="168" t="s">
        <v>381</v>
      </c>
      <c r="G26" s="153" t="e">
        <f t="shared" ref="G26:M26" ca="1" si="24">SUMIFS(INDIRECT("'[WK "&amp;$C$4&amp;" "&amp;$D$4&amp;" East.xlsx]"&amp;G$5&amp;"'!$E:$E"),INDIRECT("'[WK "&amp;$C$4&amp;" "&amp;$D$4&amp;" East.xlsx]"&amp;G$5&amp;"'!$D:$D"),$E$4,INDIRECT("'[WK "&amp;$C$4&amp;" "&amp;$D$4&amp;" East.xlsx]"&amp;G$5&amp;"'!$J:$J"),$B26)+SUMIFS(INDIRECT("'[WK "&amp;$C$4&amp;" "&amp;$D$4&amp;" West.xlsx]"&amp;G$5&amp;"'!$E:$E"),INDIRECT("'[WK "&amp;$C$4&amp;" "&amp;$D$4&amp;" West.xlsx]"&amp;G$5&amp;"'!$D:$D"),$E$4,INDIRECT("'[WK "&amp;$C$4&amp;" "&amp;$D$4&amp;" West.xlsx]"&amp;G$5&amp;"'!$J:$J"),$B26)</f>
        <v>#REF!</v>
      </c>
      <c r="H26" s="154" t="e">
        <f t="shared" ca="1" si="24"/>
        <v>#REF!</v>
      </c>
      <c r="I26" s="154" t="e">
        <f t="shared" ca="1" si="24"/>
        <v>#REF!</v>
      </c>
      <c r="J26" s="154" t="e">
        <f t="shared" ca="1" si="24"/>
        <v>#REF!</v>
      </c>
      <c r="K26" s="160" t="e">
        <f t="shared" ca="1" si="24"/>
        <v>#REF!</v>
      </c>
      <c r="L26" s="154" t="e">
        <f t="shared" ca="1" si="24"/>
        <v>#REF!</v>
      </c>
      <c r="M26" s="155" t="e">
        <f t="shared" ca="1" si="24"/>
        <v>#REF!</v>
      </c>
      <c r="N26" s="156" t="e">
        <f t="shared" ca="1" si="2"/>
        <v>#REF!</v>
      </c>
      <c r="O26" s="167"/>
      <c r="P26" s="156" t="e">
        <f t="shared" ca="1" si="3"/>
        <v>#REF!</v>
      </c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4.25" hidden="1" customHeight="1" outlineLevel="1">
      <c r="A27" s="168">
        <v>14</v>
      </c>
      <c r="B27" s="168" t="s">
        <v>382</v>
      </c>
      <c r="C27" s="168" t="str">
        <f t="shared" si="18"/>
        <v xml:space="preserve"> Batam</v>
      </c>
      <c r="D27" s="169" t="s">
        <v>317</v>
      </c>
      <c r="E27" s="169" t="s">
        <v>367</v>
      </c>
      <c r="F27" s="168" t="s">
        <v>383</v>
      </c>
      <c r="G27" s="153" t="e">
        <f t="shared" ref="G27:M27" ca="1" si="25">SUMIFS(INDIRECT("'[WK "&amp;$C$4&amp;" "&amp;$D$4&amp;" East.xlsx]"&amp;G$5&amp;"'!$E:$E"),INDIRECT("'[WK "&amp;$C$4&amp;" "&amp;$D$4&amp;" East.xlsx]"&amp;G$5&amp;"'!$D:$D"),$E$4,INDIRECT("'[WK "&amp;$C$4&amp;" "&amp;$D$4&amp;" East.xlsx]"&amp;G$5&amp;"'!$J:$J"),$B27)+SUMIFS(INDIRECT("'[WK "&amp;$C$4&amp;" "&amp;$D$4&amp;" West.xlsx]"&amp;G$5&amp;"'!$E:$E"),INDIRECT("'[WK "&amp;$C$4&amp;" "&amp;$D$4&amp;" West.xlsx]"&amp;G$5&amp;"'!$D:$D"),$E$4,INDIRECT("'[WK "&amp;$C$4&amp;" "&amp;$D$4&amp;" West.xlsx]"&amp;G$5&amp;"'!$J:$J"),$B27)</f>
        <v>#REF!</v>
      </c>
      <c r="H27" s="154" t="e">
        <f t="shared" ca="1" si="25"/>
        <v>#REF!</v>
      </c>
      <c r="I27" s="154" t="e">
        <f t="shared" ca="1" si="25"/>
        <v>#REF!</v>
      </c>
      <c r="J27" s="160" t="e">
        <f t="shared" ca="1" si="25"/>
        <v>#REF!</v>
      </c>
      <c r="K27" s="154" t="e">
        <f t="shared" ca="1" si="25"/>
        <v>#REF!</v>
      </c>
      <c r="L27" s="154" t="e">
        <f t="shared" ca="1" si="25"/>
        <v>#REF!</v>
      </c>
      <c r="M27" s="155" t="e">
        <f t="shared" ca="1" si="25"/>
        <v>#REF!</v>
      </c>
      <c r="N27" s="156" t="e">
        <f t="shared" ca="1" si="2"/>
        <v>#REF!</v>
      </c>
      <c r="O27" s="167"/>
      <c r="P27" s="156" t="e">
        <f t="shared" ca="1" si="3"/>
        <v>#REF!</v>
      </c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4.25" hidden="1" customHeight="1" outlineLevel="1">
      <c r="A28" s="168"/>
      <c r="B28" s="168" t="s">
        <v>384</v>
      </c>
      <c r="C28" s="168" t="str">
        <f t="shared" si="18"/>
        <v xml:space="preserve"> Tanjung Pinang</v>
      </c>
      <c r="D28" s="169" t="s">
        <v>317</v>
      </c>
      <c r="E28" s="169" t="s">
        <v>385</v>
      </c>
      <c r="F28" s="168" t="s">
        <v>386</v>
      </c>
      <c r="G28" s="153" t="e">
        <f t="shared" ref="G28:M28" ca="1" si="26">SUMIFS(INDIRECT("'[WK "&amp;$C$4&amp;" "&amp;$D$4&amp;" East.xlsx]"&amp;G$5&amp;"'!$E:$E"),INDIRECT("'[WK "&amp;$C$4&amp;" "&amp;$D$4&amp;" East.xlsx]"&amp;G$5&amp;"'!$D:$D"),$E$4,INDIRECT("'[WK "&amp;$C$4&amp;" "&amp;$D$4&amp;" East.xlsx]"&amp;G$5&amp;"'!$J:$J"),$B28)+SUMIFS(INDIRECT("'[WK "&amp;$C$4&amp;" "&amp;$D$4&amp;" West.xlsx]"&amp;G$5&amp;"'!$E:$E"),INDIRECT("'[WK "&amp;$C$4&amp;" "&amp;$D$4&amp;" West.xlsx]"&amp;G$5&amp;"'!$D:$D"),$E$4,INDIRECT("'[WK "&amp;$C$4&amp;" "&amp;$D$4&amp;" West.xlsx]"&amp;G$5&amp;"'!$J:$J"),$B28)</f>
        <v>#REF!</v>
      </c>
      <c r="H28" s="154" t="e">
        <f t="shared" ca="1" si="26"/>
        <v>#REF!</v>
      </c>
      <c r="I28" s="160" t="e">
        <f t="shared" ca="1" si="26"/>
        <v>#REF!</v>
      </c>
      <c r="J28" s="154" t="e">
        <f t="shared" ca="1" si="26"/>
        <v>#REF!</v>
      </c>
      <c r="K28" s="154" t="e">
        <f t="shared" ca="1" si="26"/>
        <v>#REF!</v>
      </c>
      <c r="L28" s="154" t="e">
        <f t="shared" ca="1" si="26"/>
        <v>#REF!</v>
      </c>
      <c r="M28" s="155" t="e">
        <f t="shared" ca="1" si="26"/>
        <v>#REF!</v>
      </c>
      <c r="N28" s="156" t="e">
        <f t="shared" ca="1" si="2"/>
        <v>#REF!</v>
      </c>
      <c r="O28" s="167"/>
      <c r="P28" s="156" t="e">
        <f t="shared" ca="1" si="3"/>
        <v>#REF!</v>
      </c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ht="14.25" hidden="1" customHeight="1" outlineLevel="1">
      <c r="A29" s="168"/>
      <c r="B29" s="168" t="s">
        <v>387</v>
      </c>
      <c r="C29" s="168" t="str">
        <f t="shared" si="18"/>
        <v xml:space="preserve"> Tanjung Balai Karimun</v>
      </c>
      <c r="D29" s="169" t="s">
        <v>317</v>
      </c>
      <c r="E29" s="169" t="s">
        <v>388</v>
      </c>
      <c r="F29" s="168" t="s">
        <v>389</v>
      </c>
      <c r="G29" s="153" t="e">
        <f t="shared" ref="G29:M29" ca="1" si="27">SUMIFS(INDIRECT("'[WK "&amp;$C$4&amp;" "&amp;$D$4&amp;" East.xlsx]"&amp;G$5&amp;"'!$E:$E"),INDIRECT("'[WK "&amp;$C$4&amp;" "&amp;$D$4&amp;" East.xlsx]"&amp;G$5&amp;"'!$D:$D"),$E$4,INDIRECT("'[WK "&amp;$C$4&amp;" "&amp;$D$4&amp;" East.xlsx]"&amp;G$5&amp;"'!$J:$J"),$B29)+SUMIFS(INDIRECT("'[WK "&amp;$C$4&amp;" "&amp;$D$4&amp;" West.xlsx]"&amp;G$5&amp;"'!$E:$E"),INDIRECT("'[WK "&amp;$C$4&amp;" "&amp;$D$4&amp;" West.xlsx]"&amp;G$5&amp;"'!$D:$D"),$E$4,INDIRECT("'[WK "&amp;$C$4&amp;" "&amp;$D$4&amp;" West.xlsx]"&amp;G$5&amp;"'!$J:$J"),$B29)</f>
        <v>#REF!</v>
      </c>
      <c r="H29" s="154" t="e">
        <f t="shared" ca="1" si="27"/>
        <v>#REF!</v>
      </c>
      <c r="I29" s="154" t="e">
        <f t="shared" ca="1" si="27"/>
        <v>#REF!</v>
      </c>
      <c r="J29" s="160" t="e">
        <f t="shared" ca="1" si="27"/>
        <v>#REF!</v>
      </c>
      <c r="K29" s="154" t="e">
        <f t="shared" ca="1" si="27"/>
        <v>#REF!</v>
      </c>
      <c r="L29" s="154" t="e">
        <f t="shared" ca="1" si="27"/>
        <v>#REF!</v>
      </c>
      <c r="M29" s="155" t="e">
        <f t="shared" ca="1" si="27"/>
        <v>#REF!</v>
      </c>
      <c r="N29" s="156" t="e">
        <f t="shared" ca="1" si="2"/>
        <v>#REF!</v>
      </c>
      <c r="O29" s="167"/>
      <c r="P29" s="156" t="e">
        <f t="shared" ca="1" si="3"/>
        <v>#REF!</v>
      </c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ht="14.25" customHeight="1" collapsed="1">
      <c r="A30" s="162" t="s">
        <v>390</v>
      </c>
      <c r="B30" s="162"/>
      <c r="C30" s="162"/>
      <c r="D30" s="163">
        <v>1</v>
      </c>
      <c r="E30" s="163"/>
      <c r="F30" s="162" t="s">
        <v>391</v>
      </c>
      <c r="G30" s="164" t="e">
        <f t="shared" ref="G30:M30" ca="1" si="28">SUM(G21:G29)</f>
        <v>#REF!</v>
      </c>
      <c r="H30" s="165" t="e">
        <f t="shared" ca="1" si="28"/>
        <v>#REF!</v>
      </c>
      <c r="I30" s="165" t="e">
        <f t="shared" ca="1" si="28"/>
        <v>#REF!</v>
      </c>
      <c r="J30" s="165" t="e">
        <f t="shared" ca="1" si="28"/>
        <v>#REF!</v>
      </c>
      <c r="K30" s="165" t="e">
        <f t="shared" ca="1" si="28"/>
        <v>#REF!</v>
      </c>
      <c r="L30" s="165" t="e">
        <f t="shared" ca="1" si="28"/>
        <v>#REF!</v>
      </c>
      <c r="M30" s="166" t="e">
        <f t="shared" ca="1" si="28"/>
        <v>#REF!</v>
      </c>
      <c r="N30" s="165" t="e">
        <f t="shared" ca="1" si="2"/>
        <v>#REF!</v>
      </c>
      <c r="O30" s="167"/>
      <c r="P30" s="165" t="e">
        <f t="shared" ca="1" si="3"/>
        <v>#REF!</v>
      </c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4.25" hidden="1" customHeight="1" outlineLevel="1">
      <c r="A31" s="168">
        <v>3</v>
      </c>
      <c r="B31" s="168" t="s">
        <v>392</v>
      </c>
      <c r="C31" s="168" t="str">
        <f t="shared" ref="C31:C37" si="29">MID(F31,4,LEN(F31))</f>
        <v xml:space="preserve"> Palembang Inner</v>
      </c>
      <c r="D31" s="169" t="s">
        <v>317</v>
      </c>
      <c r="E31" s="170" t="s">
        <v>393</v>
      </c>
      <c r="F31" s="168" t="s">
        <v>394</v>
      </c>
      <c r="G31" s="160" t="e">
        <f t="shared" ref="G31:M31" ca="1" si="30">SUMIFS(INDIRECT("'[WK "&amp;$C$4&amp;" "&amp;$D$4&amp;" East.xlsx]"&amp;G$5&amp;"'!$E:$E"),INDIRECT("'[WK "&amp;$C$4&amp;" "&amp;$D$4&amp;" East.xlsx]"&amp;G$5&amp;"'!$D:$D"),$E$4,INDIRECT("'[WK "&amp;$C$4&amp;" "&amp;$D$4&amp;" East.xlsx]"&amp;G$5&amp;"'!$J:$J"),$B31)+SUMIFS(INDIRECT("'[WK "&amp;$C$4&amp;" "&amp;$D$4&amp;" West.xlsx]"&amp;G$5&amp;"'!$E:$E"),INDIRECT("'[WK "&amp;$C$4&amp;" "&amp;$D$4&amp;" West.xlsx]"&amp;G$5&amp;"'!$D:$D"),$E$4,INDIRECT("'[WK "&amp;$C$4&amp;" "&amp;$D$4&amp;" West.xlsx]"&amp;G$5&amp;"'!$J:$J"),$B31)</f>
        <v>#REF!</v>
      </c>
      <c r="H31" s="160" t="e">
        <f t="shared" ca="1" si="30"/>
        <v>#REF!</v>
      </c>
      <c r="I31" s="154" t="e">
        <f t="shared" ca="1" si="30"/>
        <v>#REF!</v>
      </c>
      <c r="J31" s="154" t="e">
        <f t="shared" ca="1" si="30"/>
        <v>#REF!</v>
      </c>
      <c r="K31" s="154" t="e">
        <f t="shared" ca="1" si="30"/>
        <v>#REF!</v>
      </c>
      <c r="L31" s="160" t="e">
        <f t="shared" ca="1" si="30"/>
        <v>#REF!</v>
      </c>
      <c r="M31" s="155" t="e">
        <f t="shared" ca="1" si="30"/>
        <v>#REF!</v>
      </c>
      <c r="N31" s="156" t="e">
        <f t="shared" ca="1" si="2"/>
        <v>#REF!</v>
      </c>
      <c r="O31" s="167"/>
      <c r="P31" s="156" t="e">
        <f t="shared" ca="1" si="3"/>
        <v>#REF!</v>
      </c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26" ht="14.25" hidden="1" customHeight="1" outlineLevel="1">
      <c r="A32" s="168">
        <v>3</v>
      </c>
      <c r="B32" s="168" t="s">
        <v>395</v>
      </c>
      <c r="C32" s="168" t="str">
        <f t="shared" si="29"/>
        <v xml:space="preserve"> Palembang Outer</v>
      </c>
      <c r="D32" s="169" t="s">
        <v>317</v>
      </c>
      <c r="E32" s="170" t="s">
        <v>393</v>
      </c>
      <c r="F32" s="168" t="s">
        <v>396</v>
      </c>
      <c r="G32" s="153" t="e">
        <f t="shared" ref="G32:M32" ca="1" si="31">SUMIFS(INDIRECT("'[WK "&amp;$C$4&amp;" "&amp;$D$4&amp;" East.xlsx]"&amp;G$5&amp;"'!$E:$E"),INDIRECT("'[WK "&amp;$C$4&amp;" "&amp;$D$4&amp;" East.xlsx]"&amp;G$5&amp;"'!$D:$D"),$E$4,INDIRECT("'[WK "&amp;$C$4&amp;" "&amp;$D$4&amp;" East.xlsx]"&amp;G$5&amp;"'!$J:$J"),$B32)+SUMIFS(INDIRECT("'[WK "&amp;$C$4&amp;" "&amp;$D$4&amp;" West.xlsx]"&amp;G$5&amp;"'!$E:$E"),INDIRECT("'[WK "&amp;$C$4&amp;" "&amp;$D$4&amp;" West.xlsx]"&amp;G$5&amp;"'!$D:$D"),$E$4,INDIRECT("'[WK "&amp;$C$4&amp;" "&amp;$D$4&amp;" West.xlsx]"&amp;G$5&amp;"'!$J:$J"),$B32)</f>
        <v>#REF!</v>
      </c>
      <c r="H32" s="160" t="e">
        <f t="shared" ca="1" si="31"/>
        <v>#REF!</v>
      </c>
      <c r="I32" s="154" t="e">
        <f t="shared" ca="1" si="31"/>
        <v>#REF!</v>
      </c>
      <c r="J32" s="154" t="e">
        <f t="shared" ca="1" si="31"/>
        <v>#REF!</v>
      </c>
      <c r="K32" s="154" t="e">
        <f t="shared" ca="1" si="31"/>
        <v>#REF!</v>
      </c>
      <c r="L32" s="160" t="e">
        <f t="shared" ca="1" si="31"/>
        <v>#REF!</v>
      </c>
      <c r="M32" s="155" t="e">
        <f t="shared" ca="1" si="31"/>
        <v>#REF!</v>
      </c>
      <c r="N32" s="156" t="e">
        <f t="shared" ca="1" si="2"/>
        <v>#REF!</v>
      </c>
      <c r="O32" s="167"/>
      <c r="P32" s="156" t="e">
        <f t="shared" ca="1" si="3"/>
        <v>#REF!</v>
      </c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 ht="14.25" hidden="1" customHeight="1" outlineLevel="1">
      <c r="A33" s="168">
        <v>3</v>
      </c>
      <c r="B33" s="168" t="s">
        <v>397</v>
      </c>
      <c r="C33" s="168" t="str">
        <f t="shared" si="29"/>
        <v xml:space="preserve"> Pangkal Pinang</v>
      </c>
      <c r="D33" s="169" t="s">
        <v>317</v>
      </c>
      <c r="E33" s="169" t="s">
        <v>398</v>
      </c>
      <c r="F33" s="168" t="s">
        <v>399</v>
      </c>
      <c r="G33" s="153" t="e">
        <f t="shared" ref="G33:M33" ca="1" si="32">SUMIFS(INDIRECT("'[WK "&amp;$C$4&amp;" "&amp;$D$4&amp;" East.xlsx]"&amp;G$5&amp;"'!$E:$E"),INDIRECT("'[WK "&amp;$C$4&amp;" "&amp;$D$4&amp;" East.xlsx]"&amp;G$5&amp;"'!$D:$D"),$E$4,INDIRECT("'[WK "&amp;$C$4&amp;" "&amp;$D$4&amp;" East.xlsx]"&amp;G$5&amp;"'!$J:$J"),$B33)+SUMIFS(INDIRECT("'[WK "&amp;$C$4&amp;" "&amp;$D$4&amp;" West.xlsx]"&amp;G$5&amp;"'!$E:$E"),INDIRECT("'[WK "&amp;$C$4&amp;" "&amp;$D$4&amp;" West.xlsx]"&amp;G$5&amp;"'!$D:$D"),$E$4,INDIRECT("'[WK "&amp;$C$4&amp;" "&amp;$D$4&amp;" West.xlsx]"&amp;G$5&amp;"'!$J:$J"),$B33)</f>
        <v>#REF!</v>
      </c>
      <c r="H33" s="154" t="e">
        <f t="shared" ca="1" si="32"/>
        <v>#REF!</v>
      </c>
      <c r="I33" s="160" t="e">
        <f t="shared" ca="1" si="32"/>
        <v>#REF!</v>
      </c>
      <c r="J33" s="160" t="e">
        <f t="shared" ca="1" si="32"/>
        <v>#REF!</v>
      </c>
      <c r="K33" s="154" t="e">
        <f t="shared" ca="1" si="32"/>
        <v>#REF!</v>
      </c>
      <c r="L33" s="154" t="e">
        <f t="shared" ca="1" si="32"/>
        <v>#REF!</v>
      </c>
      <c r="M33" s="155" t="e">
        <f t="shared" ca="1" si="32"/>
        <v>#REF!</v>
      </c>
      <c r="N33" s="156" t="e">
        <f t="shared" ca="1" si="2"/>
        <v>#REF!</v>
      </c>
      <c r="O33" s="167"/>
      <c r="P33" s="156" t="e">
        <f t="shared" ca="1" si="3"/>
        <v>#REF!</v>
      </c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 ht="14.25" hidden="1" customHeight="1" outlineLevel="1">
      <c r="A34" s="168">
        <v>3</v>
      </c>
      <c r="B34" s="168" t="s">
        <v>400</v>
      </c>
      <c r="C34" s="168" t="str">
        <f t="shared" si="29"/>
        <v xml:space="preserve"> Lahat</v>
      </c>
      <c r="D34" s="169" t="s">
        <v>317</v>
      </c>
      <c r="E34" s="170" t="s">
        <v>401</v>
      </c>
      <c r="F34" s="168" t="s">
        <v>402</v>
      </c>
      <c r="G34" s="153" t="e">
        <f t="shared" ref="G34:M34" ca="1" si="33">SUMIFS(INDIRECT("'[WK "&amp;$C$4&amp;" "&amp;$D$4&amp;" East.xlsx]"&amp;G$5&amp;"'!$E:$E"),INDIRECT("'[WK "&amp;$C$4&amp;" "&amp;$D$4&amp;" East.xlsx]"&amp;G$5&amp;"'!$D:$D"),$E$4,INDIRECT("'[WK "&amp;$C$4&amp;" "&amp;$D$4&amp;" East.xlsx]"&amp;G$5&amp;"'!$J:$J"),$B34)+SUMIFS(INDIRECT("'[WK "&amp;$C$4&amp;" "&amp;$D$4&amp;" West.xlsx]"&amp;G$5&amp;"'!$E:$E"),INDIRECT("'[WK "&amp;$C$4&amp;" "&amp;$D$4&amp;" West.xlsx]"&amp;G$5&amp;"'!$D:$D"),$E$4,INDIRECT("'[WK "&amp;$C$4&amp;" "&amp;$D$4&amp;" West.xlsx]"&amp;G$5&amp;"'!$J:$J"),$B34)</f>
        <v>#REF!</v>
      </c>
      <c r="H34" s="160" t="e">
        <f t="shared" ca="1" si="33"/>
        <v>#REF!</v>
      </c>
      <c r="I34" s="154" t="e">
        <f t="shared" ca="1" si="33"/>
        <v>#REF!</v>
      </c>
      <c r="J34" s="154" t="e">
        <f t="shared" ca="1" si="33"/>
        <v>#REF!</v>
      </c>
      <c r="K34" s="160" t="e">
        <f t="shared" ca="1" si="33"/>
        <v>#REF!</v>
      </c>
      <c r="L34" s="154" t="e">
        <f t="shared" ca="1" si="33"/>
        <v>#REF!</v>
      </c>
      <c r="M34" s="155" t="e">
        <f t="shared" ca="1" si="33"/>
        <v>#REF!</v>
      </c>
      <c r="N34" s="156" t="e">
        <f t="shared" ca="1" si="2"/>
        <v>#REF!</v>
      </c>
      <c r="O34" s="167"/>
      <c r="P34" s="156" t="e">
        <f t="shared" ca="1" si="3"/>
        <v>#REF!</v>
      </c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 ht="14.25" hidden="1" customHeight="1" outlineLevel="1">
      <c r="A35" s="168">
        <v>3</v>
      </c>
      <c r="B35" s="168" t="s">
        <v>403</v>
      </c>
      <c r="C35" s="168" t="str">
        <f t="shared" si="29"/>
        <v xml:space="preserve"> Batu Raja</v>
      </c>
      <c r="D35" s="169" t="s">
        <v>317</v>
      </c>
      <c r="E35" s="170" t="s">
        <v>404</v>
      </c>
      <c r="F35" s="168" t="s">
        <v>405</v>
      </c>
      <c r="G35" s="153" t="e">
        <f t="shared" ref="G35:M35" ca="1" si="34">SUMIFS(INDIRECT("'[WK "&amp;$C$4&amp;" "&amp;$D$4&amp;" East.xlsx]"&amp;G$5&amp;"'!$E:$E"),INDIRECT("'[WK "&amp;$C$4&amp;" "&amp;$D$4&amp;" East.xlsx]"&amp;G$5&amp;"'!$D:$D"),$E$4,INDIRECT("'[WK "&amp;$C$4&amp;" "&amp;$D$4&amp;" East.xlsx]"&amp;G$5&amp;"'!$J:$J"),$B35)+SUMIFS(INDIRECT("'[WK "&amp;$C$4&amp;" "&amp;$D$4&amp;" West.xlsx]"&amp;G$5&amp;"'!$E:$E"),INDIRECT("'[WK "&amp;$C$4&amp;" "&amp;$D$4&amp;" West.xlsx]"&amp;G$5&amp;"'!$D:$D"),$E$4,INDIRECT("'[WK "&amp;$C$4&amp;" "&amp;$D$4&amp;" West.xlsx]"&amp;G$5&amp;"'!$J:$J"),$B35)</f>
        <v>#REF!</v>
      </c>
      <c r="H35" s="160" t="e">
        <f t="shared" ca="1" si="34"/>
        <v>#REF!</v>
      </c>
      <c r="I35" s="154" t="e">
        <f t="shared" ca="1" si="34"/>
        <v>#REF!</v>
      </c>
      <c r="J35" s="154" t="e">
        <f t="shared" ca="1" si="34"/>
        <v>#REF!</v>
      </c>
      <c r="K35" s="160" t="e">
        <f t="shared" ca="1" si="34"/>
        <v>#REF!</v>
      </c>
      <c r="L35" s="154" t="e">
        <f t="shared" ca="1" si="34"/>
        <v>#REF!</v>
      </c>
      <c r="M35" s="155" t="e">
        <f t="shared" ca="1" si="34"/>
        <v>#REF!</v>
      </c>
      <c r="N35" s="156" t="e">
        <f t="shared" ca="1" si="2"/>
        <v>#REF!</v>
      </c>
      <c r="O35" s="167"/>
      <c r="P35" s="156" t="e">
        <f t="shared" ca="1" si="3"/>
        <v>#REF!</v>
      </c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 ht="14.25" hidden="1" customHeight="1" outlineLevel="1">
      <c r="A36" s="168">
        <v>4</v>
      </c>
      <c r="B36" s="168" t="s">
        <v>406</v>
      </c>
      <c r="C36" s="168" t="str">
        <f t="shared" si="29"/>
        <v xml:space="preserve"> Jambi</v>
      </c>
      <c r="D36" s="169" t="s">
        <v>317</v>
      </c>
      <c r="E36" s="170" t="s">
        <v>401</v>
      </c>
      <c r="F36" s="168" t="s">
        <v>407</v>
      </c>
      <c r="G36" s="153" t="e">
        <f t="shared" ref="G36:M36" ca="1" si="35">SUMIFS(INDIRECT("'[WK "&amp;$C$4&amp;" "&amp;$D$4&amp;" East.xlsx]"&amp;G$5&amp;"'!$E:$E"),INDIRECT("'[WK "&amp;$C$4&amp;" "&amp;$D$4&amp;" East.xlsx]"&amp;G$5&amp;"'!$D:$D"),$E$4,INDIRECT("'[WK "&amp;$C$4&amp;" "&amp;$D$4&amp;" East.xlsx]"&amp;G$5&amp;"'!$J:$J"),$B36)+SUMIFS(INDIRECT("'[WK "&amp;$C$4&amp;" "&amp;$D$4&amp;" West.xlsx]"&amp;G$5&amp;"'!$E:$E"),INDIRECT("'[WK "&amp;$C$4&amp;" "&amp;$D$4&amp;" West.xlsx]"&amp;G$5&amp;"'!$D:$D"),$E$4,INDIRECT("'[WK "&amp;$C$4&amp;" "&amp;$D$4&amp;" West.xlsx]"&amp;G$5&amp;"'!$J:$J"),$B36)</f>
        <v>#REF!</v>
      </c>
      <c r="H36" s="160" t="e">
        <f t="shared" ca="1" si="35"/>
        <v>#REF!</v>
      </c>
      <c r="I36" s="154" t="e">
        <f t="shared" ca="1" si="35"/>
        <v>#REF!</v>
      </c>
      <c r="J36" s="154" t="e">
        <f t="shared" ca="1" si="35"/>
        <v>#REF!</v>
      </c>
      <c r="K36" s="160" t="e">
        <f t="shared" ca="1" si="35"/>
        <v>#REF!</v>
      </c>
      <c r="L36" s="154" t="e">
        <f t="shared" ca="1" si="35"/>
        <v>#REF!</v>
      </c>
      <c r="M36" s="155" t="e">
        <f t="shared" ca="1" si="35"/>
        <v>#REF!</v>
      </c>
      <c r="N36" s="156" t="e">
        <f t="shared" ca="1" si="2"/>
        <v>#REF!</v>
      </c>
      <c r="O36" s="167"/>
      <c r="P36" s="156" t="e">
        <f t="shared" ca="1" si="3"/>
        <v>#REF!</v>
      </c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 ht="14.25" hidden="1" customHeight="1" outlineLevel="1">
      <c r="A37" s="168">
        <v>4</v>
      </c>
      <c r="B37" s="168" t="s">
        <v>408</v>
      </c>
      <c r="C37" s="168" t="str">
        <f t="shared" si="29"/>
        <v xml:space="preserve"> Muara Bungo</v>
      </c>
      <c r="D37" s="169" t="s">
        <v>317</v>
      </c>
      <c r="E37" s="170" t="s">
        <v>373</v>
      </c>
      <c r="F37" s="168" t="s">
        <v>409</v>
      </c>
      <c r="G37" s="153" t="e">
        <f t="shared" ref="G37:M37" ca="1" si="36">SUMIFS(INDIRECT("'[WK "&amp;$C$4&amp;" "&amp;$D$4&amp;" East.xlsx]"&amp;G$5&amp;"'!$E:$E"),INDIRECT("'[WK "&amp;$C$4&amp;" "&amp;$D$4&amp;" East.xlsx]"&amp;G$5&amp;"'!$D:$D"),$E$4,INDIRECT("'[WK "&amp;$C$4&amp;" "&amp;$D$4&amp;" East.xlsx]"&amp;G$5&amp;"'!$J:$J"),$B37)+SUMIFS(INDIRECT("'[WK "&amp;$C$4&amp;" "&amp;$D$4&amp;" West.xlsx]"&amp;G$5&amp;"'!$E:$E"),INDIRECT("'[WK "&amp;$C$4&amp;" "&amp;$D$4&amp;" West.xlsx]"&amp;G$5&amp;"'!$D:$D"),$E$4,INDIRECT("'[WK "&amp;$C$4&amp;" "&amp;$D$4&amp;" West.xlsx]"&amp;G$5&amp;"'!$J:$J"),$B37)</f>
        <v>#REF!</v>
      </c>
      <c r="H37" s="160" t="e">
        <f t="shared" ca="1" si="36"/>
        <v>#REF!</v>
      </c>
      <c r="I37" s="154" t="e">
        <f t="shared" ca="1" si="36"/>
        <v>#REF!</v>
      </c>
      <c r="J37" s="154" t="e">
        <f t="shared" ca="1" si="36"/>
        <v>#REF!</v>
      </c>
      <c r="K37" s="160" t="e">
        <f t="shared" ca="1" si="36"/>
        <v>#REF!</v>
      </c>
      <c r="L37" s="154" t="e">
        <f t="shared" ca="1" si="36"/>
        <v>#REF!</v>
      </c>
      <c r="M37" s="155" t="e">
        <f t="shared" ca="1" si="36"/>
        <v>#REF!</v>
      </c>
      <c r="N37" s="156" t="e">
        <f t="shared" ca="1" si="2"/>
        <v>#REF!</v>
      </c>
      <c r="O37" s="167"/>
      <c r="P37" s="156" t="e">
        <f t="shared" ca="1" si="3"/>
        <v>#REF!</v>
      </c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 ht="14.25" customHeight="1" collapsed="1">
      <c r="A38" s="162" t="s">
        <v>410</v>
      </c>
      <c r="B38" s="162"/>
      <c r="C38" s="162"/>
      <c r="D38" s="163">
        <v>1</v>
      </c>
      <c r="E38" s="163"/>
      <c r="F38" s="162" t="s">
        <v>411</v>
      </c>
      <c r="G38" s="164" t="e">
        <f t="shared" ref="G38:M38" ca="1" si="37">SUM(G31:G37)</f>
        <v>#REF!</v>
      </c>
      <c r="H38" s="165" t="e">
        <f t="shared" ca="1" si="37"/>
        <v>#REF!</v>
      </c>
      <c r="I38" s="165" t="e">
        <f t="shared" ca="1" si="37"/>
        <v>#REF!</v>
      </c>
      <c r="J38" s="165" t="e">
        <f t="shared" ca="1" si="37"/>
        <v>#REF!</v>
      </c>
      <c r="K38" s="165" t="e">
        <f t="shared" ca="1" si="37"/>
        <v>#REF!</v>
      </c>
      <c r="L38" s="165" t="e">
        <f t="shared" ca="1" si="37"/>
        <v>#REF!</v>
      </c>
      <c r="M38" s="166" t="e">
        <f t="shared" ca="1" si="37"/>
        <v>#REF!</v>
      </c>
      <c r="N38" s="165" t="e">
        <f t="shared" ca="1" si="2"/>
        <v>#REF!</v>
      </c>
      <c r="O38" s="167"/>
      <c r="P38" s="165" t="e">
        <f t="shared" ca="1" si="3"/>
        <v>#REF!</v>
      </c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 ht="14.25" hidden="1" customHeight="1" outlineLevel="1">
      <c r="A39" s="168">
        <v>3</v>
      </c>
      <c r="B39" s="168" t="s">
        <v>412</v>
      </c>
      <c r="C39" s="168" t="str">
        <f t="shared" ref="C39:C46" si="38">MID(F39,4,LEN(F39))</f>
        <v xml:space="preserve"> Lampung</v>
      </c>
      <c r="D39" s="169" t="s">
        <v>317</v>
      </c>
      <c r="E39" s="170" t="s">
        <v>334</v>
      </c>
      <c r="F39" s="168" t="s">
        <v>413</v>
      </c>
      <c r="G39" s="160" t="e">
        <f t="shared" ref="G39:M39" ca="1" si="39">SUMIFS(INDIRECT("'[WK "&amp;$C$4&amp;" "&amp;$D$4&amp;" East.xlsx]"&amp;G$5&amp;"'!$E:$E"),INDIRECT("'[WK "&amp;$C$4&amp;" "&amp;$D$4&amp;" East.xlsx]"&amp;G$5&amp;"'!$D:$D"),$E$4,INDIRECT("'[WK "&amp;$C$4&amp;" "&amp;$D$4&amp;" East.xlsx]"&amp;G$5&amp;"'!$J:$J"),$B39)+SUMIFS(INDIRECT("'[WK "&amp;$C$4&amp;" "&amp;$D$4&amp;" West.xlsx]"&amp;G$5&amp;"'!$E:$E"),INDIRECT("'[WK "&amp;$C$4&amp;" "&amp;$D$4&amp;" West.xlsx]"&amp;G$5&amp;"'!$D:$D"),$E$4,INDIRECT("'[WK "&amp;$C$4&amp;" "&amp;$D$4&amp;" West.xlsx]"&amp;G$5&amp;"'!$J:$J"),$B39)</f>
        <v>#REF!</v>
      </c>
      <c r="H39" s="154" t="e">
        <f t="shared" ca="1" si="39"/>
        <v>#REF!</v>
      </c>
      <c r="I39" s="160" t="e">
        <f t="shared" ca="1" si="39"/>
        <v>#REF!</v>
      </c>
      <c r="J39" s="154" t="e">
        <f t="shared" ca="1" si="39"/>
        <v>#REF!</v>
      </c>
      <c r="K39" s="154" t="e">
        <f t="shared" ca="1" si="39"/>
        <v>#REF!</v>
      </c>
      <c r="L39" s="160" t="e">
        <f t="shared" ca="1" si="39"/>
        <v>#REF!</v>
      </c>
      <c r="M39" s="160" t="e">
        <f t="shared" ca="1" si="39"/>
        <v>#REF!</v>
      </c>
      <c r="N39" s="156" t="e">
        <f t="shared" ca="1" si="2"/>
        <v>#REF!</v>
      </c>
      <c r="O39" s="167"/>
      <c r="P39" s="156" t="e">
        <f t="shared" ca="1" si="3"/>
        <v>#REF!</v>
      </c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 ht="14.25" hidden="1" customHeight="1" outlineLevel="1">
      <c r="A40" s="168">
        <v>3</v>
      </c>
      <c r="B40" s="168" t="s">
        <v>414</v>
      </c>
      <c r="C40" s="168" t="str">
        <f t="shared" si="38"/>
        <v xml:space="preserve"> Kalianda</v>
      </c>
      <c r="D40" s="169" t="s">
        <v>317</v>
      </c>
      <c r="E40" s="169"/>
      <c r="F40" s="168" t="s">
        <v>415</v>
      </c>
      <c r="G40" s="153" t="e">
        <f t="shared" ref="G40:M40" ca="1" si="40">SUMIFS(INDIRECT("'[WK "&amp;$C$4&amp;" "&amp;$D$4&amp;" East.xlsx]"&amp;G$5&amp;"'!$E:$E"),INDIRECT("'[WK "&amp;$C$4&amp;" "&amp;$D$4&amp;" East.xlsx]"&amp;G$5&amp;"'!$D:$D"),$E$4,INDIRECT("'[WK "&amp;$C$4&amp;" "&amp;$D$4&amp;" East.xlsx]"&amp;G$5&amp;"'!$J:$J"),$B40)+SUMIFS(INDIRECT("'[WK "&amp;$C$4&amp;" "&amp;$D$4&amp;" West.xlsx]"&amp;G$5&amp;"'!$E:$E"),INDIRECT("'[WK "&amp;$C$4&amp;" "&amp;$D$4&amp;" West.xlsx]"&amp;G$5&amp;"'!$D:$D"),$E$4,INDIRECT("'[WK "&amp;$C$4&amp;" "&amp;$D$4&amp;" West.xlsx]"&amp;G$5&amp;"'!$J:$J"),$B40)</f>
        <v>#REF!</v>
      </c>
      <c r="H40" s="154" t="e">
        <f t="shared" ca="1" si="40"/>
        <v>#REF!</v>
      </c>
      <c r="I40" s="154" t="e">
        <f t="shared" ca="1" si="40"/>
        <v>#REF!</v>
      </c>
      <c r="J40" s="154" t="e">
        <f t="shared" ca="1" si="40"/>
        <v>#REF!</v>
      </c>
      <c r="K40" s="154" t="e">
        <f t="shared" ca="1" si="40"/>
        <v>#REF!</v>
      </c>
      <c r="L40" s="154" t="e">
        <f t="shared" ca="1" si="40"/>
        <v>#REF!</v>
      </c>
      <c r="M40" s="155" t="e">
        <f t="shared" ca="1" si="40"/>
        <v>#REF!</v>
      </c>
      <c r="N40" s="156" t="e">
        <f t="shared" ca="1" si="2"/>
        <v>#REF!</v>
      </c>
      <c r="O40" s="167"/>
      <c r="P40" s="156" t="e">
        <f t="shared" ca="1" si="3"/>
        <v>#REF!</v>
      </c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 ht="14.25" hidden="1" customHeight="1" outlineLevel="1">
      <c r="A41" s="168">
        <v>3</v>
      </c>
      <c r="B41" s="168" t="s">
        <v>416</v>
      </c>
      <c r="C41" s="168" t="str">
        <f t="shared" si="38"/>
        <v xml:space="preserve"> Pringsewu</v>
      </c>
      <c r="D41" s="169" t="s">
        <v>317</v>
      </c>
      <c r="E41" s="170" t="s">
        <v>334</v>
      </c>
      <c r="F41" s="168" t="s">
        <v>417</v>
      </c>
      <c r="G41" s="153" t="e">
        <f t="shared" ref="G41:M41" ca="1" si="41">SUMIFS(INDIRECT("'[WK "&amp;$C$4&amp;" "&amp;$D$4&amp;" East.xlsx]"&amp;G$5&amp;"'!$E:$E"),INDIRECT("'[WK "&amp;$C$4&amp;" "&amp;$D$4&amp;" East.xlsx]"&amp;G$5&amp;"'!$D:$D"),$E$4,INDIRECT("'[WK "&amp;$C$4&amp;" "&amp;$D$4&amp;" East.xlsx]"&amp;G$5&amp;"'!$J:$J"),$B41)+SUMIFS(INDIRECT("'[WK "&amp;$C$4&amp;" "&amp;$D$4&amp;" West.xlsx]"&amp;G$5&amp;"'!$E:$E"),INDIRECT("'[WK "&amp;$C$4&amp;" "&amp;$D$4&amp;" West.xlsx]"&amp;G$5&amp;"'!$D:$D"),$E$4,INDIRECT("'[WK "&amp;$C$4&amp;" "&amp;$D$4&amp;" West.xlsx]"&amp;G$5&amp;"'!$J:$J"),$B41)</f>
        <v>#REF!</v>
      </c>
      <c r="H41" s="154" t="e">
        <f t="shared" ca="1" si="41"/>
        <v>#REF!</v>
      </c>
      <c r="I41" s="160" t="e">
        <f t="shared" ca="1" si="41"/>
        <v>#REF!</v>
      </c>
      <c r="J41" s="154" t="e">
        <f t="shared" ca="1" si="41"/>
        <v>#REF!</v>
      </c>
      <c r="K41" s="154" t="e">
        <f t="shared" ca="1" si="41"/>
        <v>#REF!</v>
      </c>
      <c r="L41" s="160" t="e">
        <f t="shared" ca="1" si="41"/>
        <v>#REF!</v>
      </c>
      <c r="M41" s="155" t="e">
        <f t="shared" ca="1" si="41"/>
        <v>#REF!</v>
      </c>
      <c r="N41" s="156" t="e">
        <f t="shared" ca="1" si="2"/>
        <v>#REF!</v>
      </c>
      <c r="O41" s="167"/>
      <c r="P41" s="156" t="e">
        <f t="shared" ca="1" si="3"/>
        <v>#REF!</v>
      </c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 ht="14.25" hidden="1" customHeight="1" outlineLevel="1">
      <c r="A42" s="168">
        <v>3</v>
      </c>
      <c r="B42" s="168" t="s">
        <v>418</v>
      </c>
      <c r="C42" s="168" t="str">
        <f t="shared" si="38"/>
        <v xml:space="preserve"> Kota Bumi</v>
      </c>
      <c r="D42" s="169" t="s">
        <v>317</v>
      </c>
      <c r="E42" s="170" t="s">
        <v>393</v>
      </c>
      <c r="F42" s="168" t="s">
        <v>419</v>
      </c>
      <c r="G42" s="153" t="e">
        <f t="shared" ref="G42:M42" ca="1" si="42">SUMIFS(INDIRECT("'[WK "&amp;$C$4&amp;" "&amp;$D$4&amp;" East.xlsx]"&amp;G$5&amp;"'!$E:$E"),INDIRECT("'[WK "&amp;$C$4&amp;" "&amp;$D$4&amp;" East.xlsx]"&amp;G$5&amp;"'!$D:$D"),$E$4,INDIRECT("'[WK "&amp;$C$4&amp;" "&amp;$D$4&amp;" East.xlsx]"&amp;G$5&amp;"'!$J:$J"),$B42)+SUMIFS(INDIRECT("'[WK "&amp;$C$4&amp;" "&amp;$D$4&amp;" West.xlsx]"&amp;G$5&amp;"'!$E:$E"),INDIRECT("'[WK "&amp;$C$4&amp;" "&amp;$D$4&amp;" West.xlsx]"&amp;G$5&amp;"'!$D:$D"),$E$4,INDIRECT("'[WK "&amp;$C$4&amp;" "&amp;$D$4&amp;" West.xlsx]"&amp;G$5&amp;"'!$J:$J"),$B42)</f>
        <v>#REF!</v>
      </c>
      <c r="H42" s="154" t="e">
        <f t="shared" ca="1" si="42"/>
        <v>#REF!</v>
      </c>
      <c r="I42" s="160" t="e">
        <f t="shared" ca="1" si="42"/>
        <v>#REF!</v>
      </c>
      <c r="J42" s="154" t="e">
        <f t="shared" ca="1" si="42"/>
        <v>#REF!</v>
      </c>
      <c r="K42" s="154" t="e">
        <f t="shared" ca="1" si="42"/>
        <v>#REF!</v>
      </c>
      <c r="L42" s="160" t="e">
        <f t="shared" ca="1" si="42"/>
        <v>#REF!</v>
      </c>
      <c r="M42" s="155" t="e">
        <f t="shared" ca="1" si="42"/>
        <v>#REF!</v>
      </c>
      <c r="N42" s="156" t="e">
        <f t="shared" ca="1" si="2"/>
        <v>#REF!</v>
      </c>
      <c r="O42" s="167"/>
      <c r="P42" s="156" t="e">
        <f t="shared" ca="1" si="3"/>
        <v>#REF!</v>
      </c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 ht="14.25" hidden="1" customHeight="1" outlineLevel="1">
      <c r="A43" s="168">
        <v>3</v>
      </c>
      <c r="B43" s="168" t="s">
        <v>420</v>
      </c>
      <c r="C43" s="168" t="str">
        <f t="shared" si="38"/>
        <v xml:space="preserve"> Tuba</v>
      </c>
      <c r="D43" s="169" t="s">
        <v>317</v>
      </c>
      <c r="E43" s="170" t="s">
        <v>334</v>
      </c>
      <c r="F43" s="168" t="s">
        <v>421</v>
      </c>
      <c r="G43" s="153" t="e">
        <f t="shared" ref="G43:M43" ca="1" si="43">SUMIFS(INDIRECT("'[WK "&amp;$C$4&amp;" "&amp;$D$4&amp;" East.xlsx]"&amp;G$5&amp;"'!$E:$E"),INDIRECT("'[WK "&amp;$C$4&amp;" "&amp;$D$4&amp;" East.xlsx]"&amp;G$5&amp;"'!$D:$D"),$E$4,INDIRECT("'[WK "&amp;$C$4&amp;" "&amp;$D$4&amp;" East.xlsx]"&amp;G$5&amp;"'!$J:$J"),$B43)+SUMIFS(INDIRECT("'[WK "&amp;$C$4&amp;" "&amp;$D$4&amp;" West.xlsx]"&amp;G$5&amp;"'!$E:$E"),INDIRECT("'[WK "&amp;$C$4&amp;" "&amp;$D$4&amp;" West.xlsx]"&amp;G$5&amp;"'!$D:$D"),$E$4,INDIRECT("'[WK "&amp;$C$4&amp;" "&amp;$D$4&amp;" West.xlsx]"&amp;G$5&amp;"'!$J:$J"),$B43)</f>
        <v>#REF!</v>
      </c>
      <c r="H43" s="154" t="e">
        <f t="shared" ca="1" si="43"/>
        <v>#REF!</v>
      </c>
      <c r="I43" s="160" t="e">
        <f t="shared" ca="1" si="43"/>
        <v>#REF!</v>
      </c>
      <c r="J43" s="154" t="e">
        <f t="shared" ca="1" si="43"/>
        <v>#REF!</v>
      </c>
      <c r="K43" s="154" t="e">
        <f t="shared" ca="1" si="43"/>
        <v>#REF!</v>
      </c>
      <c r="L43" s="160" t="e">
        <f t="shared" ca="1" si="43"/>
        <v>#REF!</v>
      </c>
      <c r="M43" s="155" t="e">
        <f t="shared" ca="1" si="43"/>
        <v>#REF!</v>
      </c>
      <c r="N43" s="156" t="e">
        <f t="shared" ca="1" si="2"/>
        <v>#REF!</v>
      </c>
      <c r="O43" s="167"/>
      <c r="P43" s="156" t="e">
        <f t="shared" ca="1" si="3"/>
        <v>#REF!</v>
      </c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 ht="14.25" hidden="1" customHeight="1" outlineLevel="1">
      <c r="A44" s="168">
        <v>3</v>
      </c>
      <c r="B44" s="168" t="s">
        <v>422</v>
      </c>
      <c r="C44" s="168" t="str">
        <f t="shared" si="38"/>
        <v xml:space="preserve"> Metro</v>
      </c>
      <c r="D44" s="169" t="s">
        <v>317</v>
      </c>
      <c r="E44" s="170" t="s">
        <v>334</v>
      </c>
      <c r="F44" s="168" t="s">
        <v>423</v>
      </c>
      <c r="G44" s="153" t="e">
        <f t="shared" ref="G44:M44" ca="1" si="44">SUMIFS(INDIRECT("'[WK "&amp;$C$4&amp;" "&amp;$D$4&amp;" East.xlsx]"&amp;G$5&amp;"'!$E:$E"),INDIRECT("'[WK "&amp;$C$4&amp;" "&amp;$D$4&amp;" East.xlsx]"&amp;G$5&amp;"'!$D:$D"),$E$4,INDIRECT("'[WK "&amp;$C$4&amp;" "&amp;$D$4&amp;" East.xlsx]"&amp;G$5&amp;"'!$J:$J"),$B44)+SUMIFS(INDIRECT("'[WK "&amp;$C$4&amp;" "&amp;$D$4&amp;" West.xlsx]"&amp;G$5&amp;"'!$E:$E"),INDIRECT("'[WK "&amp;$C$4&amp;" "&amp;$D$4&amp;" West.xlsx]"&amp;G$5&amp;"'!$D:$D"),$E$4,INDIRECT("'[WK "&amp;$C$4&amp;" "&amp;$D$4&amp;" West.xlsx]"&amp;G$5&amp;"'!$J:$J"),$B44)</f>
        <v>#REF!</v>
      </c>
      <c r="H44" s="160" t="e">
        <f t="shared" ca="1" si="44"/>
        <v>#REF!</v>
      </c>
      <c r="I44" s="154" t="e">
        <f t="shared" ca="1" si="44"/>
        <v>#REF!</v>
      </c>
      <c r="J44" s="154" t="e">
        <f t="shared" ca="1" si="44"/>
        <v>#REF!</v>
      </c>
      <c r="K44" s="154" t="e">
        <f t="shared" ca="1" si="44"/>
        <v>#REF!</v>
      </c>
      <c r="L44" s="160" t="e">
        <f t="shared" ca="1" si="44"/>
        <v>#REF!</v>
      </c>
      <c r="M44" s="155" t="e">
        <f t="shared" ca="1" si="44"/>
        <v>#REF!</v>
      </c>
      <c r="N44" s="156" t="e">
        <f t="shared" ca="1" si="2"/>
        <v>#REF!</v>
      </c>
      <c r="O44" s="167"/>
      <c r="P44" s="156" t="e">
        <f t="shared" ca="1" si="3"/>
        <v>#REF!</v>
      </c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spans="1:26" ht="14.25" hidden="1" customHeight="1" outlineLevel="1">
      <c r="A45" s="168">
        <v>4</v>
      </c>
      <c r="B45" s="168" t="s">
        <v>424</v>
      </c>
      <c r="C45" s="168" t="str">
        <f t="shared" si="38"/>
        <v xml:space="preserve"> Bengkulu</v>
      </c>
      <c r="D45" s="169" t="s">
        <v>317</v>
      </c>
      <c r="E45" s="170" t="s">
        <v>401</v>
      </c>
      <c r="F45" s="168" t="s">
        <v>425</v>
      </c>
      <c r="G45" s="153" t="e">
        <f t="shared" ref="G45:M45" ca="1" si="45">SUMIFS(INDIRECT("'[WK "&amp;$C$4&amp;" "&amp;$D$4&amp;" East.xlsx]"&amp;G$5&amp;"'!$E:$E"),INDIRECT("'[WK "&amp;$C$4&amp;" "&amp;$D$4&amp;" East.xlsx]"&amp;G$5&amp;"'!$D:$D"),$E$4,INDIRECT("'[WK "&amp;$C$4&amp;" "&amp;$D$4&amp;" East.xlsx]"&amp;G$5&amp;"'!$J:$J"),$B45)+SUMIFS(INDIRECT("'[WK "&amp;$C$4&amp;" "&amp;$D$4&amp;" West.xlsx]"&amp;G$5&amp;"'!$E:$E"),INDIRECT("'[WK "&amp;$C$4&amp;" "&amp;$D$4&amp;" West.xlsx]"&amp;G$5&amp;"'!$D:$D"),$E$4,INDIRECT("'[WK "&amp;$C$4&amp;" "&amp;$D$4&amp;" West.xlsx]"&amp;G$5&amp;"'!$J:$J"),$B45)</f>
        <v>#REF!</v>
      </c>
      <c r="H45" s="160" t="e">
        <f t="shared" ca="1" si="45"/>
        <v>#REF!</v>
      </c>
      <c r="I45" s="154" t="e">
        <f t="shared" ca="1" si="45"/>
        <v>#REF!</v>
      </c>
      <c r="J45" s="154" t="e">
        <f t="shared" ca="1" si="45"/>
        <v>#REF!</v>
      </c>
      <c r="K45" s="160" t="e">
        <f t="shared" ca="1" si="45"/>
        <v>#REF!</v>
      </c>
      <c r="L45" s="154" t="e">
        <f t="shared" ca="1" si="45"/>
        <v>#REF!</v>
      </c>
      <c r="M45" s="155" t="e">
        <f t="shared" ca="1" si="45"/>
        <v>#REF!</v>
      </c>
      <c r="N45" s="156" t="e">
        <f t="shared" ca="1" si="2"/>
        <v>#REF!</v>
      </c>
      <c r="O45" s="167"/>
      <c r="P45" s="156" t="e">
        <f t="shared" ca="1" si="3"/>
        <v>#REF!</v>
      </c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spans="1:26" ht="14.25" hidden="1" customHeight="1" outlineLevel="1">
      <c r="A46" s="168">
        <v>4</v>
      </c>
      <c r="B46" s="168" t="s">
        <v>426</v>
      </c>
      <c r="C46" s="168" t="str">
        <f t="shared" si="38"/>
        <v xml:space="preserve"> Lubuk Linggau</v>
      </c>
      <c r="D46" s="169" t="s">
        <v>317</v>
      </c>
      <c r="E46" s="170" t="s">
        <v>401</v>
      </c>
      <c r="F46" s="168" t="s">
        <v>427</v>
      </c>
      <c r="G46" s="153" t="e">
        <f t="shared" ref="G46:M46" ca="1" si="46">SUMIFS(INDIRECT("'[WK "&amp;$C$4&amp;" "&amp;$D$4&amp;" East.xlsx]"&amp;G$5&amp;"'!$E:$E"),INDIRECT("'[WK "&amp;$C$4&amp;" "&amp;$D$4&amp;" East.xlsx]"&amp;G$5&amp;"'!$D:$D"),$E$4,INDIRECT("'[WK "&amp;$C$4&amp;" "&amp;$D$4&amp;" East.xlsx]"&amp;G$5&amp;"'!$J:$J"),$B46)+SUMIFS(INDIRECT("'[WK "&amp;$C$4&amp;" "&amp;$D$4&amp;" West.xlsx]"&amp;G$5&amp;"'!$E:$E"),INDIRECT("'[WK "&amp;$C$4&amp;" "&amp;$D$4&amp;" West.xlsx]"&amp;G$5&amp;"'!$D:$D"),$E$4,INDIRECT("'[WK "&amp;$C$4&amp;" "&amp;$D$4&amp;" West.xlsx]"&amp;G$5&amp;"'!$J:$J"),$B46)</f>
        <v>#REF!</v>
      </c>
      <c r="H46" s="160" t="e">
        <f t="shared" ca="1" si="46"/>
        <v>#REF!</v>
      </c>
      <c r="I46" s="154" t="e">
        <f t="shared" ca="1" si="46"/>
        <v>#REF!</v>
      </c>
      <c r="J46" s="154" t="e">
        <f t="shared" ca="1" si="46"/>
        <v>#REF!</v>
      </c>
      <c r="K46" s="160" t="e">
        <f t="shared" ca="1" si="46"/>
        <v>#REF!</v>
      </c>
      <c r="L46" s="154" t="e">
        <f t="shared" ca="1" si="46"/>
        <v>#REF!</v>
      </c>
      <c r="M46" s="155" t="e">
        <f t="shared" ca="1" si="46"/>
        <v>#REF!</v>
      </c>
      <c r="N46" s="156" t="e">
        <f t="shared" ca="1" si="2"/>
        <v>#REF!</v>
      </c>
      <c r="O46" s="167"/>
      <c r="P46" s="156" t="e">
        <f t="shared" ca="1" si="3"/>
        <v>#REF!</v>
      </c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spans="1:26" ht="14.25" customHeight="1" collapsed="1">
      <c r="A47" s="162" t="s">
        <v>410</v>
      </c>
      <c r="B47" s="162"/>
      <c r="C47" s="162"/>
      <c r="D47" s="163">
        <v>1</v>
      </c>
      <c r="E47" s="163"/>
      <c r="F47" s="162" t="s">
        <v>428</v>
      </c>
      <c r="G47" s="164" t="e">
        <f t="shared" ref="G47:M47" ca="1" si="47">SUM(G39:G46)</f>
        <v>#REF!</v>
      </c>
      <c r="H47" s="165" t="e">
        <f t="shared" ca="1" si="47"/>
        <v>#REF!</v>
      </c>
      <c r="I47" s="165" t="e">
        <f t="shared" ca="1" si="47"/>
        <v>#REF!</v>
      </c>
      <c r="J47" s="165" t="e">
        <f t="shared" ca="1" si="47"/>
        <v>#REF!</v>
      </c>
      <c r="K47" s="165" t="e">
        <f t="shared" ca="1" si="47"/>
        <v>#REF!</v>
      </c>
      <c r="L47" s="165" t="e">
        <f t="shared" ca="1" si="47"/>
        <v>#REF!</v>
      </c>
      <c r="M47" s="166" t="e">
        <f t="shared" ca="1" si="47"/>
        <v>#REF!</v>
      </c>
      <c r="N47" s="165" t="e">
        <f t="shared" ca="1" si="2"/>
        <v>#REF!</v>
      </c>
      <c r="O47" s="167"/>
      <c r="P47" s="165" t="e">
        <f t="shared" ca="1" si="3"/>
        <v>#REF!</v>
      </c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spans="1:26" ht="14.25" hidden="1" customHeight="1" outlineLevel="1">
      <c r="A48" s="168"/>
      <c r="B48" s="168" t="s">
        <v>429</v>
      </c>
      <c r="C48" s="168" t="s">
        <v>430</v>
      </c>
      <c r="D48" s="169" t="s">
        <v>323</v>
      </c>
      <c r="E48" s="169" t="s">
        <v>431</v>
      </c>
      <c r="F48" s="168" t="s">
        <v>432</v>
      </c>
      <c r="G48" s="153" t="e">
        <f t="shared" ref="G48:M48" ca="1" si="48">SUMIFS(INDIRECT("'[WK "&amp;$C$4&amp;" "&amp;$D$4&amp;" East.xlsx]"&amp;G$5&amp;"'!$E:$E"),INDIRECT("'[WK "&amp;$C$4&amp;" "&amp;$D$4&amp;" East.xlsx]"&amp;G$5&amp;"'!$D:$D"),$E$4,INDIRECT("'[WK "&amp;$C$4&amp;" "&amp;$D$4&amp;" East.xlsx]"&amp;G$5&amp;"'!$J:$J"),$B48)+SUMIFS(INDIRECT("'[WK "&amp;$C$4&amp;" "&amp;$D$4&amp;" West.xlsx]"&amp;G$5&amp;"'!$E:$E"),INDIRECT("'[WK "&amp;$C$4&amp;" "&amp;$D$4&amp;" West.xlsx]"&amp;G$5&amp;"'!$D:$D"),$E$4,INDIRECT("'[WK "&amp;$C$4&amp;" "&amp;$D$4&amp;" West.xlsx]"&amp;G$5&amp;"'!$J:$J"),$B48)</f>
        <v>#REF!</v>
      </c>
      <c r="H48" s="161" t="e">
        <f t="shared" ca="1" si="48"/>
        <v>#REF!</v>
      </c>
      <c r="I48" s="154" t="e">
        <f t="shared" ca="1" si="48"/>
        <v>#REF!</v>
      </c>
      <c r="J48" s="160" t="e">
        <f t="shared" ca="1" si="48"/>
        <v>#REF!</v>
      </c>
      <c r="K48" s="154" t="e">
        <f t="shared" ca="1" si="48"/>
        <v>#REF!</v>
      </c>
      <c r="L48" s="161" t="e">
        <f t="shared" ca="1" si="48"/>
        <v>#REF!</v>
      </c>
      <c r="M48" s="160" t="e">
        <f t="shared" ca="1" si="48"/>
        <v>#REF!</v>
      </c>
      <c r="N48" s="156" t="e">
        <f t="shared" ca="1" si="2"/>
        <v>#REF!</v>
      </c>
      <c r="O48" s="167"/>
      <c r="P48" s="156" t="e">
        <f t="shared" ca="1" si="3"/>
        <v>#REF!</v>
      </c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spans="1:26" ht="14.25" hidden="1" customHeight="1" outlineLevel="1">
      <c r="A49" s="168"/>
      <c r="B49" s="168" t="s">
        <v>433</v>
      </c>
      <c r="C49" s="168" t="s">
        <v>434</v>
      </c>
      <c r="D49" s="169" t="str">
        <f>IFERROR(VLOOKUP($B$4&amp;C49,#REF!,2,FALSE),"")</f>
        <v/>
      </c>
      <c r="E49" s="169"/>
      <c r="F49" s="168" t="s">
        <v>435</v>
      </c>
      <c r="G49" s="153" t="e">
        <f t="shared" ref="G49:M49" ca="1" si="49">SUMIFS(INDIRECT("'[WK "&amp;$C$4&amp;" "&amp;$D$4&amp;" East.xlsx]"&amp;G$5&amp;"'!$E:$E"),INDIRECT("'[WK "&amp;$C$4&amp;" "&amp;$D$4&amp;" East.xlsx]"&amp;G$5&amp;"'!$D:$D"),$E$4,INDIRECT("'[WK "&amp;$C$4&amp;" "&amp;$D$4&amp;" East.xlsx]"&amp;G$5&amp;"'!$J:$J"),$B49)+SUMIFS(INDIRECT("'[WK "&amp;$C$4&amp;" "&amp;$D$4&amp;" West.xlsx]"&amp;G$5&amp;"'!$E:$E"),INDIRECT("'[WK "&amp;$C$4&amp;" "&amp;$D$4&amp;" West.xlsx]"&amp;G$5&amp;"'!$D:$D"),$E$4,INDIRECT("'[WK "&amp;$C$4&amp;" "&amp;$D$4&amp;" West.xlsx]"&amp;G$5&amp;"'!$J:$J"),$B49)</f>
        <v>#REF!</v>
      </c>
      <c r="H49" s="154" t="e">
        <f t="shared" ca="1" si="49"/>
        <v>#REF!</v>
      </c>
      <c r="I49" s="154" t="e">
        <f t="shared" ca="1" si="49"/>
        <v>#REF!</v>
      </c>
      <c r="J49" s="154" t="e">
        <f t="shared" ca="1" si="49"/>
        <v>#REF!</v>
      </c>
      <c r="K49" s="154" t="e">
        <f t="shared" ca="1" si="49"/>
        <v>#REF!</v>
      </c>
      <c r="L49" s="154" t="e">
        <f t="shared" ca="1" si="49"/>
        <v>#REF!</v>
      </c>
      <c r="M49" s="155" t="e">
        <f t="shared" ca="1" si="49"/>
        <v>#REF!</v>
      </c>
      <c r="N49" s="156" t="e">
        <f t="shared" ca="1" si="2"/>
        <v>#REF!</v>
      </c>
      <c r="O49" s="167"/>
      <c r="P49" s="156" t="e">
        <f t="shared" ca="1" si="3"/>
        <v>#REF!</v>
      </c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spans="1:26" ht="14.25" hidden="1" customHeight="1" outlineLevel="1">
      <c r="A50" s="168"/>
      <c r="B50" s="168" t="s">
        <v>436</v>
      </c>
      <c r="C50" s="168" t="s">
        <v>437</v>
      </c>
      <c r="D50" s="169" t="s">
        <v>323</v>
      </c>
      <c r="E50" s="169" t="s">
        <v>431</v>
      </c>
      <c r="F50" s="168" t="s">
        <v>438</v>
      </c>
      <c r="G50" s="160" t="e">
        <f t="shared" ref="G50:M50" ca="1" si="50">SUMIFS(INDIRECT("'[WK "&amp;$C$4&amp;" "&amp;$D$4&amp;" East.xlsx]"&amp;G$5&amp;"'!$E:$E"),INDIRECT("'[WK "&amp;$C$4&amp;" "&amp;$D$4&amp;" East.xlsx]"&amp;G$5&amp;"'!$D:$D"),$E$4,INDIRECT("'[WK "&amp;$C$4&amp;" "&amp;$D$4&amp;" East.xlsx]"&amp;G$5&amp;"'!$J:$J"),$B50)+SUMIFS(INDIRECT("'[WK "&amp;$C$4&amp;" "&amp;$D$4&amp;" West.xlsx]"&amp;G$5&amp;"'!$E:$E"),INDIRECT("'[WK "&amp;$C$4&amp;" "&amp;$D$4&amp;" West.xlsx]"&amp;G$5&amp;"'!$D:$D"),$E$4,INDIRECT("'[WK "&amp;$C$4&amp;" "&amp;$D$4&amp;" West.xlsx]"&amp;G$5&amp;"'!$J:$J"),$B50)</f>
        <v>#REF!</v>
      </c>
      <c r="H50" s="171" t="e">
        <f t="shared" ca="1" si="50"/>
        <v>#REF!</v>
      </c>
      <c r="I50" s="160" t="e">
        <f t="shared" ca="1" si="50"/>
        <v>#REF!</v>
      </c>
      <c r="J50" s="171" t="e">
        <f t="shared" ca="1" si="50"/>
        <v>#REF!</v>
      </c>
      <c r="K50" s="160" t="e">
        <f t="shared" ca="1" si="50"/>
        <v>#REF!</v>
      </c>
      <c r="L50" s="171" t="e">
        <f t="shared" ca="1" si="50"/>
        <v>#REF!</v>
      </c>
      <c r="M50" s="160" t="e">
        <f t="shared" ca="1" si="50"/>
        <v>#REF!</v>
      </c>
      <c r="N50" s="156" t="e">
        <f t="shared" ca="1" si="2"/>
        <v>#REF!</v>
      </c>
      <c r="O50" s="167"/>
      <c r="P50" s="156" t="e">
        <f t="shared" ca="1" si="3"/>
        <v>#REF!</v>
      </c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spans="1:26" ht="14.25" hidden="1" customHeight="1" outlineLevel="1">
      <c r="A51" s="168"/>
      <c r="B51" s="168" t="s">
        <v>439</v>
      </c>
      <c r="C51" s="168" t="s">
        <v>437</v>
      </c>
      <c r="D51" s="169" t="s">
        <v>317</v>
      </c>
      <c r="E51" s="169" t="s">
        <v>334</v>
      </c>
      <c r="F51" s="168" t="s">
        <v>440</v>
      </c>
      <c r="G51" s="160" t="e">
        <f t="shared" ref="G51:M51" ca="1" si="51">SUMIFS(INDIRECT("'[WK "&amp;$C$4&amp;" "&amp;$D$4&amp;" East.xlsx]"&amp;G$5&amp;"'!$E:$E"),INDIRECT("'[WK "&amp;$C$4&amp;" "&amp;$D$4&amp;" East.xlsx]"&amp;G$5&amp;"'!$D:$D"),$E$4,INDIRECT("'[WK "&amp;$C$4&amp;" "&amp;$D$4&amp;" East.xlsx]"&amp;G$5&amp;"'!$J:$J"),$B51)+SUMIFS(INDIRECT("'[WK "&amp;$C$4&amp;" "&amp;$D$4&amp;" West.xlsx]"&amp;G$5&amp;"'!$E:$E"),INDIRECT("'[WK "&amp;$C$4&amp;" "&amp;$D$4&amp;" West.xlsx]"&amp;G$5&amp;"'!$D:$D"),$E$4,INDIRECT("'[WK "&amp;$C$4&amp;" "&amp;$D$4&amp;" West.xlsx]"&amp;G$5&amp;"'!$J:$J"),$B51)</f>
        <v>#REF!</v>
      </c>
      <c r="H51" s="160" t="e">
        <f t="shared" ca="1" si="51"/>
        <v>#REF!</v>
      </c>
      <c r="I51" s="154" t="e">
        <f t="shared" ca="1" si="51"/>
        <v>#REF!</v>
      </c>
      <c r="J51" s="160" t="e">
        <f t="shared" ca="1" si="51"/>
        <v>#REF!</v>
      </c>
      <c r="K51" s="154" t="e">
        <f t="shared" ca="1" si="51"/>
        <v>#REF!</v>
      </c>
      <c r="L51" s="160" t="e">
        <f t="shared" ca="1" si="51"/>
        <v>#REF!</v>
      </c>
      <c r="M51" s="155" t="e">
        <f t="shared" ca="1" si="51"/>
        <v>#REF!</v>
      </c>
      <c r="N51" s="156" t="e">
        <f t="shared" ca="1" si="2"/>
        <v>#REF!</v>
      </c>
      <c r="O51" s="167"/>
      <c r="P51" s="156" t="e">
        <f t="shared" ca="1" si="3"/>
        <v>#REF!</v>
      </c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spans="1:26" ht="14.25" hidden="1" customHeight="1" outlineLevel="1">
      <c r="A52" s="168"/>
      <c r="B52" s="168" t="s">
        <v>441</v>
      </c>
      <c r="C52" s="168" t="s">
        <v>442</v>
      </c>
      <c r="D52" s="169" t="str">
        <f t="shared" ref="D52:D54" si="52">IFERROR(VLOOKUP($B$4&amp;C52,#REF!,2,FALSE),"")</f>
        <v/>
      </c>
      <c r="E52" s="169"/>
      <c r="F52" s="168" t="s">
        <v>443</v>
      </c>
      <c r="G52" s="153" t="e">
        <f t="shared" ref="G52:M52" ca="1" si="53">SUMIFS(INDIRECT("'[WK "&amp;$C$4&amp;" "&amp;$D$4&amp;" East.xlsx]"&amp;G$5&amp;"'!$E:$E"),INDIRECT("'[WK "&amp;$C$4&amp;" "&amp;$D$4&amp;" East.xlsx]"&amp;G$5&amp;"'!$D:$D"),$E$4,INDIRECT("'[WK "&amp;$C$4&amp;" "&amp;$D$4&amp;" East.xlsx]"&amp;G$5&amp;"'!$J:$J"),$B52)+SUMIFS(INDIRECT("'[WK "&amp;$C$4&amp;" "&amp;$D$4&amp;" West.xlsx]"&amp;G$5&amp;"'!$E:$E"),INDIRECT("'[WK "&amp;$C$4&amp;" "&amp;$D$4&amp;" West.xlsx]"&amp;G$5&amp;"'!$D:$D"),$E$4,INDIRECT("'[WK "&amp;$C$4&amp;" "&amp;$D$4&amp;" West.xlsx]"&amp;G$5&amp;"'!$J:$J"),$B52)</f>
        <v>#REF!</v>
      </c>
      <c r="H52" s="154" t="e">
        <f t="shared" ca="1" si="53"/>
        <v>#REF!</v>
      </c>
      <c r="I52" s="154" t="e">
        <f t="shared" ca="1" si="53"/>
        <v>#REF!</v>
      </c>
      <c r="J52" s="154" t="e">
        <f t="shared" ca="1" si="53"/>
        <v>#REF!</v>
      </c>
      <c r="K52" s="154" t="e">
        <f t="shared" ca="1" si="53"/>
        <v>#REF!</v>
      </c>
      <c r="L52" s="154" t="e">
        <f t="shared" ca="1" si="53"/>
        <v>#REF!</v>
      </c>
      <c r="M52" s="155" t="e">
        <f t="shared" ca="1" si="53"/>
        <v>#REF!</v>
      </c>
      <c r="N52" s="156" t="e">
        <f t="shared" ca="1" si="2"/>
        <v>#REF!</v>
      </c>
      <c r="O52" s="167"/>
      <c r="P52" s="156" t="e">
        <f t="shared" ca="1" si="3"/>
        <v>#REF!</v>
      </c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14.25" hidden="1" customHeight="1" outlineLevel="1">
      <c r="A53" s="168"/>
      <c r="B53" s="168" t="s">
        <v>444</v>
      </c>
      <c r="C53" s="168" t="s">
        <v>442</v>
      </c>
      <c r="D53" s="169" t="str">
        <f t="shared" si="52"/>
        <v/>
      </c>
      <c r="E53" s="169"/>
      <c r="F53" s="168" t="s">
        <v>445</v>
      </c>
      <c r="G53" s="153" t="e">
        <f t="shared" ref="G53:M53" ca="1" si="54">SUMIFS(INDIRECT("'[WK "&amp;$C$4&amp;" "&amp;$D$4&amp;" East.xlsx]"&amp;G$5&amp;"'!$E:$E"),INDIRECT("'[WK "&amp;$C$4&amp;" "&amp;$D$4&amp;" East.xlsx]"&amp;G$5&amp;"'!$D:$D"),$E$4,INDIRECT("'[WK "&amp;$C$4&amp;" "&amp;$D$4&amp;" East.xlsx]"&amp;G$5&amp;"'!$J:$J"),$B53)+SUMIFS(INDIRECT("'[WK "&amp;$C$4&amp;" "&amp;$D$4&amp;" West.xlsx]"&amp;G$5&amp;"'!$E:$E"),INDIRECT("'[WK "&amp;$C$4&amp;" "&amp;$D$4&amp;" West.xlsx]"&amp;G$5&amp;"'!$D:$D"),$E$4,INDIRECT("'[WK "&amp;$C$4&amp;" "&amp;$D$4&amp;" West.xlsx]"&amp;G$5&amp;"'!$J:$J"),$B53)</f>
        <v>#REF!</v>
      </c>
      <c r="H53" s="154" t="e">
        <f t="shared" ca="1" si="54"/>
        <v>#REF!</v>
      </c>
      <c r="I53" s="154" t="e">
        <f t="shared" ca="1" si="54"/>
        <v>#REF!</v>
      </c>
      <c r="J53" s="154" t="e">
        <f t="shared" ca="1" si="54"/>
        <v>#REF!</v>
      </c>
      <c r="K53" s="154" t="e">
        <f t="shared" ca="1" si="54"/>
        <v>#REF!</v>
      </c>
      <c r="L53" s="154" t="e">
        <f t="shared" ca="1" si="54"/>
        <v>#REF!</v>
      </c>
      <c r="M53" s="155" t="e">
        <f t="shared" ca="1" si="54"/>
        <v>#REF!</v>
      </c>
      <c r="N53" s="156" t="e">
        <f t="shared" ca="1" si="2"/>
        <v>#REF!</v>
      </c>
      <c r="O53" s="167"/>
      <c r="P53" s="156" t="e">
        <f t="shared" ca="1" si="3"/>
        <v>#REF!</v>
      </c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spans="1:26" ht="14.25" hidden="1" customHeight="1" outlineLevel="1">
      <c r="A54" s="168"/>
      <c r="B54" s="168" t="s">
        <v>446</v>
      </c>
      <c r="C54" s="168" t="s">
        <v>447</v>
      </c>
      <c r="D54" s="169" t="str">
        <f t="shared" si="52"/>
        <v/>
      </c>
      <c r="E54" s="169"/>
      <c r="F54" s="168" t="s">
        <v>448</v>
      </c>
      <c r="G54" s="153" t="e">
        <f t="shared" ref="G54:M54" ca="1" si="55">SUMIFS(INDIRECT("'[WK "&amp;$C$4&amp;" "&amp;$D$4&amp;" East.xlsx]"&amp;G$5&amp;"'!$E:$E"),INDIRECT("'[WK "&amp;$C$4&amp;" "&amp;$D$4&amp;" East.xlsx]"&amp;G$5&amp;"'!$D:$D"),$E$4,INDIRECT("'[WK "&amp;$C$4&amp;" "&amp;$D$4&amp;" East.xlsx]"&amp;G$5&amp;"'!$J:$J"),$B54)+SUMIFS(INDIRECT("'[WK "&amp;$C$4&amp;" "&amp;$D$4&amp;" West.xlsx]"&amp;G$5&amp;"'!$E:$E"),INDIRECT("'[WK "&amp;$C$4&amp;" "&amp;$D$4&amp;" West.xlsx]"&amp;G$5&amp;"'!$D:$D"),$E$4,INDIRECT("'[WK "&amp;$C$4&amp;" "&amp;$D$4&amp;" West.xlsx]"&amp;G$5&amp;"'!$J:$J"),$B54)</f>
        <v>#REF!</v>
      </c>
      <c r="H54" s="154" t="e">
        <f t="shared" ca="1" si="55"/>
        <v>#REF!</v>
      </c>
      <c r="I54" s="154" t="e">
        <f t="shared" ca="1" si="55"/>
        <v>#REF!</v>
      </c>
      <c r="J54" s="154" t="e">
        <f t="shared" ca="1" si="55"/>
        <v>#REF!</v>
      </c>
      <c r="K54" s="154" t="e">
        <f t="shared" ca="1" si="55"/>
        <v>#REF!</v>
      </c>
      <c r="L54" s="154" t="e">
        <f t="shared" ca="1" si="55"/>
        <v>#REF!</v>
      </c>
      <c r="M54" s="155" t="e">
        <f t="shared" ca="1" si="55"/>
        <v>#REF!</v>
      </c>
      <c r="N54" s="156" t="e">
        <f t="shared" ca="1" si="2"/>
        <v>#REF!</v>
      </c>
      <c r="O54" s="167"/>
      <c r="P54" s="156" t="e">
        <f t="shared" ca="1" si="3"/>
        <v>#REF!</v>
      </c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spans="1:26" ht="14.25" hidden="1" customHeight="1" outlineLevel="1">
      <c r="A55" s="168"/>
      <c r="B55" s="168" t="s">
        <v>449</v>
      </c>
      <c r="C55" s="168" t="s">
        <v>430</v>
      </c>
      <c r="D55" s="169" t="s">
        <v>323</v>
      </c>
      <c r="E55" s="169" t="s">
        <v>431</v>
      </c>
      <c r="F55" s="168" t="s">
        <v>450</v>
      </c>
      <c r="G55" s="153" t="e">
        <f t="shared" ref="G55:M55" ca="1" si="56">SUMIFS(INDIRECT("'[WK "&amp;$C$4&amp;" "&amp;$D$4&amp;" East.xlsx]"&amp;G$5&amp;"'!$E:$E"),INDIRECT("'[WK "&amp;$C$4&amp;" "&amp;$D$4&amp;" East.xlsx]"&amp;G$5&amp;"'!$D:$D"),$E$4,INDIRECT("'[WK "&amp;$C$4&amp;" "&amp;$D$4&amp;" East.xlsx]"&amp;G$5&amp;"'!$J:$J"),$B55)+SUMIFS(INDIRECT("'[WK "&amp;$C$4&amp;" "&amp;$D$4&amp;" West.xlsx]"&amp;G$5&amp;"'!$E:$E"),INDIRECT("'[WK "&amp;$C$4&amp;" "&amp;$D$4&amp;" West.xlsx]"&amp;G$5&amp;"'!$D:$D"),$E$4,INDIRECT("'[WK "&amp;$C$4&amp;" "&amp;$D$4&amp;" West.xlsx]"&amp;G$5&amp;"'!$J:$J"),$B55)</f>
        <v>#REF!</v>
      </c>
      <c r="H55" s="161" t="e">
        <f t="shared" ca="1" si="56"/>
        <v>#REF!</v>
      </c>
      <c r="I55" s="154" t="e">
        <f t="shared" ca="1" si="56"/>
        <v>#REF!</v>
      </c>
      <c r="J55" s="160" t="e">
        <f t="shared" ca="1" si="56"/>
        <v>#REF!</v>
      </c>
      <c r="K55" s="154" t="e">
        <f t="shared" ca="1" si="56"/>
        <v>#REF!</v>
      </c>
      <c r="L55" s="161" t="e">
        <f t="shared" ca="1" si="56"/>
        <v>#REF!</v>
      </c>
      <c r="M55" s="160" t="e">
        <f t="shared" ca="1" si="56"/>
        <v>#REF!</v>
      </c>
      <c r="N55" s="156" t="e">
        <f t="shared" ca="1" si="2"/>
        <v>#REF!</v>
      </c>
      <c r="O55" s="167"/>
      <c r="P55" s="156" t="e">
        <f t="shared" ca="1" si="3"/>
        <v>#REF!</v>
      </c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spans="1:26" ht="14.25" hidden="1" customHeight="1" outlineLevel="1">
      <c r="A56" s="168"/>
      <c r="B56" s="168" t="s">
        <v>451</v>
      </c>
      <c r="C56" s="168" t="str">
        <f>MID(F56,4,LEN(F56))</f>
        <v xml:space="preserve"> Depok</v>
      </c>
      <c r="D56" s="169" t="str">
        <f>IFERROR(VLOOKUP($B$4&amp;C56,#REF!,2,FALSE),"")</f>
        <v/>
      </c>
      <c r="E56" s="169"/>
      <c r="F56" s="168" t="s">
        <v>452</v>
      </c>
      <c r="G56" s="153" t="e">
        <f t="shared" ref="G56:M56" ca="1" si="57">SUMIFS(INDIRECT("'[WK "&amp;$C$4&amp;" "&amp;$D$4&amp;" East.xlsx]"&amp;G$5&amp;"'!$E:$E"),INDIRECT("'[WK "&amp;$C$4&amp;" "&amp;$D$4&amp;" East.xlsx]"&amp;G$5&amp;"'!$D:$D"),$E$4,INDIRECT("'[WK "&amp;$C$4&amp;" "&amp;$D$4&amp;" East.xlsx]"&amp;G$5&amp;"'!$J:$J"),$B56)+SUMIFS(INDIRECT("'[WK "&amp;$C$4&amp;" "&amp;$D$4&amp;" West.xlsx]"&amp;G$5&amp;"'!$E:$E"),INDIRECT("'[WK "&amp;$C$4&amp;" "&amp;$D$4&amp;" West.xlsx]"&amp;G$5&amp;"'!$D:$D"),$E$4,INDIRECT("'[WK "&amp;$C$4&amp;" "&amp;$D$4&amp;" West.xlsx]"&amp;G$5&amp;"'!$J:$J"),$B56)</f>
        <v>#REF!</v>
      </c>
      <c r="H56" s="154" t="e">
        <f t="shared" ca="1" si="57"/>
        <v>#REF!</v>
      </c>
      <c r="I56" s="154" t="e">
        <f t="shared" ca="1" si="57"/>
        <v>#REF!</v>
      </c>
      <c r="J56" s="154" t="e">
        <f t="shared" ca="1" si="57"/>
        <v>#REF!</v>
      </c>
      <c r="K56" s="154" t="e">
        <f t="shared" ca="1" si="57"/>
        <v>#REF!</v>
      </c>
      <c r="L56" s="154" t="e">
        <f t="shared" ca="1" si="57"/>
        <v>#REF!</v>
      </c>
      <c r="M56" s="155" t="e">
        <f t="shared" ca="1" si="57"/>
        <v>#REF!</v>
      </c>
      <c r="N56" s="156" t="e">
        <f t="shared" ca="1" si="2"/>
        <v>#REF!</v>
      </c>
      <c r="O56" s="167"/>
      <c r="P56" s="156" t="e">
        <f t="shared" ca="1" si="3"/>
        <v>#REF!</v>
      </c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spans="1:26" ht="14.25" customHeight="1" collapsed="1">
      <c r="A57" s="162" t="s">
        <v>453</v>
      </c>
      <c r="B57" s="162"/>
      <c r="C57" s="162"/>
      <c r="D57" s="163">
        <v>1</v>
      </c>
      <c r="E57" s="163"/>
      <c r="F57" s="162" t="s">
        <v>454</v>
      </c>
      <c r="G57" s="164" t="e">
        <f t="shared" ref="G57:M57" ca="1" si="58">SUM(G48:G56)</f>
        <v>#REF!</v>
      </c>
      <c r="H57" s="165" t="e">
        <f t="shared" ca="1" si="58"/>
        <v>#REF!</v>
      </c>
      <c r="I57" s="165" t="e">
        <f t="shared" ca="1" si="58"/>
        <v>#REF!</v>
      </c>
      <c r="J57" s="165" t="e">
        <f t="shared" ca="1" si="58"/>
        <v>#REF!</v>
      </c>
      <c r="K57" s="165" t="e">
        <f t="shared" ca="1" si="58"/>
        <v>#REF!</v>
      </c>
      <c r="L57" s="165" t="e">
        <f t="shared" ca="1" si="58"/>
        <v>#REF!</v>
      </c>
      <c r="M57" s="166" t="e">
        <f t="shared" ca="1" si="58"/>
        <v>#REF!</v>
      </c>
      <c r="N57" s="165" t="e">
        <f t="shared" ca="1" si="2"/>
        <v>#REF!</v>
      </c>
      <c r="O57" s="167"/>
      <c r="P57" s="165" t="e">
        <f t="shared" ca="1" si="3"/>
        <v>#REF!</v>
      </c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spans="1:26" ht="14.25" hidden="1" customHeight="1" outlineLevel="1">
      <c r="A58" s="168"/>
      <c r="B58" s="168" t="s">
        <v>455</v>
      </c>
      <c r="C58" s="168" t="s">
        <v>456</v>
      </c>
      <c r="D58" s="169" t="s">
        <v>323</v>
      </c>
      <c r="E58" s="169" t="s">
        <v>431</v>
      </c>
      <c r="F58" s="168" t="s">
        <v>457</v>
      </c>
      <c r="G58" s="153" t="e">
        <f t="shared" ref="G58:M58" ca="1" si="59">SUMIFS(INDIRECT("'[WK "&amp;$C$4&amp;" "&amp;$D$4&amp;" East.xlsx]"&amp;G$5&amp;"'!$E:$E"),INDIRECT("'[WK "&amp;$C$4&amp;" "&amp;$D$4&amp;" East.xlsx]"&amp;G$5&amp;"'!$D:$D"),$E$4,INDIRECT("'[WK "&amp;$C$4&amp;" "&amp;$D$4&amp;" East.xlsx]"&amp;G$5&amp;"'!$J:$J"),$B58)+SUMIFS(INDIRECT("'[WK "&amp;$C$4&amp;" "&amp;$D$4&amp;" West.xlsx]"&amp;G$5&amp;"'!$E:$E"),INDIRECT("'[WK "&amp;$C$4&amp;" "&amp;$D$4&amp;" West.xlsx]"&amp;G$5&amp;"'!$D:$D"),$E$4,INDIRECT("'[WK "&amp;$C$4&amp;" "&amp;$D$4&amp;" West.xlsx]"&amp;G$5&amp;"'!$J:$J"),$B58)</f>
        <v>#REF!</v>
      </c>
      <c r="H58" s="161" t="e">
        <f t="shared" ca="1" si="59"/>
        <v>#REF!</v>
      </c>
      <c r="I58" s="154" t="e">
        <f t="shared" ca="1" si="59"/>
        <v>#REF!</v>
      </c>
      <c r="J58" s="161" t="e">
        <f t="shared" ca="1" si="59"/>
        <v>#REF!</v>
      </c>
      <c r="K58" s="154" t="e">
        <f t="shared" ca="1" si="59"/>
        <v>#REF!</v>
      </c>
      <c r="L58" s="171" t="e">
        <f t="shared" ca="1" si="59"/>
        <v>#REF!</v>
      </c>
      <c r="M58" s="160" t="e">
        <f t="shared" ca="1" si="59"/>
        <v>#REF!</v>
      </c>
      <c r="N58" s="156" t="e">
        <f t="shared" ca="1" si="2"/>
        <v>#REF!</v>
      </c>
      <c r="O58" s="167"/>
      <c r="P58" s="156" t="e">
        <f t="shared" ca="1" si="3"/>
        <v>#REF!</v>
      </c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spans="1:26" ht="14.25" hidden="1" customHeight="1" outlineLevel="1">
      <c r="A59" s="168"/>
      <c r="B59" s="168" t="s">
        <v>458</v>
      </c>
      <c r="C59" s="168" t="s">
        <v>456</v>
      </c>
      <c r="D59" s="169" t="s">
        <v>317</v>
      </c>
      <c r="E59" s="169" t="s">
        <v>334</v>
      </c>
      <c r="F59" s="168" t="s">
        <v>459</v>
      </c>
      <c r="G59" s="153" t="e">
        <f t="shared" ref="G59:M59" ca="1" si="60">SUMIFS(INDIRECT("'[WK "&amp;$C$4&amp;" "&amp;$D$4&amp;" East.xlsx]"&amp;G$5&amp;"'!$E:$E"),INDIRECT("'[WK "&amp;$C$4&amp;" "&amp;$D$4&amp;" East.xlsx]"&amp;G$5&amp;"'!$D:$D"),$E$4,INDIRECT("'[WK "&amp;$C$4&amp;" "&amp;$D$4&amp;" East.xlsx]"&amp;G$5&amp;"'!$J:$J"),$B59)+SUMIFS(INDIRECT("'[WK "&amp;$C$4&amp;" "&amp;$D$4&amp;" West.xlsx]"&amp;G$5&amp;"'!$E:$E"),INDIRECT("'[WK "&amp;$C$4&amp;" "&amp;$D$4&amp;" West.xlsx]"&amp;G$5&amp;"'!$D:$D"),$E$4,INDIRECT("'[WK "&amp;$C$4&amp;" "&amp;$D$4&amp;" West.xlsx]"&amp;G$5&amp;"'!$J:$J"),$B59)</f>
        <v>#REF!</v>
      </c>
      <c r="H59" s="161" t="e">
        <f t="shared" ca="1" si="60"/>
        <v>#REF!</v>
      </c>
      <c r="I59" s="154" t="e">
        <f t="shared" ca="1" si="60"/>
        <v>#REF!</v>
      </c>
      <c r="J59" s="161" t="e">
        <f t="shared" ca="1" si="60"/>
        <v>#REF!</v>
      </c>
      <c r="K59" s="154" t="e">
        <f t="shared" ca="1" si="60"/>
        <v>#REF!</v>
      </c>
      <c r="L59" s="171" t="e">
        <f t="shared" ca="1" si="60"/>
        <v>#REF!</v>
      </c>
      <c r="M59" s="160" t="e">
        <f t="shared" ca="1" si="60"/>
        <v>#REF!</v>
      </c>
      <c r="N59" s="156" t="e">
        <f t="shared" ca="1" si="2"/>
        <v>#REF!</v>
      </c>
      <c r="O59" s="167"/>
      <c r="P59" s="156" t="e">
        <f t="shared" ca="1" si="3"/>
        <v>#REF!</v>
      </c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spans="1:26" ht="14.25" hidden="1" customHeight="1" outlineLevel="1">
      <c r="A60" s="168"/>
      <c r="B60" s="168" t="s">
        <v>460</v>
      </c>
      <c r="C60" s="168" t="s">
        <v>461</v>
      </c>
      <c r="D60" s="169" t="s">
        <v>323</v>
      </c>
      <c r="E60" s="169" t="s">
        <v>431</v>
      </c>
      <c r="F60" s="168" t="s">
        <v>462</v>
      </c>
      <c r="G60" s="161" t="e">
        <f t="shared" ref="G60:M60" ca="1" si="61">SUMIFS(INDIRECT("'[WK "&amp;$C$4&amp;" "&amp;$D$4&amp;" East.xlsx]"&amp;G$5&amp;"'!$E:$E"),INDIRECT("'[WK "&amp;$C$4&amp;" "&amp;$D$4&amp;" East.xlsx]"&amp;G$5&amp;"'!$D:$D"),$E$4,INDIRECT("'[WK "&amp;$C$4&amp;" "&amp;$D$4&amp;" East.xlsx]"&amp;G$5&amp;"'!$J:$J"),$B60)+SUMIFS(INDIRECT("'[WK "&amp;$C$4&amp;" "&amp;$D$4&amp;" West.xlsx]"&amp;G$5&amp;"'!$E:$E"),INDIRECT("'[WK "&amp;$C$4&amp;" "&amp;$D$4&amp;" West.xlsx]"&amp;G$5&amp;"'!$D:$D"),$E$4,INDIRECT("'[WK "&amp;$C$4&amp;" "&amp;$D$4&amp;" West.xlsx]"&amp;G$5&amp;"'!$J:$J"),$B60)</f>
        <v>#REF!</v>
      </c>
      <c r="H60" s="154" t="e">
        <f t="shared" ca="1" si="61"/>
        <v>#REF!</v>
      </c>
      <c r="I60" s="161" t="e">
        <f t="shared" ca="1" si="61"/>
        <v>#REF!</v>
      </c>
      <c r="J60" s="171" t="e">
        <f t="shared" ca="1" si="61"/>
        <v>#REF!</v>
      </c>
      <c r="K60" s="160" t="e">
        <f t="shared" ca="1" si="61"/>
        <v>#REF!</v>
      </c>
      <c r="L60" s="171" t="e">
        <f t="shared" ca="1" si="61"/>
        <v>#REF!</v>
      </c>
      <c r="M60" s="160" t="e">
        <f t="shared" ca="1" si="61"/>
        <v>#REF!</v>
      </c>
      <c r="N60" s="156" t="e">
        <f t="shared" ca="1" si="2"/>
        <v>#REF!</v>
      </c>
      <c r="O60" s="167"/>
      <c r="P60" s="156" t="e">
        <f t="shared" ca="1" si="3"/>
        <v>#REF!</v>
      </c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spans="1:26" ht="14.25" hidden="1" customHeight="1" outlineLevel="1">
      <c r="A61" s="168"/>
      <c r="B61" s="168" t="s">
        <v>463</v>
      </c>
      <c r="C61" s="168" t="s">
        <v>461</v>
      </c>
      <c r="D61" s="169" t="str">
        <f>IFERROR(VLOOKUP($B$4&amp;C61,#REF!,2,FALSE),"")</f>
        <v/>
      </c>
      <c r="E61" s="169"/>
      <c r="F61" s="168" t="s">
        <v>464</v>
      </c>
      <c r="G61" s="153" t="e">
        <f t="shared" ref="G61:M61" ca="1" si="62">SUMIFS(INDIRECT("'[WK "&amp;$C$4&amp;" "&amp;$D$4&amp;" East.xlsx]"&amp;G$5&amp;"'!$E:$E"),INDIRECT("'[WK "&amp;$C$4&amp;" "&amp;$D$4&amp;" East.xlsx]"&amp;G$5&amp;"'!$D:$D"),$E$4,INDIRECT("'[WK "&amp;$C$4&amp;" "&amp;$D$4&amp;" East.xlsx]"&amp;G$5&amp;"'!$J:$J"),$B61)+SUMIFS(INDIRECT("'[WK "&amp;$C$4&amp;" "&amp;$D$4&amp;" West.xlsx]"&amp;G$5&amp;"'!$E:$E"),INDIRECT("'[WK "&amp;$C$4&amp;" "&amp;$D$4&amp;" West.xlsx]"&amp;G$5&amp;"'!$D:$D"),$E$4,INDIRECT("'[WK "&amp;$C$4&amp;" "&amp;$D$4&amp;" West.xlsx]"&amp;G$5&amp;"'!$J:$J"),$B61)</f>
        <v>#REF!</v>
      </c>
      <c r="H61" s="154" t="e">
        <f t="shared" ca="1" si="62"/>
        <v>#REF!</v>
      </c>
      <c r="I61" s="154" t="e">
        <f t="shared" ca="1" si="62"/>
        <v>#REF!</v>
      </c>
      <c r="J61" s="154" t="e">
        <f t="shared" ca="1" si="62"/>
        <v>#REF!</v>
      </c>
      <c r="K61" s="154" t="e">
        <f t="shared" ca="1" si="62"/>
        <v>#REF!</v>
      </c>
      <c r="L61" s="154" t="e">
        <f t="shared" ca="1" si="62"/>
        <v>#REF!</v>
      </c>
      <c r="M61" s="155" t="e">
        <f t="shared" ca="1" si="62"/>
        <v>#REF!</v>
      </c>
      <c r="N61" s="156" t="e">
        <f t="shared" ca="1" si="2"/>
        <v>#REF!</v>
      </c>
      <c r="O61" s="167"/>
      <c r="P61" s="156" t="e">
        <f t="shared" ca="1" si="3"/>
        <v>#REF!</v>
      </c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4.25" hidden="1" customHeight="1" outlineLevel="1">
      <c r="A62" s="168"/>
      <c r="B62" s="168" t="s">
        <v>465</v>
      </c>
      <c r="C62" s="168" t="s">
        <v>466</v>
      </c>
      <c r="D62" s="169" t="s">
        <v>467</v>
      </c>
      <c r="E62" s="169"/>
      <c r="F62" s="168" t="s">
        <v>468</v>
      </c>
      <c r="G62" s="153" t="e">
        <f t="shared" ref="G62:M62" ca="1" si="63">SUMIFS(INDIRECT("'[WK "&amp;$C$4&amp;" "&amp;$D$4&amp;" East.xlsx]"&amp;G$5&amp;"'!$E:$E"),INDIRECT("'[WK "&amp;$C$4&amp;" "&amp;$D$4&amp;" East.xlsx]"&amp;G$5&amp;"'!$D:$D"),$E$4,INDIRECT("'[WK "&amp;$C$4&amp;" "&amp;$D$4&amp;" East.xlsx]"&amp;G$5&amp;"'!$J:$J"),$B62)+SUMIFS(INDIRECT("'[WK "&amp;$C$4&amp;" "&amp;$D$4&amp;" West.xlsx]"&amp;G$5&amp;"'!$E:$E"),INDIRECT("'[WK "&amp;$C$4&amp;" "&amp;$D$4&amp;" West.xlsx]"&amp;G$5&amp;"'!$D:$D"),$E$4,INDIRECT("'[WK "&amp;$C$4&amp;" "&amp;$D$4&amp;" West.xlsx]"&amp;G$5&amp;"'!$J:$J"),$B62)</f>
        <v>#REF!</v>
      </c>
      <c r="H62" s="154" t="e">
        <f t="shared" ca="1" si="63"/>
        <v>#REF!</v>
      </c>
      <c r="I62" s="154" t="e">
        <f t="shared" ca="1" si="63"/>
        <v>#REF!</v>
      </c>
      <c r="J62" s="154" t="e">
        <f t="shared" ca="1" si="63"/>
        <v>#REF!</v>
      </c>
      <c r="K62" s="154" t="e">
        <f t="shared" ca="1" si="63"/>
        <v>#REF!</v>
      </c>
      <c r="L62" s="154" t="e">
        <f t="shared" ca="1" si="63"/>
        <v>#REF!</v>
      </c>
      <c r="M62" s="155" t="e">
        <f t="shared" ca="1" si="63"/>
        <v>#REF!</v>
      </c>
      <c r="N62" s="156" t="e">
        <f t="shared" ca="1" si="2"/>
        <v>#REF!</v>
      </c>
      <c r="O62" s="167"/>
      <c r="P62" s="156" t="e">
        <f t="shared" ca="1" si="3"/>
        <v>#REF!</v>
      </c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spans="1:26" ht="14.25" hidden="1" customHeight="1" outlineLevel="1">
      <c r="A63" s="168"/>
      <c r="B63" s="168" t="s">
        <v>469</v>
      </c>
      <c r="C63" s="168" t="s">
        <v>470</v>
      </c>
      <c r="D63" s="169" t="s">
        <v>323</v>
      </c>
      <c r="E63" s="169" t="s">
        <v>431</v>
      </c>
      <c r="F63" s="168" t="s">
        <v>471</v>
      </c>
      <c r="G63" s="172" t="e">
        <f t="shared" ref="G63:M63" ca="1" si="64">SUMIFS(INDIRECT("'[WK "&amp;$C$4&amp;" "&amp;$D$4&amp;" East.xlsx]"&amp;G$5&amp;"'!$E:$E"),INDIRECT("'[WK "&amp;$C$4&amp;" "&amp;$D$4&amp;" East.xlsx]"&amp;G$5&amp;"'!$D:$D"),$E$4,INDIRECT("'[WK "&amp;$C$4&amp;" "&amp;$D$4&amp;" East.xlsx]"&amp;G$5&amp;"'!$J:$J"),$B63)+SUMIFS(INDIRECT("'[WK "&amp;$C$4&amp;" "&amp;$D$4&amp;" West.xlsx]"&amp;G$5&amp;"'!$E:$E"),INDIRECT("'[WK "&amp;$C$4&amp;" "&amp;$D$4&amp;" West.xlsx]"&amp;G$5&amp;"'!$D:$D"),$E$4,INDIRECT("'[WK "&amp;$C$4&amp;" "&amp;$D$4&amp;" West.xlsx]"&amp;G$5&amp;"'!$J:$J"),$B63)</f>
        <v>#REF!</v>
      </c>
      <c r="H63" s="171" t="e">
        <f t="shared" ca="1" si="64"/>
        <v>#REF!</v>
      </c>
      <c r="I63" s="172" t="e">
        <f t="shared" ca="1" si="64"/>
        <v>#REF!</v>
      </c>
      <c r="J63" s="171" t="e">
        <f t="shared" ca="1" si="64"/>
        <v>#REF!</v>
      </c>
      <c r="K63" s="154" t="e">
        <f t="shared" ca="1" si="64"/>
        <v>#REF!</v>
      </c>
      <c r="L63" s="161" t="e">
        <f t="shared" ca="1" si="64"/>
        <v>#REF!</v>
      </c>
      <c r="M63" s="155" t="e">
        <f t="shared" ca="1" si="64"/>
        <v>#REF!</v>
      </c>
      <c r="N63" s="156" t="e">
        <f t="shared" ca="1" si="2"/>
        <v>#REF!</v>
      </c>
      <c r="O63" s="167"/>
      <c r="P63" s="156" t="e">
        <f t="shared" ca="1" si="3"/>
        <v>#REF!</v>
      </c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spans="1:26" ht="14.25" hidden="1" customHeight="1" outlineLevel="1">
      <c r="A64" s="168"/>
      <c r="B64" s="168" t="s">
        <v>472</v>
      </c>
      <c r="C64" s="168" t="s">
        <v>473</v>
      </c>
      <c r="D64" s="169" t="str">
        <f t="shared" ref="D64:D65" si="65">IFERROR(VLOOKUP($B$4&amp;C64,#REF!,2,FALSE),"")</f>
        <v/>
      </c>
      <c r="E64" s="169"/>
      <c r="F64" s="168" t="s">
        <v>474</v>
      </c>
      <c r="G64" s="153" t="e">
        <f t="shared" ref="G64:M64" ca="1" si="66">SUMIFS(INDIRECT("'[WK "&amp;$C$4&amp;" "&amp;$D$4&amp;" East.xlsx]"&amp;G$5&amp;"'!$E:$E"),INDIRECT("'[WK "&amp;$C$4&amp;" "&amp;$D$4&amp;" East.xlsx]"&amp;G$5&amp;"'!$D:$D"),$E$4,INDIRECT("'[WK "&amp;$C$4&amp;" "&amp;$D$4&amp;" East.xlsx]"&amp;G$5&amp;"'!$J:$J"),$B64)+SUMIFS(INDIRECT("'[WK "&amp;$C$4&amp;" "&amp;$D$4&amp;" West.xlsx]"&amp;G$5&amp;"'!$E:$E"),INDIRECT("'[WK "&amp;$C$4&amp;" "&amp;$D$4&amp;" West.xlsx]"&amp;G$5&amp;"'!$D:$D"),$E$4,INDIRECT("'[WK "&amp;$C$4&amp;" "&amp;$D$4&amp;" West.xlsx]"&amp;G$5&amp;"'!$J:$J"),$B64)</f>
        <v>#REF!</v>
      </c>
      <c r="H64" s="154" t="e">
        <f t="shared" ca="1" si="66"/>
        <v>#REF!</v>
      </c>
      <c r="I64" s="154" t="e">
        <f t="shared" ca="1" si="66"/>
        <v>#REF!</v>
      </c>
      <c r="J64" s="154" t="e">
        <f t="shared" ca="1" si="66"/>
        <v>#REF!</v>
      </c>
      <c r="K64" s="154" t="e">
        <f t="shared" ca="1" si="66"/>
        <v>#REF!</v>
      </c>
      <c r="L64" s="154" t="e">
        <f t="shared" ca="1" si="66"/>
        <v>#REF!</v>
      </c>
      <c r="M64" s="155" t="e">
        <f t="shared" ca="1" si="66"/>
        <v>#REF!</v>
      </c>
      <c r="N64" s="156" t="e">
        <f t="shared" ca="1" si="2"/>
        <v>#REF!</v>
      </c>
      <c r="O64" s="167"/>
      <c r="P64" s="156" t="e">
        <f t="shared" ca="1" si="3"/>
        <v>#REF!</v>
      </c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4.25" hidden="1" customHeight="1" outlineLevel="1">
      <c r="A65" s="168"/>
      <c r="B65" s="168" t="s">
        <v>475</v>
      </c>
      <c r="C65" s="168" t="s">
        <v>476</v>
      </c>
      <c r="D65" s="169" t="str">
        <f t="shared" si="65"/>
        <v/>
      </c>
      <c r="E65" s="169"/>
      <c r="F65" s="168" t="s">
        <v>477</v>
      </c>
      <c r="G65" s="153" t="e">
        <f t="shared" ref="G65:M65" ca="1" si="67">SUMIFS(INDIRECT("'[WK "&amp;$C$4&amp;" "&amp;$D$4&amp;" East.xlsx]"&amp;G$5&amp;"'!$E:$E"),INDIRECT("'[WK "&amp;$C$4&amp;" "&amp;$D$4&amp;" East.xlsx]"&amp;G$5&amp;"'!$D:$D"),$E$4,INDIRECT("'[WK "&amp;$C$4&amp;" "&amp;$D$4&amp;" East.xlsx]"&amp;G$5&amp;"'!$J:$J"),$B65)+SUMIFS(INDIRECT("'[WK "&amp;$C$4&amp;" "&amp;$D$4&amp;" West.xlsx]"&amp;G$5&amp;"'!$E:$E"),INDIRECT("'[WK "&amp;$C$4&amp;" "&amp;$D$4&amp;" West.xlsx]"&amp;G$5&amp;"'!$D:$D"),$E$4,INDIRECT("'[WK "&amp;$C$4&amp;" "&amp;$D$4&amp;" West.xlsx]"&amp;G$5&amp;"'!$J:$J"),$B65)</f>
        <v>#REF!</v>
      </c>
      <c r="H65" s="154" t="e">
        <f t="shared" ca="1" si="67"/>
        <v>#REF!</v>
      </c>
      <c r="I65" s="154" t="e">
        <f t="shared" ca="1" si="67"/>
        <v>#REF!</v>
      </c>
      <c r="J65" s="154" t="e">
        <f t="shared" ca="1" si="67"/>
        <v>#REF!</v>
      </c>
      <c r="K65" s="154" t="e">
        <f t="shared" ca="1" si="67"/>
        <v>#REF!</v>
      </c>
      <c r="L65" s="154" t="e">
        <f t="shared" ca="1" si="67"/>
        <v>#REF!</v>
      </c>
      <c r="M65" s="155" t="e">
        <f t="shared" ca="1" si="67"/>
        <v>#REF!</v>
      </c>
      <c r="N65" s="156" t="e">
        <f t="shared" ca="1" si="2"/>
        <v>#REF!</v>
      </c>
      <c r="O65" s="167"/>
      <c r="P65" s="156" t="e">
        <f t="shared" ca="1" si="3"/>
        <v>#REF!</v>
      </c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spans="1:26" ht="14.25" hidden="1" customHeight="1" outlineLevel="1">
      <c r="A66" s="168"/>
      <c r="B66" s="168" t="s">
        <v>478</v>
      </c>
      <c r="C66" s="168" t="s">
        <v>479</v>
      </c>
      <c r="D66" s="169" t="s">
        <v>317</v>
      </c>
      <c r="E66" s="169" t="s">
        <v>334</v>
      </c>
      <c r="F66" s="168" t="s">
        <v>480</v>
      </c>
      <c r="G66" s="153" t="e">
        <f t="shared" ref="G66:M66" ca="1" si="68">SUMIFS(INDIRECT("'[WK "&amp;$C$4&amp;" "&amp;$D$4&amp;" East.xlsx]"&amp;G$5&amp;"'!$E:$E"),INDIRECT("'[WK "&amp;$C$4&amp;" "&amp;$D$4&amp;" East.xlsx]"&amp;G$5&amp;"'!$D:$D"),$E$4,INDIRECT("'[WK "&amp;$C$4&amp;" "&amp;$D$4&amp;" East.xlsx]"&amp;G$5&amp;"'!$J:$J"),$B66)+SUMIFS(INDIRECT("'[WK "&amp;$C$4&amp;" "&amp;$D$4&amp;" West.xlsx]"&amp;G$5&amp;"'!$E:$E"),INDIRECT("'[WK "&amp;$C$4&amp;" "&amp;$D$4&amp;" West.xlsx]"&amp;G$5&amp;"'!$D:$D"),$E$4,INDIRECT("'[WK "&amp;$C$4&amp;" "&amp;$D$4&amp;" West.xlsx]"&amp;G$5&amp;"'!$J:$J"),$B66)</f>
        <v>#REF!</v>
      </c>
      <c r="H66" s="172" t="e">
        <f t="shared" ca="1" si="68"/>
        <v>#REF!</v>
      </c>
      <c r="I66" s="154" t="e">
        <f t="shared" ca="1" si="68"/>
        <v>#REF!</v>
      </c>
      <c r="J66" s="154" t="e">
        <f t="shared" ca="1" si="68"/>
        <v>#REF!</v>
      </c>
      <c r="K66" s="172" t="e">
        <f t="shared" ca="1" si="68"/>
        <v>#REF!</v>
      </c>
      <c r="L66" s="154" t="e">
        <f t="shared" ca="1" si="68"/>
        <v>#REF!</v>
      </c>
      <c r="M66" s="155" t="e">
        <f t="shared" ca="1" si="68"/>
        <v>#REF!</v>
      </c>
      <c r="N66" s="156" t="e">
        <f t="shared" ca="1" si="2"/>
        <v>#REF!</v>
      </c>
      <c r="O66" s="167"/>
      <c r="P66" s="156" t="e">
        <f t="shared" ca="1" si="3"/>
        <v>#REF!</v>
      </c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spans="1:26" ht="14.25" customHeight="1" collapsed="1">
      <c r="A67" s="162" t="s">
        <v>453</v>
      </c>
      <c r="B67" s="162"/>
      <c r="C67" s="162"/>
      <c r="D67" s="163">
        <v>1</v>
      </c>
      <c r="E67" s="163"/>
      <c r="F67" s="162" t="s">
        <v>481</v>
      </c>
      <c r="G67" s="164" t="e">
        <f t="shared" ref="G67:M67" ca="1" si="69">SUM(G58:G66)</f>
        <v>#REF!</v>
      </c>
      <c r="H67" s="165" t="e">
        <f t="shared" ca="1" si="69"/>
        <v>#REF!</v>
      </c>
      <c r="I67" s="165" t="e">
        <f t="shared" ca="1" si="69"/>
        <v>#REF!</v>
      </c>
      <c r="J67" s="165" t="e">
        <f t="shared" ca="1" si="69"/>
        <v>#REF!</v>
      </c>
      <c r="K67" s="165" t="e">
        <f t="shared" ca="1" si="69"/>
        <v>#REF!</v>
      </c>
      <c r="L67" s="165" t="e">
        <f t="shared" ca="1" si="69"/>
        <v>#REF!</v>
      </c>
      <c r="M67" s="166" t="e">
        <f t="shared" ca="1" si="69"/>
        <v>#REF!</v>
      </c>
      <c r="N67" s="165" t="e">
        <f t="shared" ca="1" si="2"/>
        <v>#REF!</v>
      </c>
      <c r="O67" s="167"/>
      <c r="P67" s="165" t="e">
        <f t="shared" ca="1" si="3"/>
        <v>#REF!</v>
      </c>
      <c r="Q67" s="173"/>
      <c r="R67" s="173"/>
      <c r="S67" s="173"/>
      <c r="T67" s="173"/>
      <c r="U67" s="173"/>
      <c r="V67" s="173"/>
      <c r="W67" s="173"/>
      <c r="X67" s="173"/>
      <c r="Y67" s="173"/>
      <c r="Z67" s="173"/>
    </row>
    <row r="68" spans="1:26" ht="14.25" hidden="1" customHeight="1" outlineLevel="1">
      <c r="A68" s="168"/>
      <c r="B68" s="168" t="s">
        <v>482</v>
      </c>
      <c r="C68" s="168" t="s">
        <v>483</v>
      </c>
      <c r="D68" s="169" t="s">
        <v>484</v>
      </c>
      <c r="E68" s="169" t="s">
        <v>393</v>
      </c>
      <c r="F68" s="168" t="s">
        <v>485</v>
      </c>
      <c r="G68" s="174" t="e">
        <f t="shared" ref="G68:M68" ca="1" si="70">SUMIFS(INDIRECT("'[WK "&amp;$C$4&amp;" "&amp;$D$4&amp;" East.xlsx]"&amp;G$5&amp;"'!$E:$E"),INDIRECT("'[WK "&amp;$C$4&amp;" "&amp;$D$4&amp;" East.xlsx]"&amp;G$5&amp;"'!$D:$D"),$E$4,INDIRECT("'[WK "&amp;$C$4&amp;" "&amp;$D$4&amp;" East.xlsx]"&amp;G$5&amp;"'!$J:$J"),$B68)+SUMIFS(INDIRECT("'[WK "&amp;$C$4&amp;" "&amp;$D$4&amp;" West.xlsx]"&amp;G$5&amp;"'!$E:$E"),INDIRECT("'[WK "&amp;$C$4&amp;" "&amp;$D$4&amp;" West.xlsx]"&amp;G$5&amp;"'!$D:$D"),$E$4,INDIRECT("'[WK "&amp;$C$4&amp;" "&amp;$D$4&amp;" West.xlsx]"&amp;G$5&amp;"'!$J:$J"),$B68)</f>
        <v>#REF!</v>
      </c>
      <c r="H68" s="171" t="e">
        <f t="shared" ca="1" si="70"/>
        <v>#REF!</v>
      </c>
      <c r="I68" s="171" t="e">
        <f t="shared" ca="1" si="70"/>
        <v>#REF!</v>
      </c>
      <c r="J68" s="171" t="e">
        <f t="shared" ca="1" si="70"/>
        <v>#REF!</v>
      </c>
      <c r="K68" s="171" t="e">
        <f t="shared" ca="1" si="70"/>
        <v>#REF!</v>
      </c>
      <c r="L68" s="171" t="e">
        <f t="shared" ca="1" si="70"/>
        <v>#REF!</v>
      </c>
      <c r="M68" s="175" t="e">
        <f t="shared" ca="1" si="70"/>
        <v>#REF!</v>
      </c>
      <c r="N68" s="156" t="e">
        <f t="shared" ca="1" si="2"/>
        <v>#REF!</v>
      </c>
      <c r="O68" s="167"/>
      <c r="P68" s="156" t="e">
        <f t="shared" ca="1" si="3"/>
        <v>#REF!</v>
      </c>
      <c r="Q68" s="173"/>
      <c r="R68" s="173"/>
      <c r="S68" s="173"/>
      <c r="T68" s="173"/>
      <c r="U68" s="173"/>
      <c r="V68" s="173"/>
      <c r="W68" s="173"/>
      <c r="X68" s="173"/>
      <c r="Y68" s="173"/>
      <c r="Z68" s="173"/>
    </row>
    <row r="69" spans="1:26" ht="14.25" customHeight="1" collapsed="1">
      <c r="A69" s="162"/>
      <c r="B69" s="162"/>
      <c r="C69" s="162" t="s">
        <v>483</v>
      </c>
      <c r="D69" s="163"/>
      <c r="E69" s="163"/>
      <c r="F69" s="162" t="s">
        <v>483</v>
      </c>
      <c r="G69" s="164" t="e">
        <f t="shared" ref="G69:M69" ca="1" si="71">G68</f>
        <v>#REF!</v>
      </c>
      <c r="H69" s="165" t="e">
        <f t="shared" ca="1" si="71"/>
        <v>#REF!</v>
      </c>
      <c r="I69" s="165" t="e">
        <f t="shared" ca="1" si="71"/>
        <v>#REF!</v>
      </c>
      <c r="J69" s="165" t="e">
        <f t="shared" ca="1" si="71"/>
        <v>#REF!</v>
      </c>
      <c r="K69" s="165" t="e">
        <f t="shared" ca="1" si="71"/>
        <v>#REF!</v>
      </c>
      <c r="L69" s="165" t="e">
        <f t="shared" ca="1" si="71"/>
        <v>#REF!</v>
      </c>
      <c r="M69" s="166" t="e">
        <f t="shared" ca="1" si="71"/>
        <v>#REF!</v>
      </c>
      <c r="N69" s="165" t="e">
        <f t="shared" ca="1" si="2"/>
        <v>#REF!</v>
      </c>
      <c r="O69" s="167"/>
      <c r="P69" s="165" t="e">
        <f t="shared" ca="1" si="3"/>
        <v>#REF!</v>
      </c>
      <c r="Q69" s="173"/>
      <c r="R69" s="173"/>
      <c r="S69" s="173"/>
      <c r="T69" s="173"/>
      <c r="U69" s="173"/>
      <c r="V69" s="173"/>
      <c r="W69" s="173"/>
      <c r="X69" s="173"/>
      <c r="Y69" s="173"/>
      <c r="Z69" s="173"/>
    </row>
    <row r="70" spans="1:26" ht="14.25" customHeight="1" outlineLevel="1">
      <c r="A70" s="168"/>
      <c r="B70" s="168" t="s">
        <v>486</v>
      </c>
      <c r="C70" s="168" t="str">
        <f>MID(F70,4,LEN(F70))</f>
        <v xml:space="preserve"> Bandung</v>
      </c>
      <c r="D70" s="169" t="s">
        <v>323</v>
      </c>
      <c r="E70" s="169" t="s">
        <v>431</v>
      </c>
      <c r="F70" s="168" t="s">
        <v>487</v>
      </c>
      <c r="G70" s="176" t="e">
        <f t="shared" ref="G70:M70" ca="1" si="72">SUMIFS(INDIRECT("'[WK "&amp;$C$4&amp;" "&amp;$D$4&amp;" East.xlsx]"&amp;G$5&amp;"'!$E:$E"),INDIRECT("'[WK "&amp;$C$4&amp;" "&amp;$D$4&amp;" East.xlsx]"&amp;G$5&amp;"'!$D:$D"),$E$4,INDIRECT("'[WK "&amp;$C$4&amp;" "&amp;$D$4&amp;" East.xlsx]"&amp;G$5&amp;"'!$J:$J"),$B70)+SUMIFS(INDIRECT("'[WK "&amp;$C$4&amp;" "&amp;$D$4&amp;" West.xlsx]"&amp;G$5&amp;"'!$E:$E"),INDIRECT("'[WK "&amp;$C$4&amp;" "&amp;$D$4&amp;" West.xlsx]"&amp;G$5&amp;"'!$D:$D"),$E$4,INDIRECT("'[WK "&amp;$C$4&amp;" "&amp;$D$4&amp;" West.xlsx]"&amp;G$5&amp;"'!$J:$J"),$B70)</f>
        <v>#REF!</v>
      </c>
      <c r="H70" s="172" t="e">
        <f t="shared" ca="1" si="72"/>
        <v>#REF!</v>
      </c>
      <c r="I70" s="161" t="e">
        <f t="shared" ca="1" si="72"/>
        <v>#REF!</v>
      </c>
      <c r="J70" s="161" t="e">
        <f t="shared" ca="1" si="72"/>
        <v>#REF!</v>
      </c>
      <c r="K70" s="172" t="e">
        <f t="shared" ca="1" si="72"/>
        <v>#REF!</v>
      </c>
      <c r="L70" s="171" t="e">
        <f t="shared" ca="1" si="72"/>
        <v>#REF!</v>
      </c>
      <c r="M70" s="177" t="e">
        <f t="shared" ca="1" si="72"/>
        <v>#REF!</v>
      </c>
      <c r="N70" s="156" t="e">
        <f t="shared" ca="1" si="2"/>
        <v>#REF!</v>
      </c>
      <c r="O70" s="167"/>
      <c r="P70" s="156" t="e">
        <f t="shared" ca="1" si="3"/>
        <v>#REF!</v>
      </c>
      <c r="Q70" s="173"/>
      <c r="R70" s="173"/>
      <c r="S70" s="173"/>
      <c r="T70" s="173"/>
      <c r="U70" s="173"/>
      <c r="V70" s="173"/>
      <c r="W70" s="173"/>
      <c r="X70" s="173"/>
      <c r="Y70" s="173"/>
      <c r="Z70" s="173"/>
    </row>
    <row r="71" spans="1:26" ht="14.25" customHeight="1" outlineLevel="1">
      <c r="A71" s="168"/>
      <c r="B71" s="168" t="s">
        <v>488</v>
      </c>
      <c r="C71" s="168" t="s">
        <v>489</v>
      </c>
      <c r="D71" s="169"/>
      <c r="E71" s="169"/>
      <c r="F71" s="168" t="s">
        <v>490</v>
      </c>
      <c r="G71" s="153" t="e">
        <f t="shared" ref="G71:M71" ca="1" si="73">SUMIFS(INDIRECT("'[WK "&amp;$C$4&amp;" "&amp;$D$4&amp;" East.xlsx]"&amp;G$5&amp;"'!$E:$E"),INDIRECT("'[WK "&amp;$C$4&amp;" "&amp;$D$4&amp;" East.xlsx]"&amp;G$5&amp;"'!$D:$D"),$E$4,INDIRECT("'[WK "&amp;$C$4&amp;" "&amp;$D$4&amp;" East.xlsx]"&amp;G$5&amp;"'!$J:$J"),$B71)+SUMIFS(INDIRECT("'[WK "&amp;$C$4&amp;" "&amp;$D$4&amp;" West.xlsx]"&amp;G$5&amp;"'!$E:$E"),INDIRECT("'[WK "&amp;$C$4&amp;" "&amp;$D$4&amp;" West.xlsx]"&amp;G$5&amp;"'!$D:$D"),$E$4,INDIRECT("'[WK "&amp;$C$4&amp;" "&amp;$D$4&amp;" West.xlsx]"&amp;G$5&amp;"'!$J:$J"),$B71)</f>
        <v>#REF!</v>
      </c>
      <c r="H71" s="154" t="e">
        <f t="shared" ca="1" si="73"/>
        <v>#REF!</v>
      </c>
      <c r="I71" s="154" t="e">
        <f t="shared" ca="1" si="73"/>
        <v>#REF!</v>
      </c>
      <c r="J71" s="154" t="e">
        <f t="shared" ca="1" si="73"/>
        <v>#REF!</v>
      </c>
      <c r="K71" s="154" t="e">
        <f t="shared" ca="1" si="73"/>
        <v>#REF!</v>
      </c>
      <c r="L71" s="154" t="e">
        <f t="shared" ca="1" si="73"/>
        <v>#REF!</v>
      </c>
      <c r="M71" s="155" t="e">
        <f t="shared" ca="1" si="73"/>
        <v>#REF!</v>
      </c>
      <c r="N71" s="156" t="e">
        <f t="shared" ca="1" si="2"/>
        <v>#REF!</v>
      </c>
      <c r="O71" s="167"/>
      <c r="P71" s="156" t="e">
        <f t="shared" ca="1" si="3"/>
        <v>#REF!</v>
      </c>
      <c r="Q71" s="173"/>
      <c r="R71" s="173"/>
      <c r="S71" s="173"/>
      <c r="T71" s="173"/>
      <c r="U71" s="173"/>
      <c r="V71" s="173"/>
      <c r="W71" s="173"/>
      <c r="X71" s="173"/>
      <c r="Y71" s="173"/>
      <c r="Z71" s="173"/>
    </row>
    <row r="72" spans="1:26" ht="14.25" customHeight="1" outlineLevel="1">
      <c r="A72" s="168"/>
      <c r="B72" s="168" t="s">
        <v>491</v>
      </c>
      <c r="C72" s="168" t="str">
        <f>MID(F72,4,LEN(F72))</f>
        <v xml:space="preserve"> Sumedang</v>
      </c>
      <c r="D72" s="169" t="s">
        <v>317</v>
      </c>
      <c r="E72" s="169" t="s">
        <v>334</v>
      </c>
      <c r="F72" s="168" t="s">
        <v>492</v>
      </c>
      <c r="G72" s="153" t="e">
        <f t="shared" ref="G72:M72" ca="1" si="74">SUMIFS(INDIRECT("'[WK "&amp;$C$4&amp;" "&amp;$D$4&amp;" East.xlsx]"&amp;G$5&amp;"'!$E:$E"),INDIRECT("'[WK "&amp;$C$4&amp;" "&amp;$D$4&amp;" East.xlsx]"&amp;G$5&amp;"'!$D:$D"),$E$4,INDIRECT("'[WK "&amp;$C$4&amp;" "&amp;$D$4&amp;" East.xlsx]"&amp;G$5&amp;"'!$J:$J"),$B72)+SUMIFS(INDIRECT("'[WK "&amp;$C$4&amp;" "&amp;$D$4&amp;" West.xlsx]"&amp;G$5&amp;"'!$E:$E"),INDIRECT("'[WK "&amp;$C$4&amp;" "&amp;$D$4&amp;" West.xlsx]"&amp;G$5&amp;"'!$D:$D"),$E$4,INDIRECT("'[WK "&amp;$C$4&amp;" "&amp;$D$4&amp;" West.xlsx]"&amp;G$5&amp;"'!$J:$J"),$B72)</f>
        <v>#REF!</v>
      </c>
      <c r="H72" s="154" t="e">
        <f t="shared" ca="1" si="74"/>
        <v>#REF!</v>
      </c>
      <c r="I72" s="172" t="e">
        <f t="shared" ca="1" si="74"/>
        <v>#REF!</v>
      </c>
      <c r="J72" s="154" t="e">
        <f t="shared" ca="1" si="74"/>
        <v>#REF!</v>
      </c>
      <c r="K72" s="154" t="e">
        <f t="shared" ca="1" si="74"/>
        <v>#REF!</v>
      </c>
      <c r="L72" s="154" t="e">
        <f t="shared" ca="1" si="74"/>
        <v>#REF!</v>
      </c>
      <c r="M72" s="172" t="e">
        <f t="shared" ca="1" si="74"/>
        <v>#REF!</v>
      </c>
      <c r="N72" s="156" t="e">
        <f t="shared" ca="1" si="2"/>
        <v>#REF!</v>
      </c>
      <c r="O72" s="167"/>
      <c r="P72" s="156" t="e">
        <f t="shared" ca="1" si="3"/>
        <v>#REF!</v>
      </c>
      <c r="Q72" s="173"/>
      <c r="R72" s="173"/>
      <c r="S72" s="173"/>
      <c r="T72" s="173"/>
      <c r="U72" s="173"/>
      <c r="V72" s="173"/>
      <c r="W72" s="173"/>
      <c r="X72" s="173"/>
      <c r="Y72" s="173"/>
      <c r="Z72" s="173"/>
    </row>
    <row r="73" spans="1:26" ht="14.25" customHeight="1" outlineLevel="1">
      <c r="A73" s="168"/>
      <c r="B73" s="168" t="s">
        <v>493</v>
      </c>
      <c r="C73" s="168" t="s">
        <v>494</v>
      </c>
      <c r="D73" s="169" t="s">
        <v>317</v>
      </c>
      <c r="E73" s="169" t="s">
        <v>334</v>
      </c>
      <c r="F73" s="168" t="s">
        <v>495</v>
      </c>
      <c r="G73" s="153" t="e">
        <f t="shared" ref="G73:M73" ca="1" si="75">SUMIFS(INDIRECT("'[WK "&amp;$C$4&amp;" "&amp;$D$4&amp;" East.xlsx]"&amp;G$5&amp;"'!$E:$E"),INDIRECT("'[WK "&amp;$C$4&amp;" "&amp;$D$4&amp;" East.xlsx]"&amp;G$5&amp;"'!$D:$D"),$E$4,INDIRECT("'[WK "&amp;$C$4&amp;" "&amp;$D$4&amp;" East.xlsx]"&amp;G$5&amp;"'!$J:$J"),$B73)+SUMIFS(INDIRECT("'[WK "&amp;$C$4&amp;" "&amp;$D$4&amp;" West.xlsx]"&amp;G$5&amp;"'!$E:$E"),INDIRECT("'[WK "&amp;$C$4&amp;" "&amp;$D$4&amp;" West.xlsx]"&amp;G$5&amp;"'!$D:$D"),$E$4,INDIRECT("'[WK "&amp;$C$4&amp;" "&amp;$D$4&amp;" West.xlsx]"&amp;G$5&amp;"'!$J:$J"),$B73)</f>
        <v>#REF!</v>
      </c>
      <c r="H73" s="172" t="e">
        <f t="shared" ca="1" si="75"/>
        <v>#REF!</v>
      </c>
      <c r="I73" s="154" t="e">
        <f t="shared" ca="1" si="75"/>
        <v>#REF!</v>
      </c>
      <c r="J73" s="154" t="e">
        <f t="shared" ca="1" si="75"/>
        <v>#REF!</v>
      </c>
      <c r="K73" s="154" t="e">
        <f t="shared" ca="1" si="75"/>
        <v>#REF!</v>
      </c>
      <c r="L73" s="172" t="e">
        <f t="shared" ca="1" si="75"/>
        <v>#REF!</v>
      </c>
      <c r="M73" s="155" t="e">
        <f t="shared" ca="1" si="75"/>
        <v>#REF!</v>
      </c>
      <c r="N73" s="156" t="e">
        <f t="shared" ca="1" si="2"/>
        <v>#REF!</v>
      </c>
      <c r="O73" s="167"/>
      <c r="P73" s="156" t="e">
        <f t="shared" ca="1" si="3"/>
        <v>#REF!</v>
      </c>
      <c r="Q73" s="173"/>
      <c r="R73" s="173"/>
      <c r="S73" s="173"/>
      <c r="T73" s="173"/>
      <c r="U73" s="173"/>
      <c r="V73" s="173"/>
      <c r="W73" s="173"/>
      <c r="X73" s="173"/>
      <c r="Y73" s="173"/>
      <c r="Z73" s="173"/>
    </row>
    <row r="74" spans="1:26" ht="14.25" customHeight="1" outlineLevel="1">
      <c r="A74" s="168"/>
      <c r="B74" s="168" t="s">
        <v>496</v>
      </c>
      <c r="C74" s="168" t="str">
        <f t="shared" ref="C74:C80" si="76">MID(F74,4,LEN(F74))</f>
        <v xml:space="preserve"> Padalarang</v>
      </c>
      <c r="D74" s="169" t="str">
        <f>IFERROR(VLOOKUP($B$4&amp;C74,#REF!,2,FALSE),"")</f>
        <v/>
      </c>
      <c r="E74" s="169"/>
      <c r="F74" s="168" t="s">
        <v>497</v>
      </c>
      <c r="G74" s="153" t="e">
        <f t="shared" ref="G74:M74" ca="1" si="77">SUMIFS(INDIRECT("'[WK "&amp;$C$4&amp;" "&amp;$D$4&amp;" East.xlsx]"&amp;G$5&amp;"'!$E:$E"),INDIRECT("'[WK "&amp;$C$4&amp;" "&amp;$D$4&amp;" East.xlsx]"&amp;G$5&amp;"'!$D:$D"),$E$4,INDIRECT("'[WK "&amp;$C$4&amp;" "&amp;$D$4&amp;" East.xlsx]"&amp;G$5&amp;"'!$J:$J"),$B74)+SUMIFS(INDIRECT("'[WK "&amp;$C$4&amp;" "&amp;$D$4&amp;" West.xlsx]"&amp;G$5&amp;"'!$E:$E"),INDIRECT("'[WK "&amp;$C$4&amp;" "&amp;$D$4&amp;" West.xlsx]"&amp;G$5&amp;"'!$D:$D"),$E$4,INDIRECT("'[WK "&amp;$C$4&amp;" "&amp;$D$4&amp;" West.xlsx]"&amp;G$5&amp;"'!$J:$J"),$B74)</f>
        <v>#REF!</v>
      </c>
      <c r="H74" s="154" t="e">
        <f t="shared" ca="1" si="77"/>
        <v>#REF!</v>
      </c>
      <c r="I74" s="154" t="e">
        <f t="shared" ca="1" si="77"/>
        <v>#REF!</v>
      </c>
      <c r="J74" s="154" t="e">
        <f t="shared" ca="1" si="77"/>
        <v>#REF!</v>
      </c>
      <c r="K74" s="154" t="e">
        <f t="shared" ca="1" si="77"/>
        <v>#REF!</v>
      </c>
      <c r="L74" s="154" t="e">
        <f t="shared" ca="1" si="77"/>
        <v>#REF!</v>
      </c>
      <c r="M74" s="155" t="e">
        <f t="shared" ca="1" si="77"/>
        <v>#REF!</v>
      </c>
      <c r="N74" s="156" t="e">
        <f t="shared" ca="1" si="2"/>
        <v>#REF!</v>
      </c>
      <c r="O74" s="167"/>
      <c r="P74" s="156" t="e">
        <f t="shared" ca="1" si="3"/>
        <v>#REF!</v>
      </c>
      <c r="Q74" s="173"/>
      <c r="R74" s="173"/>
      <c r="S74" s="173"/>
      <c r="T74" s="173"/>
      <c r="U74" s="173"/>
      <c r="V74" s="173"/>
      <c r="W74" s="173"/>
      <c r="X74" s="173"/>
      <c r="Y74" s="173"/>
      <c r="Z74" s="173"/>
    </row>
    <row r="75" spans="1:26" ht="14.25" customHeight="1" outlineLevel="1">
      <c r="A75" s="168"/>
      <c r="B75" s="168" t="s">
        <v>498</v>
      </c>
      <c r="C75" s="168" t="str">
        <f t="shared" si="76"/>
        <v xml:space="preserve"> Sukabumi</v>
      </c>
      <c r="D75" s="169" t="s">
        <v>323</v>
      </c>
      <c r="E75" s="170" t="s">
        <v>499</v>
      </c>
      <c r="F75" s="168" t="s">
        <v>500</v>
      </c>
      <c r="G75" s="153" t="e">
        <f t="shared" ref="G75:M75" ca="1" si="78">SUMIFS(INDIRECT("'[WK "&amp;$C$4&amp;" "&amp;$D$4&amp;" East.xlsx]"&amp;G$5&amp;"'!$E:$E"),INDIRECT("'[WK "&amp;$C$4&amp;" "&amp;$D$4&amp;" East.xlsx]"&amp;G$5&amp;"'!$D:$D"),$E$4,INDIRECT("'[WK "&amp;$C$4&amp;" "&amp;$D$4&amp;" East.xlsx]"&amp;G$5&amp;"'!$J:$J"),$B75)+SUMIFS(INDIRECT("'[WK "&amp;$C$4&amp;" "&amp;$D$4&amp;" West.xlsx]"&amp;G$5&amp;"'!$E:$E"),INDIRECT("'[WK "&amp;$C$4&amp;" "&amp;$D$4&amp;" West.xlsx]"&amp;G$5&amp;"'!$D:$D"),$E$4,INDIRECT("'[WK "&amp;$C$4&amp;" "&amp;$D$4&amp;" West.xlsx]"&amp;G$5&amp;"'!$J:$J"),$B75)</f>
        <v>#REF!</v>
      </c>
      <c r="H75" s="161" t="e">
        <f t="shared" ca="1" si="78"/>
        <v>#REF!</v>
      </c>
      <c r="I75" s="154" t="e">
        <f t="shared" ca="1" si="78"/>
        <v>#REF!</v>
      </c>
      <c r="J75" s="178" t="e">
        <f t="shared" ca="1" si="78"/>
        <v>#REF!</v>
      </c>
      <c r="K75" s="156" t="e">
        <f t="shared" ca="1" si="78"/>
        <v>#REF!</v>
      </c>
      <c r="L75" s="179" t="e">
        <f t="shared" ca="1" si="78"/>
        <v>#REF!</v>
      </c>
      <c r="M75" s="178" t="e">
        <f t="shared" ca="1" si="78"/>
        <v>#REF!</v>
      </c>
      <c r="N75" s="156" t="e">
        <f t="shared" ca="1" si="2"/>
        <v>#REF!</v>
      </c>
      <c r="O75" s="167"/>
      <c r="P75" s="156" t="e">
        <f t="shared" ca="1" si="3"/>
        <v>#REF!</v>
      </c>
      <c r="Q75" s="173"/>
      <c r="R75" s="173"/>
      <c r="S75" s="173"/>
      <c r="T75" s="173"/>
      <c r="U75" s="173"/>
      <c r="V75" s="173"/>
      <c r="W75" s="173"/>
      <c r="X75" s="173"/>
      <c r="Y75" s="173"/>
      <c r="Z75" s="173"/>
    </row>
    <row r="76" spans="1:26" ht="14.25" customHeight="1" outlineLevel="1">
      <c r="A76" s="168"/>
      <c r="B76" s="168" t="s">
        <v>501</v>
      </c>
      <c r="C76" s="168" t="str">
        <f t="shared" si="76"/>
        <v xml:space="preserve"> Cianjur</v>
      </c>
      <c r="D76" s="169" t="s">
        <v>323</v>
      </c>
      <c r="E76" s="170" t="s">
        <v>499</v>
      </c>
      <c r="F76" s="168" t="s">
        <v>502</v>
      </c>
      <c r="G76" s="153" t="e">
        <f t="shared" ref="G76:M76" ca="1" si="79">SUMIFS(INDIRECT("'[WK "&amp;$C$4&amp;" "&amp;$D$4&amp;" East.xlsx]"&amp;G$5&amp;"'!$E:$E"),INDIRECT("'[WK "&amp;$C$4&amp;" "&amp;$D$4&amp;" East.xlsx]"&amp;G$5&amp;"'!$D:$D"),$E$4,INDIRECT("'[WK "&amp;$C$4&amp;" "&amp;$D$4&amp;" East.xlsx]"&amp;G$5&amp;"'!$J:$J"),$B76)+SUMIFS(INDIRECT("'[WK "&amp;$C$4&amp;" "&amp;$D$4&amp;" West.xlsx]"&amp;G$5&amp;"'!$E:$E"),INDIRECT("'[WK "&amp;$C$4&amp;" "&amp;$D$4&amp;" West.xlsx]"&amp;G$5&amp;"'!$D:$D"),$E$4,INDIRECT("'[WK "&amp;$C$4&amp;" "&amp;$D$4&amp;" West.xlsx]"&amp;G$5&amp;"'!$J:$J"),$B76)</f>
        <v>#REF!</v>
      </c>
      <c r="H76" s="161" t="e">
        <f t="shared" ca="1" si="79"/>
        <v>#REF!</v>
      </c>
      <c r="I76" s="154" t="e">
        <f t="shared" ca="1" si="79"/>
        <v>#REF!</v>
      </c>
      <c r="J76" s="178" t="e">
        <f t="shared" ca="1" si="79"/>
        <v>#REF!</v>
      </c>
      <c r="K76" s="154" t="e">
        <f t="shared" ca="1" si="79"/>
        <v>#REF!</v>
      </c>
      <c r="L76" s="179" t="e">
        <f t="shared" ca="1" si="79"/>
        <v>#REF!</v>
      </c>
      <c r="M76" s="178" t="e">
        <f t="shared" ca="1" si="79"/>
        <v>#REF!</v>
      </c>
      <c r="N76" s="156" t="e">
        <f t="shared" ca="1" si="2"/>
        <v>#REF!</v>
      </c>
      <c r="O76" s="167"/>
      <c r="P76" s="156" t="e">
        <f t="shared" ca="1" si="3"/>
        <v>#REF!</v>
      </c>
      <c r="Q76" s="173"/>
      <c r="R76" s="173"/>
      <c r="S76" s="173"/>
      <c r="T76" s="173"/>
      <c r="U76" s="173"/>
      <c r="V76" s="173"/>
      <c r="W76" s="173"/>
      <c r="X76" s="173"/>
      <c r="Y76" s="173"/>
      <c r="Z76" s="173"/>
    </row>
    <row r="77" spans="1:26" ht="14.25" customHeight="1" outlineLevel="1">
      <c r="A77" s="168"/>
      <c r="B77" s="168" t="s">
        <v>503</v>
      </c>
      <c r="C77" s="168" t="str">
        <f t="shared" si="76"/>
        <v xml:space="preserve"> Tasikmalaya</v>
      </c>
      <c r="D77" s="169" t="s">
        <v>323</v>
      </c>
      <c r="E77" s="170" t="s">
        <v>499</v>
      </c>
      <c r="F77" s="168" t="s">
        <v>504</v>
      </c>
      <c r="G77" s="153" t="e">
        <f t="shared" ref="G77:M77" ca="1" si="80">SUMIFS(INDIRECT("'[WK "&amp;$C$4&amp;" "&amp;$D$4&amp;" East.xlsx]"&amp;G$5&amp;"'!$E:$E"),INDIRECT("'[WK "&amp;$C$4&amp;" "&amp;$D$4&amp;" East.xlsx]"&amp;G$5&amp;"'!$D:$D"),$E$4,INDIRECT("'[WK "&amp;$C$4&amp;" "&amp;$D$4&amp;" East.xlsx]"&amp;G$5&amp;"'!$J:$J"),$B77)+SUMIFS(INDIRECT("'[WK "&amp;$C$4&amp;" "&amp;$D$4&amp;" West.xlsx]"&amp;G$5&amp;"'!$E:$E"),INDIRECT("'[WK "&amp;$C$4&amp;" "&amp;$D$4&amp;" West.xlsx]"&amp;G$5&amp;"'!$D:$D"),$E$4,INDIRECT("'[WK "&amp;$C$4&amp;" "&amp;$D$4&amp;" West.xlsx]"&amp;G$5&amp;"'!$J:$J"),$B77)</f>
        <v>#REF!</v>
      </c>
      <c r="H77" s="161" t="e">
        <f t="shared" ca="1" si="80"/>
        <v>#REF!</v>
      </c>
      <c r="I77" s="154" t="e">
        <f t="shared" ca="1" si="80"/>
        <v>#REF!</v>
      </c>
      <c r="J77" s="154" t="e">
        <f t="shared" ca="1" si="80"/>
        <v>#REF!</v>
      </c>
      <c r="K77" s="178" t="e">
        <f t="shared" ca="1" si="80"/>
        <v>#REF!</v>
      </c>
      <c r="L77" s="179" t="e">
        <f t="shared" ca="1" si="80"/>
        <v>#REF!</v>
      </c>
      <c r="M77" s="155" t="e">
        <f t="shared" ca="1" si="80"/>
        <v>#REF!</v>
      </c>
      <c r="N77" s="156" t="e">
        <f t="shared" ca="1" si="2"/>
        <v>#REF!</v>
      </c>
      <c r="O77" s="167"/>
      <c r="P77" s="156" t="e">
        <f t="shared" ca="1" si="3"/>
        <v>#REF!</v>
      </c>
      <c r="Q77" s="173"/>
      <c r="R77" s="173"/>
      <c r="S77" s="173"/>
      <c r="T77" s="173"/>
      <c r="U77" s="173"/>
      <c r="V77" s="173"/>
      <c r="W77" s="173"/>
      <c r="X77" s="173"/>
      <c r="Y77" s="173"/>
      <c r="Z77" s="173"/>
    </row>
    <row r="78" spans="1:26" ht="14.25" customHeight="1" outlineLevel="1">
      <c r="A78" s="168"/>
      <c r="B78" s="168" t="s">
        <v>505</v>
      </c>
      <c r="C78" s="168" t="str">
        <f t="shared" si="76"/>
        <v xml:space="preserve"> Garut</v>
      </c>
      <c r="D78" s="169" t="s">
        <v>323</v>
      </c>
      <c r="E78" s="170" t="s">
        <v>499</v>
      </c>
      <c r="F78" s="168" t="s">
        <v>506</v>
      </c>
      <c r="G78" s="153" t="e">
        <f t="shared" ref="G78:M78" ca="1" si="81">SUMIFS(INDIRECT("'[WK "&amp;$C$4&amp;" "&amp;$D$4&amp;" East.xlsx]"&amp;G$5&amp;"'!$E:$E"),INDIRECT("'[WK "&amp;$C$4&amp;" "&amp;$D$4&amp;" East.xlsx]"&amp;G$5&amp;"'!$D:$D"),$E$4,INDIRECT("'[WK "&amp;$C$4&amp;" "&amp;$D$4&amp;" East.xlsx]"&amp;G$5&amp;"'!$J:$J"),$B78)+SUMIFS(INDIRECT("'[WK "&amp;$C$4&amp;" "&amp;$D$4&amp;" West.xlsx]"&amp;G$5&amp;"'!$E:$E"),INDIRECT("'[WK "&amp;$C$4&amp;" "&amp;$D$4&amp;" West.xlsx]"&amp;G$5&amp;"'!$D:$D"),$E$4,INDIRECT("'[WK "&amp;$C$4&amp;" "&amp;$D$4&amp;" West.xlsx]"&amp;G$5&amp;"'!$J:$J"),$B78)</f>
        <v>#REF!</v>
      </c>
      <c r="H78" s="161" t="e">
        <f t="shared" ca="1" si="81"/>
        <v>#REF!</v>
      </c>
      <c r="I78" s="154" t="e">
        <f t="shared" ca="1" si="81"/>
        <v>#REF!</v>
      </c>
      <c r="J78" s="154" t="e">
        <f t="shared" ca="1" si="81"/>
        <v>#REF!</v>
      </c>
      <c r="K78" s="178" t="e">
        <f t="shared" ca="1" si="81"/>
        <v>#REF!</v>
      </c>
      <c r="L78" s="179" t="e">
        <f t="shared" ca="1" si="81"/>
        <v>#REF!</v>
      </c>
      <c r="M78" s="155" t="e">
        <f t="shared" ca="1" si="81"/>
        <v>#REF!</v>
      </c>
      <c r="N78" s="156" t="e">
        <f t="shared" ca="1" si="2"/>
        <v>#REF!</v>
      </c>
      <c r="O78" s="167"/>
      <c r="P78" s="156" t="e">
        <f t="shared" ca="1" si="3"/>
        <v>#REF!</v>
      </c>
      <c r="Q78" s="173"/>
      <c r="R78" s="173"/>
      <c r="S78" s="173"/>
      <c r="T78" s="173"/>
      <c r="U78" s="173"/>
      <c r="V78" s="173"/>
      <c r="W78" s="173"/>
      <c r="X78" s="173"/>
      <c r="Y78" s="173"/>
      <c r="Z78" s="173"/>
    </row>
    <row r="79" spans="1:26" ht="14.25" customHeight="1" outlineLevel="1">
      <c r="A79" s="168"/>
      <c r="B79" s="168" t="s">
        <v>507</v>
      </c>
      <c r="C79" s="168" t="str">
        <f t="shared" si="76"/>
        <v xml:space="preserve"> Cirebon</v>
      </c>
      <c r="D79" s="169" t="s">
        <v>323</v>
      </c>
      <c r="E79" s="170" t="s">
        <v>499</v>
      </c>
      <c r="F79" s="168" t="s">
        <v>508</v>
      </c>
      <c r="G79" s="153" t="e">
        <f t="shared" ref="G79:M79" ca="1" si="82">SUMIFS(INDIRECT("'[WK "&amp;$C$4&amp;" "&amp;$D$4&amp;" East.xlsx]"&amp;G$5&amp;"'!$E:$E"),INDIRECT("'[WK "&amp;$C$4&amp;" "&amp;$D$4&amp;" East.xlsx]"&amp;G$5&amp;"'!$D:$D"),$E$4,INDIRECT("'[WK "&amp;$C$4&amp;" "&amp;$D$4&amp;" East.xlsx]"&amp;G$5&amp;"'!$J:$J"),$B79)+SUMIFS(INDIRECT("'[WK "&amp;$C$4&amp;" "&amp;$D$4&amp;" West.xlsx]"&amp;G$5&amp;"'!$E:$E"),INDIRECT("'[WK "&amp;$C$4&amp;" "&amp;$D$4&amp;" West.xlsx]"&amp;G$5&amp;"'!$D:$D"),$E$4,INDIRECT("'[WK "&amp;$C$4&amp;" "&amp;$D$4&amp;" West.xlsx]"&amp;G$5&amp;"'!$J:$J"),$B79)</f>
        <v>#REF!</v>
      </c>
      <c r="H79" s="161" t="e">
        <f t="shared" ca="1" si="82"/>
        <v>#REF!</v>
      </c>
      <c r="I79" s="154" t="e">
        <f t="shared" ca="1" si="82"/>
        <v>#REF!</v>
      </c>
      <c r="J79" s="179" t="e">
        <f t="shared" ca="1" si="82"/>
        <v>#REF!</v>
      </c>
      <c r="K79" s="178" t="e">
        <f t="shared" ca="1" si="82"/>
        <v>#REF!</v>
      </c>
      <c r="L79" s="179" t="e">
        <f t="shared" ca="1" si="82"/>
        <v>#REF!</v>
      </c>
      <c r="M79" s="155" t="e">
        <f t="shared" ca="1" si="82"/>
        <v>#REF!</v>
      </c>
      <c r="N79" s="156" t="e">
        <f t="shared" ca="1" si="2"/>
        <v>#REF!</v>
      </c>
      <c r="O79" s="167"/>
      <c r="P79" s="156" t="e">
        <f t="shared" ca="1" si="3"/>
        <v>#REF!</v>
      </c>
      <c r="Q79" s="173"/>
      <c r="R79" s="173"/>
      <c r="S79" s="173"/>
      <c r="T79" s="173"/>
      <c r="U79" s="173"/>
      <c r="V79" s="173"/>
      <c r="W79" s="173"/>
      <c r="X79" s="173"/>
      <c r="Y79" s="173"/>
      <c r="Z79" s="173"/>
    </row>
    <row r="80" spans="1:26" ht="14.25" customHeight="1" outlineLevel="1">
      <c r="A80" s="168"/>
      <c r="B80" s="168" t="s">
        <v>509</v>
      </c>
      <c r="C80" s="168" t="str">
        <f t="shared" si="76"/>
        <v xml:space="preserve"> Indramayu</v>
      </c>
      <c r="D80" s="169" t="s">
        <v>323</v>
      </c>
      <c r="E80" s="170" t="s">
        <v>499</v>
      </c>
      <c r="F80" s="168" t="s">
        <v>510</v>
      </c>
      <c r="G80" s="153" t="e">
        <f t="shared" ref="G80:M80" ca="1" si="83">SUMIFS(INDIRECT("'[WK "&amp;$C$4&amp;" "&amp;$D$4&amp;" East.xlsx]"&amp;G$5&amp;"'!$E:$E"),INDIRECT("'[WK "&amp;$C$4&amp;" "&amp;$D$4&amp;" East.xlsx]"&amp;G$5&amp;"'!$D:$D"),$E$4,INDIRECT("'[WK "&amp;$C$4&amp;" "&amp;$D$4&amp;" East.xlsx]"&amp;G$5&amp;"'!$J:$J"),$B80)+SUMIFS(INDIRECT("'[WK "&amp;$C$4&amp;" "&amp;$D$4&amp;" West.xlsx]"&amp;G$5&amp;"'!$E:$E"),INDIRECT("'[WK "&amp;$C$4&amp;" "&amp;$D$4&amp;" West.xlsx]"&amp;G$5&amp;"'!$D:$D"),$E$4,INDIRECT("'[WK "&amp;$C$4&amp;" "&amp;$D$4&amp;" West.xlsx]"&amp;G$5&amp;"'!$J:$J"),$B80)</f>
        <v>#REF!</v>
      </c>
      <c r="H80" s="178" t="e">
        <f t="shared" ca="1" si="83"/>
        <v>#REF!</v>
      </c>
      <c r="I80" s="154" t="e">
        <f t="shared" ca="1" si="83"/>
        <v>#REF!</v>
      </c>
      <c r="J80" s="178" t="e">
        <f t="shared" ca="1" si="83"/>
        <v>#REF!</v>
      </c>
      <c r="K80" s="154" t="e">
        <f t="shared" ca="1" si="83"/>
        <v>#REF!</v>
      </c>
      <c r="L80" s="154" t="e">
        <f t="shared" ca="1" si="83"/>
        <v>#REF!</v>
      </c>
      <c r="M80" s="178" t="e">
        <f t="shared" ca="1" si="83"/>
        <v>#REF!</v>
      </c>
      <c r="N80" s="156" t="e">
        <f t="shared" ca="1" si="2"/>
        <v>#REF!</v>
      </c>
      <c r="O80" s="167"/>
      <c r="P80" s="156" t="e">
        <f t="shared" ca="1" si="3"/>
        <v>#REF!</v>
      </c>
      <c r="Q80" s="173"/>
      <c r="R80" s="173"/>
      <c r="S80" s="173"/>
      <c r="T80" s="173"/>
      <c r="U80" s="173"/>
      <c r="V80" s="173"/>
      <c r="W80" s="173"/>
      <c r="X80" s="173"/>
      <c r="Y80" s="173"/>
      <c r="Z80" s="173"/>
    </row>
    <row r="81" spans="1:26" ht="14.25" customHeight="1">
      <c r="A81" s="162" t="s">
        <v>453</v>
      </c>
      <c r="B81" s="162"/>
      <c r="C81" s="162"/>
      <c r="D81" s="163">
        <v>1</v>
      </c>
      <c r="E81" s="163"/>
      <c r="F81" s="162" t="s">
        <v>511</v>
      </c>
      <c r="G81" s="164" t="e">
        <f t="shared" ref="G81:M81" ca="1" si="84">SUM(G70:G80)</f>
        <v>#REF!</v>
      </c>
      <c r="H81" s="165" t="e">
        <f t="shared" ca="1" si="84"/>
        <v>#REF!</v>
      </c>
      <c r="I81" s="165" t="e">
        <f t="shared" ca="1" si="84"/>
        <v>#REF!</v>
      </c>
      <c r="J81" s="165" t="e">
        <f t="shared" ca="1" si="84"/>
        <v>#REF!</v>
      </c>
      <c r="K81" s="165" t="e">
        <f t="shared" ca="1" si="84"/>
        <v>#REF!</v>
      </c>
      <c r="L81" s="165" t="e">
        <f t="shared" ca="1" si="84"/>
        <v>#REF!</v>
      </c>
      <c r="M81" s="166" t="e">
        <f t="shared" ca="1" si="84"/>
        <v>#REF!</v>
      </c>
      <c r="N81" s="165" t="e">
        <f t="shared" ca="1" si="2"/>
        <v>#REF!</v>
      </c>
      <c r="O81" s="167"/>
      <c r="P81" s="165" t="e">
        <f t="shared" ca="1" si="3"/>
        <v>#REF!</v>
      </c>
      <c r="Q81" s="173"/>
      <c r="R81" s="173"/>
      <c r="S81" s="173"/>
      <c r="T81" s="173"/>
      <c r="U81" s="173"/>
      <c r="V81" s="173"/>
      <c r="W81" s="173"/>
      <c r="X81" s="173"/>
      <c r="Y81" s="173"/>
      <c r="Z81" s="173"/>
    </row>
    <row r="82" spans="1:26" ht="14.25" hidden="1" customHeight="1" outlineLevel="1">
      <c r="A82" s="168"/>
      <c r="B82" s="168" t="s">
        <v>512</v>
      </c>
      <c r="C82" s="168" t="str">
        <f t="shared" ref="C82:C88" si="85">MID(F82,4,LEN(F82))</f>
        <v xml:space="preserve"> Purwokerto</v>
      </c>
      <c r="D82" s="169" t="s">
        <v>323</v>
      </c>
      <c r="E82" s="170" t="s">
        <v>499</v>
      </c>
      <c r="F82" s="168" t="s">
        <v>513</v>
      </c>
      <c r="G82" s="153" t="e">
        <f t="shared" ref="G82:M82" ca="1" si="86">SUMIFS(INDIRECT("'[WK "&amp;$C$4&amp;" "&amp;$D$4&amp;" East.xlsx]"&amp;G$5&amp;"'!$E:$E"),INDIRECT("'[WK "&amp;$C$4&amp;" "&amp;$D$4&amp;" East.xlsx]"&amp;G$5&amp;"'!$D:$D"),$E$4,INDIRECT("'[WK "&amp;$C$4&amp;" "&amp;$D$4&amp;" East.xlsx]"&amp;G$5&amp;"'!$J:$J"),$B82)+SUMIFS(INDIRECT("'[WK "&amp;$C$4&amp;" "&amp;$D$4&amp;" West.xlsx]"&amp;G$5&amp;"'!$E:$E"),INDIRECT("'[WK "&amp;$C$4&amp;" "&amp;$D$4&amp;" West.xlsx]"&amp;G$5&amp;"'!$D:$D"),$E$4,INDIRECT("'[WK "&amp;$C$4&amp;" "&amp;$D$4&amp;" West.xlsx]"&amp;G$5&amp;"'!$J:$J"),$B82)</f>
        <v>#REF!</v>
      </c>
      <c r="H82" s="154" t="e">
        <f t="shared" ca="1" si="86"/>
        <v>#REF!</v>
      </c>
      <c r="I82" s="161" t="e">
        <f t="shared" ca="1" si="86"/>
        <v>#REF!</v>
      </c>
      <c r="J82" s="154" t="e">
        <f t="shared" ca="1" si="86"/>
        <v>#REF!</v>
      </c>
      <c r="K82" s="154" t="e">
        <f t="shared" ca="1" si="86"/>
        <v>#REF!</v>
      </c>
      <c r="L82" s="171" t="e">
        <f t="shared" ca="1" si="86"/>
        <v>#REF!</v>
      </c>
      <c r="M82" s="180" t="e">
        <f t="shared" ca="1" si="86"/>
        <v>#REF!</v>
      </c>
      <c r="N82" s="156" t="e">
        <f t="shared" ca="1" si="2"/>
        <v>#REF!</v>
      </c>
      <c r="O82" s="167"/>
      <c r="P82" s="156" t="e">
        <f t="shared" ca="1" si="3"/>
        <v>#REF!</v>
      </c>
      <c r="Q82" s="173"/>
      <c r="R82" s="173"/>
      <c r="S82" s="173"/>
      <c r="T82" s="173"/>
      <c r="U82" s="173"/>
      <c r="V82" s="173"/>
      <c r="W82" s="173"/>
      <c r="X82" s="173"/>
      <c r="Y82" s="173"/>
      <c r="Z82" s="173"/>
    </row>
    <row r="83" spans="1:26" ht="14.25" hidden="1" customHeight="1" outlineLevel="1">
      <c r="A83" s="168"/>
      <c r="B83" s="168" t="s">
        <v>514</v>
      </c>
      <c r="C83" s="168" t="str">
        <f t="shared" si="85"/>
        <v xml:space="preserve"> Cilacap</v>
      </c>
      <c r="D83" s="169" t="s">
        <v>323</v>
      </c>
      <c r="E83" s="170" t="s">
        <v>499</v>
      </c>
      <c r="F83" s="168" t="s">
        <v>515</v>
      </c>
      <c r="G83" s="153" t="e">
        <f t="shared" ref="G83:M83" ca="1" si="87">SUMIFS(INDIRECT("'[WK "&amp;$C$4&amp;" "&amp;$D$4&amp;" East.xlsx]"&amp;G$5&amp;"'!$E:$E"),INDIRECT("'[WK "&amp;$C$4&amp;" "&amp;$D$4&amp;" East.xlsx]"&amp;G$5&amp;"'!$D:$D"),$E$4,INDIRECT("'[WK "&amp;$C$4&amp;" "&amp;$D$4&amp;" East.xlsx]"&amp;G$5&amp;"'!$J:$J"),$B83)+SUMIFS(INDIRECT("'[WK "&amp;$C$4&amp;" "&amp;$D$4&amp;" West.xlsx]"&amp;G$5&amp;"'!$E:$E"),INDIRECT("'[WK "&amp;$C$4&amp;" "&amp;$D$4&amp;" West.xlsx]"&amp;G$5&amp;"'!$D:$D"),$E$4,INDIRECT("'[WK "&amp;$C$4&amp;" "&amp;$D$4&amp;" West.xlsx]"&amp;G$5&amp;"'!$J:$J"),$B83)</f>
        <v>#REF!</v>
      </c>
      <c r="H83" s="154" t="e">
        <f t="shared" ca="1" si="87"/>
        <v>#REF!</v>
      </c>
      <c r="I83" s="160" t="e">
        <f t="shared" ca="1" si="87"/>
        <v>#REF!</v>
      </c>
      <c r="J83" s="171" t="e">
        <f t="shared" ca="1" si="87"/>
        <v>#REF!</v>
      </c>
      <c r="K83" s="160" t="e">
        <f t="shared" ca="1" si="87"/>
        <v>#REF!</v>
      </c>
      <c r="L83" s="161" t="e">
        <f t="shared" ca="1" si="87"/>
        <v>#REF!</v>
      </c>
      <c r="M83" s="155" t="e">
        <f t="shared" ca="1" si="87"/>
        <v>#REF!</v>
      </c>
      <c r="N83" s="156" t="e">
        <f t="shared" ca="1" si="2"/>
        <v>#REF!</v>
      </c>
      <c r="O83" s="167"/>
      <c r="P83" s="156" t="e">
        <f t="shared" ca="1" si="3"/>
        <v>#REF!</v>
      </c>
      <c r="Q83" s="173"/>
      <c r="R83" s="173"/>
      <c r="S83" s="173"/>
      <c r="T83" s="173"/>
      <c r="U83" s="173"/>
      <c r="V83" s="173"/>
      <c r="W83" s="173"/>
      <c r="X83" s="173"/>
      <c r="Y83" s="173"/>
      <c r="Z83" s="173"/>
    </row>
    <row r="84" spans="1:26" ht="14.25" hidden="1" customHeight="1" outlineLevel="1">
      <c r="A84" s="168"/>
      <c r="B84" s="168" t="s">
        <v>516</v>
      </c>
      <c r="C84" s="168" t="str">
        <f t="shared" si="85"/>
        <v xml:space="preserve"> Yogyakarta</v>
      </c>
      <c r="D84" s="169" t="s">
        <v>323</v>
      </c>
      <c r="E84" s="170" t="s">
        <v>517</v>
      </c>
      <c r="F84" s="168" t="s">
        <v>518</v>
      </c>
      <c r="G84" s="153" t="e">
        <f t="shared" ref="G84:M84" ca="1" si="88">SUMIFS(INDIRECT("'[WK "&amp;$C$4&amp;" "&amp;$D$4&amp;" East.xlsx]"&amp;G$5&amp;"'!$E:$E"),INDIRECT("'[WK "&amp;$C$4&amp;" "&amp;$D$4&amp;" East.xlsx]"&amp;G$5&amp;"'!$D:$D"),$E$4,INDIRECT("'[WK "&amp;$C$4&amp;" "&amp;$D$4&amp;" East.xlsx]"&amp;G$5&amp;"'!$J:$J"),$B84)+SUMIFS(INDIRECT("'[WK "&amp;$C$4&amp;" "&amp;$D$4&amp;" West.xlsx]"&amp;G$5&amp;"'!$E:$E"),INDIRECT("'[WK "&amp;$C$4&amp;" "&amp;$D$4&amp;" West.xlsx]"&amp;G$5&amp;"'!$D:$D"),$E$4,INDIRECT("'[WK "&amp;$C$4&amp;" "&amp;$D$4&amp;" West.xlsx]"&amp;G$5&amp;"'!$J:$J"),$B84)</f>
        <v>#REF!</v>
      </c>
      <c r="H84" s="160" t="e">
        <f t="shared" ca="1" si="88"/>
        <v>#REF!</v>
      </c>
      <c r="I84" s="171" t="e">
        <f t="shared" ca="1" si="88"/>
        <v>#REF!</v>
      </c>
      <c r="J84" s="160" t="e">
        <f t="shared" ca="1" si="88"/>
        <v>#REF!</v>
      </c>
      <c r="K84" s="154" t="e">
        <f t="shared" ca="1" si="88"/>
        <v>#REF!</v>
      </c>
      <c r="L84" s="171" t="e">
        <f t="shared" ca="1" si="88"/>
        <v>#REF!</v>
      </c>
      <c r="M84" s="180" t="e">
        <f t="shared" ca="1" si="88"/>
        <v>#REF!</v>
      </c>
      <c r="N84" s="156" t="e">
        <f t="shared" ca="1" si="2"/>
        <v>#REF!</v>
      </c>
      <c r="O84" s="167"/>
      <c r="P84" s="156" t="e">
        <f t="shared" ca="1" si="3"/>
        <v>#REF!</v>
      </c>
      <c r="Q84" s="173"/>
      <c r="R84" s="173"/>
      <c r="S84" s="173"/>
      <c r="T84" s="173"/>
      <c r="U84" s="173"/>
      <c r="V84" s="173"/>
      <c r="W84" s="173"/>
      <c r="X84" s="173"/>
      <c r="Y84" s="173"/>
      <c r="Z84" s="173"/>
    </row>
    <row r="85" spans="1:26" ht="14.25" hidden="1" customHeight="1" outlineLevel="1">
      <c r="A85" s="168"/>
      <c r="B85" s="168" t="s">
        <v>519</v>
      </c>
      <c r="C85" s="168" t="str">
        <f t="shared" si="85"/>
        <v xml:space="preserve"> Magelang</v>
      </c>
      <c r="D85" s="169" t="s">
        <v>323</v>
      </c>
      <c r="E85" s="170" t="s">
        <v>517</v>
      </c>
      <c r="F85" s="168" t="s">
        <v>520</v>
      </c>
      <c r="G85" s="153" t="e">
        <f t="shared" ref="G85:M85" ca="1" si="89">SUMIFS(INDIRECT("'[WK "&amp;$C$4&amp;" "&amp;$D$4&amp;" East.xlsx]"&amp;G$5&amp;"'!$E:$E"),INDIRECT("'[WK "&amp;$C$4&amp;" "&amp;$D$4&amp;" East.xlsx]"&amp;G$5&amp;"'!$D:$D"),$E$4,INDIRECT("'[WK "&amp;$C$4&amp;" "&amp;$D$4&amp;" East.xlsx]"&amp;G$5&amp;"'!$J:$J"),$B85)+SUMIFS(INDIRECT("'[WK "&amp;$C$4&amp;" "&amp;$D$4&amp;" West.xlsx]"&amp;G$5&amp;"'!$E:$E"),INDIRECT("'[WK "&amp;$C$4&amp;" "&amp;$D$4&amp;" West.xlsx]"&amp;G$5&amp;"'!$D:$D"),$E$4,INDIRECT("'[WK "&amp;$C$4&amp;" "&amp;$D$4&amp;" West.xlsx]"&amp;G$5&amp;"'!$J:$J"),$B85)</f>
        <v>#REF!</v>
      </c>
      <c r="H85" s="160" t="e">
        <f t="shared" ca="1" si="89"/>
        <v>#REF!</v>
      </c>
      <c r="I85" s="171" t="e">
        <f t="shared" ca="1" si="89"/>
        <v>#REF!</v>
      </c>
      <c r="J85" s="160" t="e">
        <f t="shared" ca="1" si="89"/>
        <v>#REF!</v>
      </c>
      <c r="K85" s="154" t="e">
        <f t="shared" ca="1" si="89"/>
        <v>#REF!</v>
      </c>
      <c r="L85" s="154" t="e">
        <f t="shared" ca="1" si="89"/>
        <v>#REF!</v>
      </c>
      <c r="M85" s="181" t="e">
        <f t="shared" ca="1" si="89"/>
        <v>#REF!</v>
      </c>
      <c r="N85" s="156" t="e">
        <f t="shared" ca="1" si="2"/>
        <v>#REF!</v>
      </c>
      <c r="O85" s="167"/>
      <c r="P85" s="156" t="e">
        <f t="shared" ca="1" si="3"/>
        <v>#REF!</v>
      </c>
      <c r="Q85" s="173"/>
      <c r="R85" s="173"/>
      <c r="S85" s="173"/>
      <c r="T85" s="173"/>
      <c r="U85" s="173"/>
      <c r="V85" s="173"/>
      <c r="W85" s="173"/>
      <c r="X85" s="173"/>
      <c r="Y85" s="173"/>
      <c r="Z85" s="173"/>
    </row>
    <row r="86" spans="1:26" ht="14.25" hidden="1" customHeight="1" outlineLevel="1">
      <c r="A86" s="168"/>
      <c r="B86" s="168" t="s">
        <v>521</v>
      </c>
      <c r="C86" s="168" t="str">
        <f t="shared" si="85"/>
        <v xml:space="preserve"> Surakarta</v>
      </c>
      <c r="D86" s="169" t="s">
        <v>323</v>
      </c>
      <c r="E86" s="170" t="s">
        <v>517</v>
      </c>
      <c r="F86" s="168" t="s">
        <v>522</v>
      </c>
      <c r="G86" s="153" t="e">
        <f t="shared" ref="G86:M86" ca="1" si="90">SUMIFS(INDIRECT("'[WK "&amp;$C$4&amp;" "&amp;$D$4&amp;" East.xlsx]"&amp;G$5&amp;"'!$E:$E"),INDIRECT("'[WK "&amp;$C$4&amp;" "&amp;$D$4&amp;" East.xlsx]"&amp;G$5&amp;"'!$D:$D"),$E$4,INDIRECT("'[WK "&amp;$C$4&amp;" "&amp;$D$4&amp;" East.xlsx]"&amp;G$5&amp;"'!$J:$J"),$B86)+SUMIFS(INDIRECT("'[WK "&amp;$C$4&amp;" "&amp;$D$4&amp;" West.xlsx]"&amp;G$5&amp;"'!$E:$E"),INDIRECT("'[WK "&amp;$C$4&amp;" "&amp;$D$4&amp;" West.xlsx]"&amp;G$5&amp;"'!$D:$D"),$E$4,INDIRECT("'[WK "&amp;$C$4&amp;" "&amp;$D$4&amp;" West.xlsx]"&amp;G$5&amp;"'!$J:$J"),$B86)</f>
        <v>#REF!</v>
      </c>
      <c r="H86" s="160" t="e">
        <f t="shared" ca="1" si="90"/>
        <v>#REF!</v>
      </c>
      <c r="I86" s="171" t="e">
        <f t="shared" ca="1" si="90"/>
        <v>#REF!</v>
      </c>
      <c r="J86" s="160" t="e">
        <f t="shared" ca="1" si="90"/>
        <v>#REF!</v>
      </c>
      <c r="K86" s="171" t="e">
        <f t="shared" ca="1" si="90"/>
        <v>#REF!</v>
      </c>
      <c r="L86" s="154" t="e">
        <f t="shared" ca="1" si="90"/>
        <v>#REF!</v>
      </c>
      <c r="M86" s="181" t="e">
        <f t="shared" ca="1" si="90"/>
        <v>#REF!</v>
      </c>
      <c r="N86" s="156" t="e">
        <f t="shared" ca="1" si="2"/>
        <v>#REF!</v>
      </c>
      <c r="O86" s="167"/>
      <c r="P86" s="156" t="e">
        <f t="shared" ca="1" si="3"/>
        <v>#REF!</v>
      </c>
      <c r="Q86" s="173"/>
      <c r="R86" s="173"/>
      <c r="S86" s="173"/>
      <c r="T86" s="173"/>
      <c r="U86" s="173"/>
      <c r="V86" s="173"/>
      <c r="W86" s="173"/>
      <c r="X86" s="173"/>
      <c r="Y86" s="173"/>
      <c r="Z86" s="173"/>
    </row>
    <row r="87" spans="1:26" ht="14.25" hidden="1" customHeight="1" outlineLevel="1">
      <c r="A87" s="168"/>
      <c r="B87" s="168" t="s">
        <v>523</v>
      </c>
      <c r="C87" s="168" t="str">
        <f t="shared" si="85"/>
        <v xml:space="preserve"> Salatiga</v>
      </c>
      <c r="D87" s="169" t="s">
        <v>323</v>
      </c>
      <c r="E87" s="169" t="s">
        <v>517</v>
      </c>
      <c r="F87" s="168" t="s">
        <v>524</v>
      </c>
      <c r="G87" s="153" t="e">
        <f t="shared" ref="G87:M87" ca="1" si="91">SUMIFS(INDIRECT("'[WK "&amp;$C$4&amp;" "&amp;$D$4&amp;" East.xlsx]"&amp;G$5&amp;"'!$E:$E"),INDIRECT("'[WK "&amp;$C$4&amp;" "&amp;$D$4&amp;" East.xlsx]"&amp;G$5&amp;"'!$D:$D"),$E$4,INDIRECT("'[WK "&amp;$C$4&amp;" "&amp;$D$4&amp;" East.xlsx]"&amp;G$5&amp;"'!$J:$J"),$B87)+SUMIFS(INDIRECT("'[WK "&amp;$C$4&amp;" "&amp;$D$4&amp;" West.xlsx]"&amp;G$5&amp;"'!$E:$E"),INDIRECT("'[WK "&amp;$C$4&amp;" "&amp;$D$4&amp;" West.xlsx]"&amp;G$5&amp;"'!$D:$D"),$E$4,INDIRECT("'[WK "&amp;$C$4&amp;" "&amp;$D$4&amp;" West.xlsx]"&amp;G$5&amp;"'!$J:$J"),$B87)</f>
        <v>#REF!</v>
      </c>
      <c r="H87" s="160" t="e">
        <f t="shared" ca="1" si="91"/>
        <v>#REF!</v>
      </c>
      <c r="I87" s="171" t="e">
        <f t="shared" ca="1" si="91"/>
        <v>#REF!</v>
      </c>
      <c r="J87" s="160" t="e">
        <f t="shared" ca="1" si="91"/>
        <v>#REF!</v>
      </c>
      <c r="K87" s="154" t="e">
        <f t="shared" ca="1" si="91"/>
        <v>#REF!</v>
      </c>
      <c r="L87" s="154" t="e">
        <f t="shared" ca="1" si="91"/>
        <v>#REF!</v>
      </c>
      <c r="M87" s="181" t="e">
        <f t="shared" ca="1" si="91"/>
        <v>#REF!</v>
      </c>
      <c r="N87" s="156" t="e">
        <f t="shared" ca="1" si="2"/>
        <v>#REF!</v>
      </c>
      <c r="O87" s="167"/>
      <c r="P87" s="156" t="e">
        <f t="shared" ca="1" si="3"/>
        <v>#REF!</v>
      </c>
      <c r="Q87" s="173"/>
      <c r="R87" s="173"/>
      <c r="S87" s="173"/>
      <c r="T87" s="173"/>
      <c r="U87" s="173"/>
      <c r="V87" s="173"/>
      <c r="W87" s="173"/>
      <c r="X87" s="173"/>
      <c r="Y87" s="173"/>
      <c r="Z87" s="173"/>
    </row>
    <row r="88" spans="1:26" ht="14.25" hidden="1" customHeight="1" outlineLevel="1">
      <c r="A88" s="168"/>
      <c r="B88" s="168" t="s">
        <v>525</v>
      </c>
      <c r="C88" s="168" t="str">
        <f t="shared" si="85"/>
        <v xml:space="preserve"> Madiun</v>
      </c>
      <c r="D88" s="169" t="s">
        <v>484</v>
      </c>
      <c r="E88" s="170" t="s">
        <v>334</v>
      </c>
      <c r="F88" s="168" t="s">
        <v>526</v>
      </c>
      <c r="G88" s="153" t="e">
        <f t="shared" ref="G88:M88" ca="1" si="92">SUMIFS(INDIRECT("'[WK "&amp;$C$4&amp;" "&amp;$D$4&amp;" East.xlsx]"&amp;G$5&amp;"'!$E:$E"),INDIRECT("'[WK "&amp;$C$4&amp;" "&amp;$D$4&amp;" East.xlsx]"&amp;G$5&amp;"'!$D:$D"),$E$4,INDIRECT("'[WK "&amp;$C$4&amp;" "&amp;$D$4&amp;" East.xlsx]"&amp;G$5&amp;"'!$J:$J"),$B88)+SUMIFS(INDIRECT("'[WK "&amp;$C$4&amp;" "&amp;$D$4&amp;" West.xlsx]"&amp;G$5&amp;"'!$E:$E"),INDIRECT("'[WK "&amp;$C$4&amp;" "&amp;$D$4&amp;" West.xlsx]"&amp;G$5&amp;"'!$D:$D"),$E$4,INDIRECT("'[WK "&amp;$C$4&amp;" "&amp;$D$4&amp;" West.xlsx]"&amp;G$5&amp;"'!$J:$J"),$B88)</f>
        <v>#REF!</v>
      </c>
      <c r="H88" s="154" t="e">
        <f t="shared" ca="1" si="92"/>
        <v>#REF!</v>
      </c>
      <c r="I88" s="171" t="e">
        <f t="shared" ca="1" si="92"/>
        <v>#REF!</v>
      </c>
      <c r="J88" s="154" t="e">
        <f t="shared" ca="1" si="92"/>
        <v>#REF!</v>
      </c>
      <c r="K88" s="171" t="e">
        <f t="shared" ca="1" si="92"/>
        <v>#REF!</v>
      </c>
      <c r="L88" s="154" t="e">
        <f t="shared" ca="1" si="92"/>
        <v>#REF!</v>
      </c>
      <c r="M88" s="171" t="e">
        <f t="shared" ca="1" si="92"/>
        <v>#REF!</v>
      </c>
      <c r="N88" s="156" t="e">
        <f t="shared" ca="1" si="2"/>
        <v>#REF!</v>
      </c>
      <c r="O88" s="167"/>
      <c r="P88" s="156" t="e">
        <f t="shared" ca="1" si="3"/>
        <v>#REF!</v>
      </c>
      <c r="Q88" s="173"/>
      <c r="R88" s="173"/>
      <c r="S88" s="173"/>
      <c r="T88" s="173"/>
      <c r="U88" s="173"/>
      <c r="V88" s="173"/>
      <c r="W88" s="173"/>
      <c r="X88" s="173"/>
      <c r="Y88" s="173"/>
      <c r="Z88" s="173"/>
    </row>
    <row r="89" spans="1:26" ht="14.25" customHeight="1" collapsed="1">
      <c r="A89" s="162" t="s">
        <v>453</v>
      </c>
      <c r="B89" s="162"/>
      <c r="C89" s="162"/>
      <c r="D89" s="163">
        <v>1</v>
      </c>
      <c r="E89" s="163"/>
      <c r="F89" s="162" t="s">
        <v>527</v>
      </c>
      <c r="G89" s="164" t="e">
        <f t="shared" ref="G89:M89" ca="1" si="93">SUM(G82:G88)</f>
        <v>#REF!</v>
      </c>
      <c r="H89" s="165" t="e">
        <f t="shared" ca="1" si="93"/>
        <v>#REF!</v>
      </c>
      <c r="I89" s="165" t="e">
        <f t="shared" ca="1" si="93"/>
        <v>#REF!</v>
      </c>
      <c r="J89" s="165" t="e">
        <f t="shared" ca="1" si="93"/>
        <v>#REF!</v>
      </c>
      <c r="K89" s="165" t="e">
        <f t="shared" ca="1" si="93"/>
        <v>#REF!</v>
      </c>
      <c r="L89" s="165" t="e">
        <f t="shared" ca="1" si="93"/>
        <v>#REF!</v>
      </c>
      <c r="M89" s="166" t="e">
        <f t="shared" ca="1" si="93"/>
        <v>#REF!</v>
      </c>
      <c r="N89" s="165" t="e">
        <f t="shared" ca="1" si="2"/>
        <v>#REF!</v>
      </c>
      <c r="O89" s="167"/>
      <c r="P89" s="165" t="e">
        <f t="shared" ca="1" si="3"/>
        <v>#REF!</v>
      </c>
      <c r="Q89" s="173"/>
      <c r="R89" s="173"/>
      <c r="S89" s="173"/>
      <c r="T89" s="173"/>
      <c r="U89" s="173"/>
      <c r="V89" s="173"/>
      <c r="W89" s="173"/>
      <c r="X89" s="173"/>
      <c r="Y89" s="173"/>
      <c r="Z89" s="173"/>
    </row>
    <row r="90" spans="1:26" ht="14.25" hidden="1" customHeight="1" outlineLevel="1">
      <c r="A90" s="168"/>
      <c r="B90" s="168" t="s">
        <v>528</v>
      </c>
      <c r="C90" s="168" t="str">
        <f t="shared" ref="C90:C95" si="94">MID(F90,4,LEN(F90))</f>
        <v xml:space="preserve"> Semarang</v>
      </c>
      <c r="D90" s="169" t="s">
        <v>323</v>
      </c>
      <c r="E90" s="170" t="s">
        <v>334</v>
      </c>
      <c r="F90" s="168" t="s">
        <v>529</v>
      </c>
      <c r="G90" s="182" t="e">
        <f t="shared" ref="G90:M90" ca="1" si="95">SUMIFS(INDIRECT("'[WK "&amp;$C$4&amp;" "&amp;$D$4&amp;" East.xlsx]"&amp;G$5&amp;"'!$E:$E"),INDIRECT("'[WK "&amp;$C$4&amp;" "&amp;$D$4&amp;" East.xlsx]"&amp;G$5&amp;"'!$D:$D"),$E$4,INDIRECT("'[WK "&amp;$C$4&amp;" "&amp;$D$4&amp;" East.xlsx]"&amp;G$5&amp;"'!$J:$J"),$B90)+SUMIFS(INDIRECT("'[WK "&amp;$C$4&amp;" "&amp;$D$4&amp;" West.xlsx]"&amp;G$5&amp;"'!$E:$E"),INDIRECT("'[WK "&amp;$C$4&amp;" "&amp;$D$4&amp;" West.xlsx]"&amp;G$5&amp;"'!$D:$D"),$E$4,INDIRECT("'[WK "&amp;$C$4&amp;" "&amp;$D$4&amp;" West.xlsx]"&amp;G$5&amp;"'!$J:$J"),$B90)</f>
        <v>#REF!</v>
      </c>
      <c r="H90" s="183" t="e">
        <f t="shared" ca="1" si="95"/>
        <v>#REF!</v>
      </c>
      <c r="I90" s="184" t="e">
        <f t="shared" ca="1" si="95"/>
        <v>#REF!</v>
      </c>
      <c r="J90" s="185" t="e">
        <f t="shared" ca="1" si="95"/>
        <v>#REF!</v>
      </c>
      <c r="K90" s="183" t="e">
        <f t="shared" ca="1" si="95"/>
        <v>#REF!</v>
      </c>
      <c r="L90" s="186" t="e">
        <f t="shared" ca="1" si="95"/>
        <v>#REF!</v>
      </c>
      <c r="M90" s="187" t="e">
        <f t="shared" ca="1" si="95"/>
        <v>#REF!</v>
      </c>
      <c r="N90" s="156" t="e">
        <f t="shared" ca="1" si="2"/>
        <v>#REF!</v>
      </c>
      <c r="O90" s="167"/>
      <c r="P90" s="156" t="e">
        <f t="shared" ca="1" si="3"/>
        <v>#REF!</v>
      </c>
      <c r="Q90" s="173"/>
      <c r="R90" s="173"/>
      <c r="S90" s="173"/>
      <c r="T90" s="173"/>
      <c r="U90" s="173"/>
      <c r="V90" s="173"/>
      <c r="W90" s="173"/>
      <c r="X90" s="173"/>
      <c r="Y90" s="173"/>
      <c r="Z90" s="173"/>
    </row>
    <row r="91" spans="1:26" ht="14.25" hidden="1" customHeight="1" outlineLevel="1">
      <c r="A91" s="168"/>
      <c r="B91" s="168" t="s">
        <v>530</v>
      </c>
      <c r="C91" s="168" t="str">
        <f t="shared" si="94"/>
        <v xml:space="preserve"> Pati</v>
      </c>
      <c r="D91" s="169" t="s">
        <v>323</v>
      </c>
      <c r="E91" s="169" t="s">
        <v>517</v>
      </c>
      <c r="F91" s="168" t="s">
        <v>531</v>
      </c>
      <c r="G91" s="182" t="e">
        <f t="shared" ref="G91:M91" ca="1" si="96">SUMIFS(INDIRECT("'[WK "&amp;$C$4&amp;" "&amp;$D$4&amp;" East.xlsx]"&amp;G$5&amp;"'!$E:$E"),INDIRECT("'[WK "&amp;$C$4&amp;" "&amp;$D$4&amp;" East.xlsx]"&amp;G$5&amp;"'!$D:$D"),$E$4,INDIRECT("'[WK "&amp;$C$4&amp;" "&amp;$D$4&amp;" East.xlsx]"&amp;G$5&amp;"'!$J:$J"),$B91)+SUMIFS(INDIRECT("'[WK "&amp;$C$4&amp;" "&amp;$D$4&amp;" West.xlsx]"&amp;G$5&amp;"'!$E:$E"),INDIRECT("'[WK "&amp;$C$4&amp;" "&amp;$D$4&amp;" West.xlsx]"&amp;G$5&amp;"'!$D:$D"),$E$4,INDIRECT("'[WK "&amp;$C$4&amp;" "&amp;$D$4&amp;" West.xlsx]"&amp;G$5&amp;"'!$J:$J"),$B91)</f>
        <v>#REF!</v>
      </c>
      <c r="H91" s="186" t="e">
        <f t="shared" ca="1" si="96"/>
        <v>#REF!</v>
      </c>
      <c r="I91" s="188" t="e">
        <f t="shared" ca="1" si="96"/>
        <v>#REF!</v>
      </c>
      <c r="J91" s="186" t="e">
        <f t="shared" ca="1" si="96"/>
        <v>#REF!</v>
      </c>
      <c r="K91" s="186" t="e">
        <f t="shared" ca="1" si="96"/>
        <v>#REF!</v>
      </c>
      <c r="L91" s="183" t="e">
        <f t="shared" ca="1" si="96"/>
        <v>#REF!</v>
      </c>
      <c r="M91" s="187" t="e">
        <f t="shared" ca="1" si="96"/>
        <v>#REF!</v>
      </c>
      <c r="N91" s="156" t="e">
        <f t="shared" ca="1" si="2"/>
        <v>#REF!</v>
      </c>
      <c r="O91" s="167"/>
      <c r="P91" s="156" t="e">
        <f t="shared" ca="1" si="3"/>
        <v>#REF!</v>
      </c>
      <c r="Q91" s="173"/>
      <c r="R91" s="173"/>
      <c r="S91" s="173"/>
      <c r="T91" s="173"/>
      <c r="U91" s="173"/>
      <c r="V91" s="173"/>
      <c r="W91" s="173"/>
      <c r="X91" s="173"/>
      <c r="Y91" s="173"/>
      <c r="Z91" s="173"/>
    </row>
    <row r="92" spans="1:26" ht="14.25" hidden="1" customHeight="1" outlineLevel="1">
      <c r="A92" s="168"/>
      <c r="B92" s="168" t="s">
        <v>532</v>
      </c>
      <c r="C92" s="168" t="str">
        <f t="shared" si="94"/>
        <v xml:space="preserve"> Tuban</v>
      </c>
      <c r="D92" s="169" t="s">
        <v>323</v>
      </c>
      <c r="E92" s="169" t="s">
        <v>517</v>
      </c>
      <c r="F92" s="168" t="s">
        <v>533</v>
      </c>
      <c r="G92" s="182" t="e">
        <f t="shared" ref="G92:M92" ca="1" si="97">SUMIFS(INDIRECT("'[WK "&amp;$C$4&amp;" "&amp;$D$4&amp;" East.xlsx]"&amp;G$5&amp;"'!$E:$E"),INDIRECT("'[WK "&amp;$C$4&amp;" "&amp;$D$4&amp;" East.xlsx]"&amp;G$5&amp;"'!$D:$D"),$E$4,INDIRECT("'[WK "&amp;$C$4&amp;" "&amp;$D$4&amp;" East.xlsx]"&amp;G$5&amp;"'!$J:$J"),$B92)+SUMIFS(INDIRECT("'[WK "&amp;$C$4&amp;" "&amp;$D$4&amp;" West.xlsx]"&amp;G$5&amp;"'!$E:$E"),INDIRECT("'[WK "&amp;$C$4&amp;" "&amp;$D$4&amp;" West.xlsx]"&amp;G$5&amp;"'!$D:$D"),$E$4,INDIRECT("'[WK "&amp;$C$4&amp;" "&amp;$D$4&amp;" West.xlsx]"&amp;G$5&amp;"'!$J:$J"),$B92)</f>
        <v>#REF!</v>
      </c>
      <c r="H92" s="186" t="e">
        <f t="shared" ca="1" si="97"/>
        <v>#REF!</v>
      </c>
      <c r="I92" s="188" t="e">
        <f t="shared" ca="1" si="97"/>
        <v>#REF!</v>
      </c>
      <c r="J92" s="186" t="e">
        <f t="shared" ca="1" si="97"/>
        <v>#REF!</v>
      </c>
      <c r="K92" s="186" t="e">
        <f t="shared" ca="1" si="97"/>
        <v>#REF!</v>
      </c>
      <c r="L92" s="183" t="e">
        <f t="shared" ca="1" si="97"/>
        <v>#REF!</v>
      </c>
      <c r="M92" s="187" t="e">
        <f t="shared" ca="1" si="97"/>
        <v>#REF!</v>
      </c>
      <c r="N92" s="156" t="e">
        <f t="shared" ca="1" si="2"/>
        <v>#REF!</v>
      </c>
      <c r="O92" s="167"/>
      <c r="P92" s="156" t="e">
        <f t="shared" ca="1" si="3"/>
        <v>#REF!</v>
      </c>
      <c r="Q92" s="173"/>
      <c r="R92" s="173"/>
      <c r="S92" s="173"/>
      <c r="T92" s="173"/>
      <c r="U92" s="173"/>
      <c r="V92" s="173"/>
      <c r="W92" s="173"/>
      <c r="X92" s="173"/>
      <c r="Y92" s="173"/>
      <c r="Z92" s="173"/>
    </row>
    <row r="93" spans="1:26" ht="14.25" hidden="1" customHeight="1" outlineLevel="1">
      <c r="A93" s="168"/>
      <c r="B93" s="168" t="s">
        <v>534</v>
      </c>
      <c r="C93" s="168" t="str">
        <f t="shared" si="94"/>
        <v xml:space="preserve"> Kediri</v>
      </c>
      <c r="D93" s="169" t="s">
        <v>484</v>
      </c>
      <c r="E93" s="170" t="s">
        <v>334</v>
      </c>
      <c r="F93" s="168" t="s">
        <v>535</v>
      </c>
      <c r="G93" s="182" t="e">
        <f t="shared" ref="G93:M93" ca="1" si="98">SUMIFS(INDIRECT("'[WK "&amp;$C$4&amp;" "&amp;$D$4&amp;" East.xlsx]"&amp;G$5&amp;"'!$E:$E"),INDIRECT("'[WK "&amp;$C$4&amp;" "&amp;$D$4&amp;" East.xlsx]"&amp;G$5&amp;"'!$D:$D"),$E$4,INDIRECT("'[WK "&amp;$C$4&amp;" "&amp;$D$4&amp;" East.xlsx]"&amp;G$5&amp;"'!$J:$J"),$B93)+SUMIFS(INDIRECT("'[WK "&amp;$C$4&amp;" "&amp;$D$4&amp;" West.xlsx]"&amp;G$5&amp;"'!$E:$E"),INDIRECT("'[WK "&amp;$C$4&amp;" "&amp;$D$4&amp;" West.xlsx]"&amp;G$5&amp;"'!$D:$D"),$E$4,INDIRECT("'[WK "&amp;$C$4&amp;" "&amp;$D$4&amp;" West.xlsx]"&amp;G$5&amp;"'!$J:$J"),$B93)</f>
        <v>#REF!</v>
      </c>
      <c r="H93" s="185" t="e">
        <f t="shared" ca="1" si="98"/>
        <v>#REF!</v>
      </c>
      <c r="I93" s="189" t="e">
        <f t="shared" ca="1" si="98"/>
        <v>#REF!</v>
      </c>
      <c r="J93" s="185" t="e">
        <f t="shared" ca="1" si="98"/>
        <v>#REF!</v>
      </c>
      <c r="K93" s="186" t="e">
        <f t="shared" ca="1" si="98"/>
        <v>#REF!</v>
      </c>
      <c r="L93" s="186" t="e">
        <f t="shared" ca="1" si="98"/>
        <v>#REF!</v>
      </c>
      <c r="M93" s="187" t="e">
        <f t="shared" ca="1" si="98"/>
        <v>#REF!</v>
      </c>
      <c r="N93" s="156" t="e">
        <f t="shared" ca="1" si="2"/>
        <v>#REF!</v>
      </c>
      <c r="O93" s="167"/>
      <c r="P93" s="156" t="e">
        <f t="shared" ca="1" si="3"/>
        <v>#REF!</v>
      </c>
      <c r="Q93" s="173"/>
      <c r="R93" s="173"/>
      <c r="S93" s="173"/>
      <c r="T93" s="173"/>
      <c r="U93" s="173"/>
      <c r="V93" s="173"/>
      <c r="W93" s="173"/>
      <c r="X93" s="173"/>
      <c r="Y93" s="173"/>
      <c r="Z93" s="173"/>
    </row>
    <row r="94" spans="1:26" ht="14.25" hidden="1" customHeight="1" outlineLevel="1">
      <c r="A94" s="168"/>
      <c r="B94" s="168" t="s">
        <v>536</v>
      </c>
      <c r="C94" s="168" t="str">
        <f t="shared" si="94"/>
        <v xml:space="preserve"> Tegal</v>
      </c>
      <c r="D94" s="169" t="s">
        <v>323</v>
      </c>
      <c r="E94" s="170" t="s">
        <v>499</v>
      </c>
      <c r="F94" s="168" t="s">
        <v>537</v>
      </c>
      <c r="G94" s="182" t="e">
        <f t="shared" ref="G94:M94" ca="1" si="99">SUMIFS(INDIRECT("'[WK "&amp;$C$4&amp;" "&amp;$D$4&amp;" East.xlsx]"&amp;G$5&amp;"'!$E:$E"),INDIRECT("'[WK "&amp;$C$4&amp;" "&amp;$D$4&amp;" East.xlsx]"&amp;G$5&amp;"'!$D:$D"),$E$4,INDIRECT("'[WK "&amp;$C$4&amp;" "&amp;$D$4&amp;" East.xlsx]"&amp;G$5&amp;"'!$J:$J"),$B94)+SUMIFS(INDIRECT("'[WK "&amp;$C$4&amp;" "&amp;$D$4&amp;" West.xlsx]"&amp;G$5&amp;"'!$E:$E"),INDIRECT("'[WK "&amp;$C$4&amp;" "&amp;$D$4&amp;" West.xlsx]"&amp;G$5&amp;"'!$D:$D"),$E$4,INDIRECT("'[WK "&amp;$C$4&amp;" "&amp;$D$4&amp;" West.xlsx]"&amp;G$5&amp;"'!$J:$J"),$B94)</f>
        <v>#REF!</v>
      </c>
      <c r="H94" s="185" t="e">
        <f t="shared" ca="1" si="99"/>
        <v>#REF!</v>
      </c>
      <c r="I94" s="190" t="e">
        <f t="shared" ca="1" si="99"/>
        <v>#REF!</v>
      </c>
      <c r="J94" s="185" t="e">
        <f t="shared" ca="1" si="99"/>
        <v>#REF!</v>
      </c>
      <c r="K94" s="186" t="e">
        <f t="shared" ca="1" si="99"/>
        <v>#REF!</v>
      </c>
      <c r="L94" s="191" t="e">
        <f t="shared" ca="1" si="99"/>
        <v>#REF!</v>
      </c>
      <c r="M94" s="192" t="e">
        <f t="shared" ca="1" si="99"/>
        <v>#REF!</v>
      </c>
      <c r="N94" s="156" t="e">
        <f t="shared" ca="1" si="2"/>
        <v>#REF!</v>
      </c>
      <c r="O94" s="167"/>
      <c r="P94" s="156" t="e">
        <f t="shared" ca="1" si="3"/>
        <v>#REF!</v>
      </c>
      <c r="Q94" s="173"/>
      <c r="R94" s="173"/>
      <c r="S94" s="173"/>
      <c r="T94" s="173"/>
      <c r="U94" s="173"/>
      <c r="V94" s="173"/>
      <c r="W94" s="173"/>
      <c r="X94" s="173"/>
      <c r="Y94" s="173"/>
      <c r="Z94" s="173"/>
    </row>
    <row r="95" spans="1:26" ht="14.25" hidden="1" customHeight="1" outlineLevel="1">
      <c r="A95" s="168"/>
      <c r="B95" s="168" t="s">
        <v>538</v>
      </c>
      <c r="C95" s="168" t="str">
        <f t="shared" si="94"/>
        <v xml:space="preserve"> Pekalongan</v>
      </c>
      <c r="D95" s="169" t="s">
        <v>323</v>
      </c>
      <c r="E95" s="170" t="s">
        <v>499</v>
      </c>
      <c r="F95" s="168" t="s">
        <v>539</v>
      </c>
      <c r="G95" s="182" t="e">
        <f t="shared" ref="G95:M95" ca="1" si="100">SUMIFS(INDIRECT("'[WK "&amp;$C$4&amp;" "&amp;$D$4&amp;" East.xlsx]"&amp;G$5&amp;"'!$E:$E"),INDIRECT("'[WK "&amp;$C$4&amp;" "&amp;$D$4&amp;" East.xlsx]"&amp;G$5&amp;"'!$D:$D"),$E$4,INDIRECT("'[WK "&amp;$C$4&amp;" "&amp;$D$4&amp;" East.xlsx]"&amp;G$5&amp;"'!$J:$J"),$B95)+SUMIFS(INDIRECT("'[WK "&amp;$C$4&amp;" "&amp;$D$4&amp;" West.xlsx]"&amp;G$5&amp;"'!$E:$E"),INDIRECT("'[WK "&amp;$C$4&amp;" "&amp;$D$4&amp;" West.xlsx]"&amp;G$5&amp;"'!$D:$D"),$E$4,INDIRECT("'[WK "&amp;$C$4&amp;" "&amp;$D$4&amp;" West.xlsx]"&amp;G$5&amp;"'!$J:$J"),$B95)</f>
        <v>#REF!</v>
      </c>
      <c r="H95" s="185" t="e">
        <f t="shared" ca="1" si="100"/>
        <v>#REF!</v>
      </c>
      <c r="I95" s="190" t="e">
        <f t="shared" ca="1" si="100"/>
        <v>#REF!</v>
      </c>
      <c r="J95" s="185" t="e">
        <f t="shared" ca="1" si="100"/>
        <v>#REF!</v>
      </c>
      <c r="K95" s="186" t="e">
        <f t="shared" ca="1" si="100"/>
        <v>#REF!</v>
      </c>
      <c r="L95" s="185" t="e">
        <f t="shared" ca="1" si="100"/>
        <v>#REF!</v>
      </c>
      <c r="M95" s="190" t="e">
        <f t="shared" ca="1" si="100"/>
        <v>#REF!</v>
      </c>
      <c r="N95" s="156" t="e">
        <f t="shared" ca="1" si="2"/>
        <v>#REF!</v>
      </c>
      <c r="O95" s="167"/>
      <c r="P95" s="156" t="e">
        <f t="shared" ca="1" si="3"/>
        <v>#REF!</v>
      </c>
      <c r="Q95" s="173"/>
      <c r="R95" s="173"/>
      <c r="S95" s="173"/>
      <c r="T95" s="173"/>
      <c r="U95" s="173"/>
      <c r="V95" s="173"/>
      <c r="W95" s="173"/>
      <c r="X95" s="173"/>
      <c r="Y95" s="173"/>
      <c r="Z95" s="173"/>
    </row>
    <row r="96" spans="1:26" ht="14.25" customHeight="1" collapsed="1">
      <c r="A96" s="162" t="s">
        <v>453</v>
      </c>
      <c r="B96" s="162"/>
      <c r="C96" s="162"/>
      <c r="D96" s="163" t="str">
        <f>IFERROR(VLOOKUP($B$4&amp;C96,#REF!,2,FALSE),"")</f>
        <v/>
      </c>
      <c r="E96" s="163"/>
      <c r="F96" s="162" t="s">
        <v>540</v>
      </c>
      <c r="G96" s="164" t="e">
        <f t="shared" ref="G96:M96" ca="1" si="101">SUM(G90:G95)</f>
        <v>#REF!</v>
      </c>
      <c r="H96" s="165" t="e">
        <f t="shared" ca="1" si="101"/>
        <v>#REF!</v>
      </c>
      <c r="I96" s="165" t="e">
        <f t="shared" ca="1" si="101"/>
        <v>#REF!</v>
      </c>
      <c r="J96" s="165" t="e">
        <f t="shared" ca="1" si="101"/>
        <v>#REF!</v>
      </c>
      <c r="K96" s="165" t="e">
        <f t="shared" ca="1" si="101"/>
        <v>#REF!</v>
      </c>
      <c r="L96" s="165" t="e">
        <f t="shared" ca="1" si="101"/>
        <v>#REF!</v>
      </c>
      <c r="M96" s="166" t="e">
        <f t="shared" ca="1" si="101"/>
        <v>#REF!</v>
      </c>
      <c r="N96" s="165" t="e">
        <f t="shared" ca="1" si="2"/>
        <v>#REF!</v>
      </c>
      <c r="O96" s="167"/>
      <c r="P96" s="165" t="e">
        <f t="shared" ca="1" si="3"/>
        <v>#REF!</v>
      </c>
      <c r="Q96" s="173"/>
      <c r="R96" s="173"/>
      <c r="S96" s="173"/>
      <c r="T96" s="173"/>
      <c r="U96" s="173"/>
      <c r="V96" s="173"/>
      <c r="W96" s="173"/>
      <c r="X96" s="173"/>
      <c r="Y96" s="173"/>
      <c r="Z96" s="173"/>
    </row>
    <row r="97" spans="1:26" ht="14.25" hidden="1" customHeight="1" outlineLevel="1">
      <c r="A97" s="168"/>
      <c r="B97" s="168" t="s">
        <v>541</v>
      </c>
      <c r="C97" s="168" t="str">
        <f t="shared" ref="C97:C100" si="102">MID(F97,4,LEN(F97))</f>
        <v xml:space="preserve"> Surabaya</v>
      </c>
      <c r="D97" s="169" t="s">
        <v>484</v>
      </c>
      <c r="E97" s="170" t="s">
        <v>334</v>
      </c>
      <c r="F97" s="168" t="s">
        <v>542</v>
      </c>
      <c r="G97" s="153" t="e">
        <f t="shared" ref="G97:M97" ca="1" si="103">SUMIFS(INDIRECT("'[WK "&amp;$C$4&amp;" "&amp;$D$4&amp;" East.xlsx]"&amp;G$5&amp;"'!$E:$E"),INDIRECT("'[WK "&amp;$C$4&amp;" "&amp;$D$4&amp;" East.xlsx]"&amp;G$5&amp;"'!$D:$D"),$E$4,INDIRECT("'[WK "&amp;$C$4&amp;" "&amp;$D$4&amp;" East.xlsx]"&amp;G$5&amp;"'!$J:$J"),$B97)+SUMIFS(INDIRECT("'[WK "&amp;$C$4&amp;" "&amp;$D$4&amp;" West.xlsx]"&amp;G$5&amp;"'!$E:$E"),INDIRECT("'[WK "&amp;$C$4&amp;" "&amp;$D$4&amp;" West.xlsx]"&amp;G$5&amp;"'!$D:$D"),$E$4,INDIRECT("'[WK "&amp;$C$4&amp;" "&amp;$D$4&amp;" West.xlsx]"&amp;G$5&amp;"'!$J:$J"),$B97)</f>
        <v>#REF!</v>
      </c>
      <c r="H97" s="171" t="e">
        <f t="shared" ca="1" si="103"/>
        <v>#REF!</v>
      </c>
      <c r="I97" s="171" t="e">
        <f t="shared" ca="1" si="103"/>
        <v>#REF!</v>
      </c>
      <c r="J97" s="171" t="e">
        <f t="shared" ca="1" si="103"/>
        <v>#REF!</v>
      </c>
      <c r="K97" s="171" t="e">
        <f t="shared" ca="1" si="103"/>
        <v>#REF!</v>
      </c>
      <c r="L97" s="154" t="e">
        <f t="shared" ca="1" si="103"/>
        <v>#REF!</v>
      </c>
      <c r="M97" s="175" t="e">
        <f t="shared" ca="1" si="103"/>
        <v>#REF!</v>
      </c>
      <c r="N97" s="156" t="e">
        <f t="shared" ca="1" si="2"/>
        <v>#REF!</v>
      </c>
      <c r="O97" s="167"/>
      <c r="P97" s="156" t="e">
        <f t="shared" ca="1" si="3"/>
        <v>#REF!</v>
      </c>
      <c r="Q97" s="173"/>
      <c r="R97" s="173"/>
      <c r="S97" s="173"/>
      <c r="T97" s="173"/>
      <c r="U97" s="173"/>
      <c r="V97" s="173"/>
      <c r="W97" s="173"/>
      <c r="X97" s="173"/>
      <c r="Y97" s="173"/>
      <c r="Z97" s="173"/>
    </row>
    <row r="98" spans="1:26" ht="14.25" hidden="1" customHeight="1" outlineLevel="1">
      <c r="A98" s="168"/>
      <c r="B98" s="168" t="s">
        <v>543</v>
      </c>
      <c r="C98" s="168" t="str">
        <f t="shared" si="102"/>
        <v xml:space="preserve"> Pamekasan</v>
      </c>
      <c r="D98" s="169" t="s">
        <v>484</v>
      </c>
      <c r="E98" s="170" t="s">
        <v>334</v>
      </c>
      <c r="F98" s="168" t="s">
        <v>544</v>
      </c>
      <c r="G98" s="153" t="e">
        <f t="shared" ref="G98:M98" ca="1" si="104">SUMIFS(INDIRECT("'[WK "&amp;$C$4&amp;" "&amp;$D$4&amp;" East.xlsx]"&amp;G$5&amp;"'!$E:$E"),INDIRECT("'[WK "&amp;$C$4&amp;" "&amp;$D$4&amp;" East.xlsx]"&amp;G$5&amp;"'!$D:$D"),$E$4,INDIRECT("'[WK "&amp;$C$4&amp;" "&amp;$D$4&amp;" East.xlsx]"&amp;G$5&amp;"'!$J:$J"),$B98)+SUMIFS(INDIRECT("'[WK "&amp;$C$4&amp;" "&amp;$D$4&amp;" West.xlsx]"&amp;G$5&amp;"'!$E:$E"),INDIRECT("'[WK "&amp;$C$4&amp;" "&amp;$D$4&amp;" West.xlsx]"&amp;G$5&amp;"'!$D:$D"),$E$4,INDIRECT("'[WK "&amp;$C$4&amp;" "&amp;$D$4&amp;" West.xlsx]"&amp;G$5&amp;"'!$J:$J"),$B98)</f>
        <v>#REF!</v>
      </c>
      <c r="H98" s="171" t="e">
        <f t="shared" ca="1" si="104"/>
        <v>#REF!</v>
      </c>
      <c r="I98" s="154" t="e">
        <f t="shared" ca="1" si="104"/>
        <v>#REF!</v>
      </c>
      <c r="J98" s="171" t="e">
        <f t="shared" ca="1" si="104"/>
        <v>#REF!</v>
      </c>
      <c r="K98" s="171" t="e">
        <f t="shared" ca="1" si="104"/>
        <v>#REF!</v>
      </c>
      <c r="L98" s="154" t="e">
        <f t="shared" ca="1" si="104"/>
        <v>#REF!</v>
      </c>
      <c r="M98" s="175" t="e">
        <f t="shared" ca="1" si="104"/>
        <v>#REF!</v>
      </c>
      <c r="N98" s="156" t="e">
        <f t="shared" ca="1" si="2"/>
        <v>#REF!</v>
      </c>
      <c r="O98" s="167"/>
      <c r="P98" s="156" t="e">
        <f t="shared" ca="1" si="3"/>
        <v>#REF!</v>
      </c>
      <c r="Q98" s="173"/>
      <c r="R98" s="173"/>
      <c r="S98" s="173"/>
      <c r="T98" s="173"/>
      <c r="U98" s="173"/>
      <c r="V98" s="173"/>
      <c r="W98" s="173"/>
      <c r="X98" s="173"/>
      <c r="Y98" s="173"/>
      <c r="Z98" s="173"/>
    </row>
    <row r="99" spans="1:26" ht="14.25" hidden="1" customHeight="1" outlineLevel="1">
      <c r="A99" s="168"/>
      <c r="B99" s="168" t="s">
        <v>545</v>
      </c>
      <c r="C99" s="168" t="str">
        <f t="shared" si="102"/>
        <v xml:space="preserve"> Sidoarjo</v>
      </c>
      <c r="D99" s="169" t="s">
        <v>484</v>
      </c>
      <c r="E99" s="170" t="s">
        <v>334</v>
      </c>
      <c r="F99" s="168" t="s">
        <v>546</v>
      </c>
      <c r="G99" s="153" t="e">
        <f t="shared" ref="G99:M99" ca="1" si="105">SUMIFS(INDIRECT("'[WK "&amp;$C$4&amp;" "&amp;$D$4&amp;" East.xlsx]"&amp;G$5&amp;"'!$E:$E"),INDIRECT("'[WK "&amp;$C$4&amp;" "&amp;$D$4&amp;" East.xlsx]"&amp;G$5&amp;"'!$D:$D"),$E$4,INDIRECT("'[WK "&amp;$C$4&amp;" "&amp;$D$4&amp;" East.xlsx]"&amp;G$5&amp;"'!$J:$J"),$B99)+SUMIFS(INDIRECT("'[WK "&amp;$C$4&amp;" "&amp;$D$4&amp;" West.xlsx]"&amp;G$5&amp;"'!$E:$E"),INDIRECT("'[WK "&amp;$C$4&amp;" "&amp;$D$4&amp;" West.xlsx]"&amp;G$5&amp;"'!$D:$D"),$E$4,INDIRECT("'[WK "&amp;$C$4&amp;" "&amp;$D$4&amp;" West.xlsx]"&amp;G$5&amp;"'!$J:$J"),$B99)</f>
        <v>#REF!</v>
      </c>
      <c r="H99" s="171" t="e">
        <f t="shared" ca="1" si="105"/>
        <v>#REF!</v>
      </c>
      <c r="I99" s="171" t="e">
        <f t="shared" ca="1" si="105"/>
        <v>#REF!</v>
      </c>
      <c r="J99" s="171" t="e">
        <f t="shared" ca="1" si="105"/>
        <v>#REF!</v>
      </c>
      <c r="K99" s="171" t="e">
        <f t="shared" ca="1" si="105"/>
        <v>#REF!</v>
      </c>
      <c r="L99" s="154" t="e">
        <f t="shared" ca="1" si="105"/>
        <v>#REF!</v>
      </c>
      <c r="M99" s="175" t="e">
        <f t="shared" ca="1" si="105"/>
        <v>#REF!</v>
      </c>
      <c r="N99" s="156" t="e">
        <f t="shared" ca="1" si="2"/>
        <v>#REF!</v>
      </c>
      <c r="O99" s="167"/>
      <c r="P99" s="156" t="e">
        <f t="shared" ca="1" si="3"/>
        <v>#REF!</v>
      </c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spans="1:26" ht="14.25" hidden="1" customHeight="1" outlineLevel="1">
      <c r="A100" s="168"/>
      <c r="B100" s="168" t="s">
        <v>547</v>
      </c>
      <c r="C100" s="168" t="str">
        <f t="shared" si="102"/>
        <v xml:space="preserve"> Malang</v>
      </c>
      <c r="D100" s="169" t="s">
        <v>484</v>
      </c>
      <c r="E100" s="170" t="s">
        <v>334</v>
      </c>
      <c r="F100" s="168" t="s">
        <v>548</v>
      </c>
      <c r="G100" s="153" t="e">
        <f t="shared" ref="G100:M100" ca="1" si="106">SUMIFS(INDIRECT("'[WK "&amp;$C$4&amp;" "&amp;$D$4&amp;" East.xlsx]"&amp;G$5&amp;"'!$E:$E"),INDIRECT("'[WK "&amp;$C$4&amp;" "&amp;$D$4&amp;" East.xlsx]"&amp;G$5&amp;"'!$D:$D"),$E$4,INDIRECT("'[WK "&amp;$C$4&amp;" "&amp;$D$4&amp;" East.xlsx]"&amp;G$5&amp;"'!$J:$J"),$B100)+SUMIFS(INDIRECT("'[WK "&amp;$C$4&amp;" "&amp;$D$4&amp;" West.xlsx]"&amp;G$5&amp;"'!$E:$E"),INDIRECT("'[WK "&amp;$C$4&amp;" "&amp;$D$4&amp;" West.xlsx]"&amp;G$5&amp;"'!$D:$D"),$E$4,INDIRECT("'[WK "&amp;$C$4&amp;" "&amp;$D$4&amp;" West.xlsx]"&amp;G$5&amp;"'!$J:$J"),$B100)</f>
        <v>#REF!</v>
      </c>
      <c r="H100" s="154" t="e">
        <f t="shared" ca="1" si="106"/>
        <v>#REF!</v>
      </c>
      <c r="I100" s="154" t="e">
        <f t="shared" ca="1" si="106"/>
        <v>#REF!</v>
      </c>
      <c r="J100" s="171" t="e">
        <f t="shared" ca="1" si="106"/>
        <v>#REF!</v>
      </c>
      <c r="K100" s="154" t="e">
        <f t="shared" ca="1" si="106"/>
        <v>#REF!</v>
      </c>
      <c r="L100" s="154" t="e">
        <f t="shared" ca="1" si="106"/>
        <v>#REF!</v>
      </c>
      <c r="M100" s="171" t="e">
        <f t="shared" ca="1" si="106"/>
        <v>#REF!</v>
      </c>
      <c r="N100" s="156" t="e">
        <f t="shared" ca="1" si="2"/>
        <v>#REF!</v>
      </c>
      <c r="O100" s="167"/>
      <c r="P100" s="156" t="e">
        <f t="shared" ca="1" si="3"/>
        <v>#REF!</v>
      </c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spans="1:26" ht="14.25" hidden="1" customHeight="1" outlineLevel="1">
      <c r="A101" s="168"/>
      <c r="B101" s="168" t="s">
        <v>549</v>
      </c>
      <c r="C101" s="168" t="s">
        <v>550</v>
      </c>
      <c r="D101" s="169"/>
      <c r="E101" s="169"/>
      <c r="F101" s="168" t="s">
        <v>551</v>
      </c>
      <c r="G101" s="153" t="e">
        <f t="shared" ref="G101:M101" ca="1" si="107">SUMIFS(INDIRECT("'[WK "&amp;$C$4&amp;" "&amp;$D$4&amp;" East.xlsx]"&amp;G$5&amp;"'!$E:$E"),INDIRECT("'[WK "&amp;$C$4&amp;" "&amp;$D$4&amp;" East.xlsx]"&amp;G$5&amp;"'!$D:$D"),$E$4,INDIRECT("'[WK "&amp;$C$4&amp;" "&amp;$D$4&amp;" East.xlsx]"&amp;G$5&amp;"'!$J:$J"),$B101)+SUMIFS(INDIRECT("'[WK "&amp;$C$4&amp;" "&amp;$D$4&amp;" West.xlsx]"&amp;G$5&amp;"'!$E:$E"),INDIRECT("'[WK "&amp;$C$4&amp;" "&amp;$D$4&amp;" West.xlsx]"&amp;G$5&amp;"'!$D:$D"),$E$4,INDIRECT("'[WK "&amp;$C$4&amp;" "&amp;$D$4&amp;" West.xlsx]"&amp;G$5&amp;"'!$J:$J"),$B101)</f>
        <v>#REF!</v>
      </c>
      <c r="H101" s="154" t="e">
        <f t="shared" ca="1" si="107"/>
        <v>#REF!</v>
      </c>
      <c r="I101" s="154" t="e">
        <f t="shared" ca="1" si="107"/>
        <v>#REF!</v>
      </c>
      <c r="J101" s="154" t="e">
        <f t="shared" ca="1" si="107"/>
        <v>#REF!</v>
      </c>
      <c r="K101" s="154" t="e">
        <f t="shared" ca="1" si="107"/>
        <v>#REF!</v>
      </c>
      <c r="L101" s="154" t="e">
        <f t="shared" ca="1" si="107"/>
        <v>#REF!</v>
      </c>
      <c r="M101" s="155" t="e">
        <f t="shared" ca="1" si="107"/>
        <v>#REF!</v>
      </c>
      <c r="N101" s="156" t="e">
        <f t="shared" ca="1" si="2"/>
        <v>#REF!</v>
      </c>
      <c r="O101" s="167"/>
      <c r="P101" s="156" t="e">
        <f t="shared" ca="1" si="3"/>
        <v>#REF!</v>
      </c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 ht="14.25" hidden="1" customHeight="1" outlineLevel="1">
      <c r="A102" s="168"/>
      <c r="B102" s="168" t="s">
        <v>552</v>
      </c>
      <c r="C102" s="168" t="str">
        <f t="shared" ref="C102:C106" si="108">MID(F102,4,LEN(F102))</f>
        <v xml:space="preserve"> Mojokerto</v>
      </c>
      <c r="D102" s="169" t="s">
        <v>484</v>
      </c>
      <c r="E102" s="170" t="s">
        <v>334</v>
      </c>
      <c r="F102" s="168" t="s">
        <v>553</v>
      </c>
      <c r="G102" s="153" t="e">
        <f t="shared" ref="G102:M102" ca="1" si="109">SUMIFS(INDIRECT("'[WK "&amp;$C$4&amp;" "&amp;$D$4&amp;" East.xlsx]"&amp;G$5&amp;"'!$E:$E"),INDIRECT("'[WK "&amp;$C$4&amp;" "&amp;$D$4&amp;" East.xlsx]"&amp;G$5&amp;"'!$D:$D"),$E$4,INDIRECT("'[WK "&amp;$C$4&amp;" "&amp;$D$4&amp;" East.xlsx]"&amp;G$5&amp;"'!$J:$J"),$B102)+SUMIFS(INDIRECT("'[WK "&amp;$C$4&amp;" "&amp;$D$4&amp;" West.xlsx]"&amp;G$5&amp;"'!$E:$E"),INDIRECT("'[WK "&amp;$C$4&amp;" "&amp;$D$4&amp;" West.xlsx]"&amp;G$5&amp;"'!$D:$D"),$E$4,INDIRECT("'[WK "&amp;$C$4&amp;" "&amp;$D$4&amp;" West.xlsx]"&amp;G$5&amp;"'!$J:$J"),$B102)</f>
        <v>#REF!</v>
      </c>
      <c r="H102" s="154" t="e">
        <f t="shared" ca="1" si="109"/>
        <v>#REF!</v>
      </c>
      <c r="I102" s="171" t="e">
        <f t="shared" ca="1" si="109"/>
        <v>#REF!</v>
      </c>
      <c r="J102" s="171" t="e">
        <f t="shared" ca="1" si="109"/>
        <v>#REF!</v>
      </c>
      <c r="K102" s="154" t="e">
        <f t="shared" ca="1" si="109"/>
        <v>#REF!</v>
      </c>
      <c r="L102" s="154" t="e">
        <f t="shared" ca="1" si="109"/>
        <v>#REF!</v>
      </c>
      <c r="M102" s="171" t="e">
        <f t="shared" ca="1" si="109"/>
        <v>#REF!</v>
      </c>
      <c r="N102" s="156" t="e">
        <f t="shared" ca="1" si="2"/>
        <v>#REF!</v>
      </c>
      <c r="O102" s="167"/>
      <c r="P102" s="156" t="e">
        <f t="shared" ca="1" si="3"/>
        <v>#REF!</v>
      </c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 ht="14.25" hidden="1" customHeight="1" outlineLevel="1">
      <c r="A103" s="168"/>
      <c r="B103" s="168" t="s">
        <v>554</v>
      </c>
      <c r="C103" s="168" t="str">
        <f t="shared" si="108"/>
        <v xml:space="preserve"> Jember</v>
      </c>
      <c r="D103" s="169" t="s">
        <v>484</v>
      </c>
      <c r="E103" s="170" t="s">
        <v>334</v>
      </c>
      <c r="F103" s="168" t="s">
        <v>555</v>
      </c>
      <c r="G103" s="153" t="e">
        <f t="shared" ref="G103:M103" ca="1" si="110">SUMIFS(INDIRECT("'[WK "&amp;$C$4&amp;" "&amp;$D$4&amp;" East.xlsx]"&amp;G$5&amp;"'!$E:$E"),INDIRECT("'[WK "&amp;$C$4&amp;" "&amp;$D$4&amp;" East.xlsx]"&amp;G$5&amp;"'!$D:$D"),$E$4,INDIRECT("'[WK "&amp;$C$4&amp;" "&amp;$D$4&amp;" East.xlsx]"&amp;G$5&amp;"'!$J:$J"),$B103)+SUMIFS(INDIRECT("'[WK "&amp;$C$4&amp;" "&amp;$D$4&amp;" West.xlsx]"&amp;G$5&amp;"'!$E:$E"),INDIRECT("'[WK "&amp;$C$4&amp;" "&amp;$D$4&amp;" West.xlsx]"&amp;G$5&amp;"'!$D:$D"),$E$4,INDIRECT("'[WK "&amp;$C$4&amp;" "&amp;$D$4&amp;" West.xlsx]"&amp;G$5&amp;"'!$J:$J"),$B103)</f>
        <v>#REF!</v>
      </c>
      <c r="H103" s="154" t="e">
        <f t="shared" ca="1" si="110"/>
        <v>#REF!</v>
      </c>
      <c r="I103" s="171" t="e">
        <f t="shared" ca="1" si="110"/>
        <v>#REF!</v>
      </c>
      <c r="J103" s="154" t="e">
        <f t="shared" ca="1" si="110"/>
        <v>#REF!</v>
      </c>
      <c r="K103" s="154" t="e">
        <f t="shared" ca="1" si="110"/>
        <v>#REF!</v>
      </c>
      <c r="L103" s="154" t="e">
        <f t="shared" ca="1" si="110"/>
        <v>#REF!</v>
      </c>
      <c r="M103" s="171" t="e">
        <f t="shared" ca="1" si="110"/>
        <v>#REF!</v>
      </c>
      <c r="N103" s="156" t="e">
        <f t="shared" ca="1" si="2"/>
        <v>#REF!</v>
      </c>
      <c r="O103" s="167"/>
      <c r="P103" s="156" t="e">
        <f t="shared" ca="1" si="3"/>
        <v>#REF!</v>
      </c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spans="1:26" ht="14.25" hidden="1" customHeight="1" outlineLevel="1">
      <c r="A104" s="168"/>
      <c r="B104" s="168" t="s">
        <v>556</v>
      </c>
      <c r="C104" s="168" t="str">
        <f t="shared" si="108"/>
        <v xml:space="preserve"> Banyuwangi</v>
      </c>
      <c r="D104" s="169" t="s">
        <v>484</v>
      </c>
      <c r="E104" s="170" t="s">
        <v>334</v>
      </c>
      <c r="F104" s="168" t="s">
        <v>557</v>
      </c>
      <c r="G104" s="153" t="e">
        <f t="shared" ref="G104:M104" ca="1" si="111">SUMIFS(INDIRECT("'[WK "&amp;$C$4&amp;" "&amp;$D$4&amp;" East.xlsx]"&amp;G$5&amp;"'!$E:$E"),INDIRECT("'[WK "&amp;$C$4&amp;" "&amp;$D$4&amp;" East.xlsx]"&amp;G$5&amp;"'!$D:$D"),$E$4,INDIRECT("'[WK "&amp;$C$4&amp;" "&amp;$D$4&amp;" East.xlsx]"&amp;G$5&amp;"'!$J:$J"),$B104)+SUMIFS(INDIRECT("'[WK "&amp;$C$4&amp;" "&amp;$D$4&amp;" West.xlsx]"&amp;G$5&amp;"'!$E:$E"),INDIRECT("'[WK "&amp;$C$4&amp;" "&amp;$D$4&amp;" West.xlsx]"&amp;G$5&amp;"'!$D:$D"),$E$4,INDIRECT("'[WK "&amp;$C$4&amp;" "&amp;$D$4&amp;" West.xlsx]"&amp;G$5&amp;"'!$J:$J"),$B104)</f>
        <v>#REF!</v>
      </c>
      <c r="H104" s="154" t="e">
        <f t="shared" ca="1" si="111"/>
        <v>#REF!</v>
      </c>
      <c r="I104" s="171" t="e">
        <f t="shared" ca="1" si="111"/>
        <v>#REF!</v>
      </c>
      <c r="J104" s="154" t="e">
        <f t="shared" ca="1" si="111"/>
        <v>#REF!</v>
      </c>
      <c r="K104" s="154" t="e">
        <f t="shared" ca="1" si="111"/>
        <v>#REF!</v>
      </c>
      <c r="L104" s="154" t="e">
        <f t="shared" ca="1" si="111"/>
        <v>#REF!</v>
      </c>
      <c r="M104" s="171" t="e">
        <f t="shared" ca="1" si="111"/>
        <v>#REF!</v>
      </c>
      <c r="N104" s="156" t="e">
        <f t="shared" ca="1" si="2"/>
        <v>#REF!</v>
      </c>
      <c r="O104" s="167"/>
      <c r="P104" s="156" t="e">
        <f t="shared" ca="1" si="3"/>
        <v>#REF!</v>
      </c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spans="1:26" ht="14.25" hidden="1" customHeight="1" outlineLevel="1">
      <c r="A105" s="168"/>
      <c r="B105" s="168" t="s">
        <v>558</v>
      </c>
      <c r="C105" s="168" t="str">
        <f t="shared" si="108"/>
        <v xml:space="preserve"> Probolinggo</v>
      </c>
      <c r="D105" s="169" t="s">
        <v>484</v>
      </c>
      <c r="E105" s="170" t="s">
        <v>334</v>
      </c>
      <c r="F105" s="168" t="s">
        <v>559</v>
      </c>
      <c r="G105" s="153" t="e">
        <f t="shared" ref="G105:M105" ca="1" si="112">SUMIFS(INDIRECT("'[WK "&amp;$C$4&amp;" "&amp;$D$4&amp;" East.xlsx]"&amp;G$5&amp;"'!$E:$E"),INDIRECT("'[WK "&amp;$C$4&amp;" "&amp;$D$4&amp;" East.xlsx]"&amp;G$5&amp;"'!$D:$D"),$E$4,INDIRECT("'[WK "&amp;$C$4&amp;" "&amp;$D$4&amp;" East.xlsx]"&amp;G$5&amp;"'!$J:$J"),$B105)+SUMIFS(INDIRECT("'[WK "&amp;$C$4&amp;" "&amp;$D$4&amp;" West.xlsx]"&amp;G$5&amp;"'!$E:$E"),INDIRECT("'[WK "&amp;$C$4&amp;" "&amp;$D$4&amp;" West.xlsx]"&amp;G$5&amp;"'!$D:$D"),$E$4,INDIRECT("'[WK "&amp;$C$4&amp;" "&amp;$D$4&amp;" West.xlsx]"&amp;G$5&amp;"'!$J:$J"),$B105)</f>
        <v>#REF!</v>
      </c>
      <c r="H105" s="154" t="e">
        <f t="shared" ca="1" si="112"/>
        <v>#REF!</v>
      </c>
      <c r="I105" s="171" t="e">
        <f t="shared" ca="1" si="112"/>
        <v>#REF!</v>
      </c>
      <c r="J105" s="154" t="e">
        <f t="shared" ca="1" si="112"/>
        <v>#REF!</v>
      </c>
      <c r="K105" s="154" t="e">
        <f t="shared" ca="1" si="112"/>
        <v>#REF!</v>
      </c>
      <c r="L105" s="154" t="e">
        <f t="shared" ca="1" si="112"/>
        <v>#REF!</v>
      </c>
      <c r="M105" s="171" t="e">
        <f t="shared" ca="1" si="112"/>
        <v>#REF!</v>
      </c>
      <c r="N105" s="156" t="e">
        <f t="shared" ca="1" si="2"/>
        <v>#REF!</v>
      </c>
      <c r="O105" s="167"/>
      <c r="P105" s="156" t="e">
        <f t="shared" ca="1" si="3"/>
        <v>#REF!</v>
      </c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spans="1:26" ht="14.25" hidden="1" customHeight="1" outlineLevel="1">
      <c r="A106" s="168"/>
      <c r="B106" s="168" t="s">
        <v>560</v>
      </c>
      <c r="C106" s="168" t="str">
        <f t="shared" si="108"/>
        <v xml:space="preserve"> Gresik</v>
      </c>
      <c r="D106" s="169" t="s">
        <v>484</v>
      </c>
      <c r="E106" s="170" t="s">
        <v>334</v>
      </c>
      <c r="F106" s="168" t="s">
        <v>561</v>
      </c>
      <c r="G106" s="153" t="e">
        <f t="shared" ref="G106:M106" ca="1" si="113">SUMIFS(INDIRECT("'[WK "&amp;$C$4&amp;" "&amp;$D$4&amp;" East.xlsx]"&amp;G$5&amp;"'!$E:$E"),INDIRECT("'[WK "&amp;$C$4&amp;" "&amp;$D$4&amp;" East.xlsx]"&amp;G$5&amp;"'!$D:$D"),$E$4,INDIRECT("'[WK "&amp;$C$4&amp;" "&amp;$D$4&amp;" East.xlsx]"&amp;G$5&amp;"'!$J:$J"),$B106)+SUMIFS(INDIRECT("'[WK "&amp;$C$4&amp;" "&amp;$D$4&amp;" West.xlsx]"&amp;G$5&amp;"'!$E:$E"),INDIRECT("'[WK "&amp;$C$4&amp;" "&amp;$D$4&amp;" West.xlsx]"&amp;G$5&amp;"'!$D:$D"),$E$4,INDIRECT("'[WK "&amp;$C$4&amp;" "&amp;$D$4&amp;" West.xlsx]"&amp;G$5&amp;"'!$J:$J"),$B106)</f>
        <v>#REF!</v>
      </c>
      <c r="H106" s="154" t="e">
        <f t="shared" ca="1" si="113"/>
        <v>#REF!</v>
      </c>
      <c r="I106" s="171" t="e">
        <f t="shared" ca="1" si="113"/>
        <v>#REF!</v>
      </c>
      <c r="J106" s="154" t="e">
        <f t="shared" ca="1" si="113"/>
        <v>#REF!</v>
      </c>
      <c r="K106" s="171" t="e">
        <f t="shared" ca="1" si="113"/>
        <v>#REF!</v>
      </c>
      <c r="L106" s="154" t="e">
        <f t="shared" ca="1" si="113"/>
        <v>#REF!</v>
      </c>
      <c r="M106" s="171" t="e">
        <f t="shared" ca="1" si="113"/>
        <v>#REF!</v>
      </c>
      <c r="N106" s="156" t="e">
        <f t="shared" ca="1" si="2"/>
        <v>#REF!</v>
      </c>
      <c r="O106" s="167"/>
      <c r="P106" s="156" t="e">
        <f t="shared" ca="1" si="3"/>
        <v>#REF!</v>
      </c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spans="1:26" ht="14.25" customHeight="1" collapsed="1">
      <c r="A107" s="162" t="s">
        <v>453</v>
      </c>
      <c r="B107" s="162"/>
      <c r="C107" s="162"/>
      <c r="D107" s="163">
        <v>1</v>
      </c>
      <c r="E107" s="163"/>
      <c r="F107" s="162" t="s">
        <v>562</v>
      </c>
      <c r="G107" s="164" t="e">
        <f t="shared" ref="G107:M107" ca="1" si="114">SUM(G97:G106)</f>
        <v>#REF!</v>
      </c>
      <c r="H107" s="165" t="e">
        <f t="shared" ca="1" si="114"/>
        <v>#REF!</v>
      </c>
      <c r="I107" s="165" t="e">
        <f t="shared" ca="1" si="114"/>
        <v>#REF!</v>
      </c>
      <c r="J107" s="165" t="e">
        <f t="shared" ca="1" si="114"/>
        <v>#REF!</v>
      </c>
      <c r="K107" s="165" t="e">
        <f t="shared" ca="1" si="114"/>
        <v>#REF!</v>
      </c>
      <c r="L107" s="165" t="e">
        <f t="shared" ca="1" si="114"/>
        <v>#REF!</v>
      </c>
      <c r="M107" s="166" t="e">
        <f t="shared" ca="1" si="114"/>
        <v>#REF!</v>
      </c>
      <c r="N107" s="165" t="e">
        <f t="shared" ca="1" si="2"/>
        <v>#REF!</v>
      </c>
      <c r="O107" s="167"/>
      <c r="P107" s="165" t="e">
        <f t="shared" ca="1" si="3"/>
        <v>#REF!</v>
      </c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spans="1:26" ht="14.25" hidden="1" customHeight="1" outlineLevel="1">
      <c r="A108" s="150"/>
      <c r="B108" s="193" t="s">
        <v>563</v>
      </c>
      <c r="C108" s="193" t="str">
        <f t="shared" ref="C108:C111" si="115">MID(F108,4,LEN(F108))</f>
        <v xml:space="preserve"> Denpasar</v>
      </c>
      <c r="D108" s="194" t="s">
        <v>323</v>
      </c>
      <c r="E108" s="170" t="s">
        <v>564</v>
      </c>
      <c r="F108" s="195" t="s">
        <v>565</v>
      </c>
      <c r="G108" s="153" t="e">
        <f t="shared" ref="G108:M108" ca="1" si="116">SUMIFS(INDIRECT("'[WK "&amp;$C$4&amp;" "&amp;$D$4&amp;" East.xlsx]"&amp;G$5&amp;"'!$E:$E"),INDIRECT("'[WK "&amp;$C$4&amp;" "&amp;$D$4&amp;" East.xlsx]"&amp;G$5&amp;"'!$D:$D"),$E$4,INDIRECT("'[WK "&amp;$C$4&amp;" "&amp;$D$4&amp;" East.xlsx]"&amp;G$5&amp;"'!$J:$J"),$B108)+SUMIFS(INDIRECT("'[WK "&amp;$C$4&amp;" "&amp;$D$4&amp;" West.xlsx]"&amp;G$5&amp;"'!$E:$E"),INDIRECT("'[WK "&amp;$C$4&amp;" "&amp;$D$4&amp;" West.xlsx]"&amp;G$5&amp;"'!$D:$D"),$E$4,INDIRECT("'[WK "&amp;$C$4&amp;" "&amp;$D$4&amp;" West.xlsx]"&amp;G$5&amp;"'!$J:$J"),$B108)</f>
        <v>#REF!</v>
      </c>
      <c r="H108" s="171" t="e">
        <f t="shared" ca="1" si="116"/>
        <v>#REF!</v>
      </c>
      <c r="I108" s="160" t="e">
        <f t="shared" ca="1" si="116"/>
        <v>#REF!</v>
      </c>
      <c r="J108" s="171" t="e">
        <f t="shared" ca="1" si="116"/>
        <v>#REF!</v>
      </c>
      <c r="K108" s="154" t="e">
        <f t="shared" ca="1" si="116"/>
        <v>#REF!</v>
      </c>
      <c r="L108" s="161" t="e">
        <f t="shared" ca="1" si="116"/>
        <v>#REF!</v>
      </c>
      <c r="M108" s="155" t="e">
        <f t="shared" ca="1" si="116"/>
        <v>#REF!</v>
      </c>
      <c r="N108" s="156" t="e">
        <f t="shared" ca="1" si="2"/>
        <v>#REF!</v>
      </c>
      <c r="O108" s="167"/>
      <c r="P108" s="156" t="e">
        <f t="shared" ca="1" si="3"/>
        <v>#REF!</v>
      </c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spans="1:26" ht="14.25" hidden="1" customHeight="1" outlineLevel="1">
      <c r="A109" s="150"/>
      <c r="B109" s="193" t="s">
        <v>566</v>
      </c>
      <c r="C109" s="193" t="str">
        <f t="shared" si="115"/>
        <v xml:space="preserve"> Singaraja</v>
      </c>
      <c r="D109" s="194" t="s">
        <v>484</v>
      </c>
      <c r="E109" s="170" t="s">
        <v>334</v>
      </c>
      <c r="F109" s="195" t="s">
        <v>567</v>
      </c>
      <c r="G109" s="153" t="e">
        <f t="shared" ref="G109:M109" ca="1" si="117">SUMIFS(INDIRECT("'[WK "&amp;$C$4&amp;" "&amp;$D$4&amp;" East.xlsx]"&amp;G$5&amp;"'!$E:$E"),INDIRECT("'[WK "&amp;$C$4&amp;" "&amp;$D$4&amp;" East.xlsx]"&amp;G$5&amp;"'!$D:$D"),$E$4,INDIRECT("'[WK "&amp;$C$4&amp;" "&amp;$D$4&amp;" East.xlsx]"&amp;G$5&amp;"'!$J:$J"),$B109)+SUMIFS(INDIRECT("'[WK "&amp;$C$4&amp;" "&amp;$D$4&amp;" West.xlsx]"&amp;G$5&amp;"'!$E:$E"),INDIRECT("'[WK "&amp;$C$4&amp;" "&amp;$D$4&amp;" West.xlsx]"&amp;G$5&amp;"'!$D:$D"),$E$4,INDIRECT("'[WK "&amp;$C$4&amp;" "&amp;$D$4&amp;" West.xlsx]"&amp;G$5&amp;"'!$J:$J"),$B109)</f>
        <v>#REF!</v>
      </c>
      <c r="H109" s="154" t="e">
        <f t="shared" ca="1" si="117"/>
        <v>#REF!</v>
      </c>
      <c r="I109" s="171" t="e">
        <f t="shared" ca="1" si="117"/>
        <v>#REF!</v>
      </c>
      <c r="J109" s="154" t="e">
        <f t="shared" ca="1" si="117"/>
        <v>#REF!</v>
      </c>
      <c r="K109" s="154" t="e">
        <f t="shared" ca="1" si="117"/>
        <v>#REF!</v>
      </c>
      <c r="L109" s="154" t="e">
        <f t="shared" ca="1" si="117"/>
        <v>#REF!</v>
      </c>
      <c r="M109" s="171" t="e">
        <f t="shared" ca="1" si="117"/>
        <v>#REF!</v>
      </c>
      <c r="N109" s="156" t="e">
        <f t="shared" ca="1" si="2"/>
        <v>#REF!</v>
      </c>
      <c r="O109" s="167"/>
      <c r="P109" s="156" t="e">
        <f t="shared" ca="1" si="3"/>
        <v>#REF!</v>
      </c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spans="1:26" ht="14.25" hidden="1" customHeight="1" outlineLevel="1">
      <c r="A110" s="150"/>
      <c r="B110" s="193" t="s">
        <v>568</v>
      </c>
      <c r="C110" s="193" t="str">
        <f t="shared" si="115"/>
        <v xml:space="preserve"> Mataram</v>
      </c>
      <c r="D110" s="194" t="s">
        <v>484</v>
      </c>
      <c r="E110" s="170" t="s">
        <v>393</v>
      </c>
      <c r="F110" s="195" t="s">
        <v>569</v>
      </c>
      <c r="G110" s="153" t="e">
        <f t="shared" ref="G110:M110" ca="1" si="118">SUMIFS(INDIRECT("'[WK "&amp;$C$4&amp;" "&amp;$D$4&amp;" East.xlsx]"&amp;G$5&amp;"'!$E:$E"),INDIRECT("'[WK "&amp;$C$4&amp;" "&amp;$D$4&amp;" East.xlsx]"&amp;G$5&amp;"'!$D:$D"),$E$4,INDIRECT("'[WK "&amp;$C$4&amp;" "&amp;$D$4&amp;" East.xlsx]"&amp;G$5&amp;"'!$J:$J"),$B110)+SUMIFS(INDIRECT("'[WK "&amp;$C$4&amp;" "&amp;$D$4&amp;" West.xlsx]"&amp;G$5&amp;"'!$E:$E"),INDIRECT("'[WK "&amp;$C$4&amp;" "&amp;$D$4&amp;" West.xlsx]"&amp;G$5&amp;"'!$D:$D"),$E$4,INDIRECT("'[WK "&amp;$C$4&amp;" "&amp;$D$4&amp;" West.xlsx]"&amp;G$5&amp;"'!$J:$J"),$B110)</f>
        <v>#REF!</v>
      </c>
      <c r="H110" s="171" t="e">
        <f t="shared" ca="1" si="118"/>
        <v>#REF!</v>
      </c>
      <c r="I110" s="154" t="e">
        <f t="shared" ca="1" si="118"/>
        <v>#REF!</v>
      </c>
      <c r="J110" s="171" t="e">
        <f t="shared" ca="1" si="118"/>
        <v>#REF!</v>
      </c>
      <c r="K110" s="154" t="e">
        <f t="shared" ca="1" si="118"/>
        <v>#REF!</v>
      </c>
      <c r="L110" s="171" t="e">
        <f t="shared" ca="1" si="118"/>
        <v>#REF!</v>
      </c>
      <c r="M110" s="155" t="e">
        <f t="shared" ca="1" si="118"/>
        <v>#REF!</v>
      </c>
      <c r="N110" s="156" t="e">
        <f t="shared" ca="1" si="2"/>
        <v>#REF!</v>
      </c>
      <c r="O110" s="167"/>
      <c r="P110" s="156" t="e">
        <f t="shared" ca="1" si="3"/>
        <v>#REF!</v>
      </c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spans="1:26" ht="14.25" hidden="1" customHeight="1" outlineLevel="1">
      <c r="A111" s="150"/>
      <c r="B111" s="193" t="s">
        <v>570</v>
      </c>
      <c r="C111" s="193" t="str">
        <f t="shared" si="115"/>
        <v xml:space="preserve"> Ende</v>
      </c>
      <c r="D111" s="194" t="s">
        <v>484</v>
      </c>
      <c r="E111" s="170" t="s">
        <v>571</v>
      </c>
      <c r="F111" s="195" t="s">
        <v>572</v>
      </c>
      <c r="G111" s="153" t="e">
        <f t="shared" ref="G111:M111" ca="1" si="119">SUMIFS(INDIRECT("'[WK "&amp;$C$4&amp;" "&amp;$D$4&amp;" East.xlsx]"&amp;G$5&amp;"'!$E:$E"),INDIRECT("'[WK "&amp;$C$4&amp;" "&amp;$D$4&amp;" East.xlsx]"&amp;G$5&amp;"'!$D:$D"),$E$4,INDIRECT("'[WK "&amp;$C$4&amp;" "&amp;$D$4&amp;" East.xlsx]"&amp;G$5&amp;"'!$J:$J"),$B111)+SUMIFS(INDIRECT("'[WK "&amp;$C$4&amp;" "&amp;$D$4&amp;" West.xlsx]"&amp;G$5&amp;"'!$E:$E"),INDIRECT("'[WK "&amp;$C$4&amp;" "&amp;$D$4&amp;" West.xlsx]"&amp;G$5&amp;"'!$D:$D"),$E$4,INDIRECT("'[WK "&amp;$C$4&amp;" "&amp;$D$4&amp;" West.xlsx]"&amp;G$5&amp;"'!$J:$J"),$B111)</f>
        <v>#REF!</v>
      </c>
      <c r="H111" s="154" t="e">
        <f t="shared" ca="1" si="119"/>
        <v>#REF!</v>
      </c>
      <c r="I111" s="171" t="e">
        <f t="shared" ca="1" si="119"/>
        <v>#REF!</v>
      </c>
      <c r="J111" s="154" t="e">
        <f t="shared" ca="1" si="119"/>
        <v>#REF!</v>
      </c>
      <c r="K111" s="154" t="e">
        <f t="shared" ca="1" si="119"/>
        <v>#REF!</v>
      </c>
      <c r="L111" s="154" t="e">
        <f t="shared" ca="1" si="119"/>
        <v>#REF!</v>
      </c>
      <c r="M111" s="155" t="e">
        <f t="shared" ca="1" si="119"/>
        <v>#REF!</v>
      </c>
      <c r="N111" s="156" t="e">
        <f t="shared" ca="1" si="2"/>
        <v>#REF!</v>
      </c>
      <c r="O111" s="167"/>
      <c r="P111" s="156" t="e">
        <f t="shared" ca="1" si="3"/>
        <v>#REF!</v>
      </c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spans="1:26" ht="14.25" hidden="1" customHeight="1" outlineLevel="1">
      <c r="A112" s="150"/>
      <c r="B112" s="193" t="s">
        <v>573</v>
      </c>
      <c r="C112" s="193" t="s">
        <v>574</v>
      </c>
      <c r="D112" s="194" t="s">
        <v>484</v>
      </c>
      <c r="E112" s="170" t="s">
        <v>571</v>
      </c>
      <c r="F112" s="195" t="s">
        <v>575</v>
      </c>
      <c r="G112" s="154" t="e">
        <f t="shared" ref="G112:M112" ca="1" si="120">SUMIFS(INDIRECT("'[WK "&amp;$C$4&amp;" "&amp;$D$4&amp;" East.xlsx]"&amp;G$5&amp;"'!$E:$E"),INDIRECT("'[WK "&amp;$C$4&amp;" "&amp;$D$4&amp;" East.xlsx]"&amp;G$5&amp;"'!$D:$D"),$E$4,INDIRECT("'[WK "&amp;$C$4&amp;" "&amp;$D$4&amp;" East.xlsx]"&amp;G$5&amp;"'!$J:$J"),$B112)+SUMIFS(INDIRECT("'[WK "&amp;$C$4&amp;" "&amp;$D$4&amp;" West.xlsx]"&amp;G$5&amp;"'!$E:$E"),INDIRECT("'[WK "&amp;$C$4&amp;" "&amp;$D$4&amp;" West.xlsx]"&amp;G$5&amp;"'!$D:$D"),$E$4,INDIRECT("'[WK "&amp;$C$4&amp;" "&amp;$D$4&amp;" West.xlsx]"&amp;G$5&amp;"'!$J:$J"),$B112)</f>
        <v>#REF!</v>
      </c>
      <c r="H112" s="154" t="e">
        <f t="shared" ca="1" si="120"/>
        <v>#REF!</v>
      </c>
      <c r="I112" s="171" t="e">
        <f t="shared" ca="1" si="120"/>
        <v>#REF!</v>
      </c>
      <c r="J112" s="154" t="e">
        <f t="shared" ca="1" si="120"/>
        <v>#REF!</v>
      </c>
      <c r="K112" s="154" t="e">
        <f t="shared" ca="1" si="120"/>
        <v>#REF!</v>
      </c>
      <c r="L112" s="154" t="e">
        <f t="shared" ca="1" si="120"/>
        <v>#REF!</v>
      </c>
      <c r="M112" s="155" t="e">
        <f t="shared" ca="1" si="120"/>
        <v>#REF!</v>
      </c>
      <c r="N112" s="156"/>
      <c r="O112" s="167"/>
      <c r="P112" s="156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spans="1:26" ht="14.25" hidden="1" customHeight="1" outlineLevel="1">
      <c r="A113" s="150"/>
      <c r="B113" s="193" t="s">
        <v>576</v>
      </c>
      <c r="C113" s="193" t="str">
        <f>MID(F113,4,LEN(F113))</f>
        <v xml:space="preserve"> Kupang</v>
      </c>
      <c r="D113" s="194" t="s">
        <v>484</v>
      </c>
      <c r="E113" s="170" t="s">
        <v>571</v>
      </c>
      <c r="F113" s="195" t="s">
        <v>577</v>
      </c>
      <c r="G113" s="171" t="e">
        <f t="shared" ref="G113:M113" ca="1" si="121">SUMIFS(INDIRECT("'[WK "&amp;$C$4&amp;" "&amp;$D$4&amp;" East.xlsx]"&amp;G$5&amp;"'!$E:$E"),INDIRECT("'[WK "&amp;$C$4&amp;" "&amp;$D$4&amp;" East.xlsx]"&amp;G$5&amp;"'!$D:$D"),$E$4,INDIRECT("'[WK "&amp;$C$4&amp;" "&amp;$D$4&amp;" East.xlsx]"&amp;G$5&amp;"'!$J:$J"),$B113)+SUMIFS(INDIRECT("'[WK "&amp;$C$4&amp;" "&amp;$D$4&amp;" West.xlsx]"&amp;G$5&amp;"'!$E:$E"),INDIRECT("'[WK "&amp;$C$4&amp;" "&amp;$D$4&amp;" West.xlsx]"&amp;G$5&amp;"'!$D:$D"),$E$4,INDIRECT("'[WK "&amp;$C$4&amp;" "&amp;$D$4&amp;" West.xlsx]"&amp;G$5&amp;"'!$J:$J"),$B113)</f>
        <v>#REF!</v>
      </c>
      <c r="H113" s="171" t="e">
        <f t="shared" ca="1" si="121"/>
        <v>#REF!</v>
      </c>
      <c r="I113" s="171" t="e">
        <f t="shared" ca="1" si="121"/>
        <v>#REF!</v>
      </c>
      <c r="J113" s="154" t="e">
        <f t="shared" ca="1" si="121"/>
        <v>#REF!</v>
      </c>
      <c r="K113" s="154" t="e">
        <f t="shared" ca="1" si="121"/>
        <v>#REF!</v>
      </c>
      <c r="L113" s="154" t="e">
        <f t="shared" ca="1" si="121"/>
        <v>#REF!</v>
      </c>
      <c r="M113" s="155" t="e">
        <f t="shared" ca="1" si="121"/>
        <v>#REF!</v>
      </c>
      <c r="N113" s="156" t="e">
        <f t="shared" ref="N113:N142" ca="1" si="122">SUM(G113:M113)</f>
        <v>#REF!</v>
      </c>
      <c r="O113" s="167"/>
      <c r="P113" s="156" t="e">
        <f t="shared" ref="P113:P142" ca="1" si="123">N113*$F$4</f>
        <v>#REF!</v>
      </c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spans="1:26" ht="14.25" customHeight="1" collapsed="1">
      <c r="A114" s="162" t="s">
        <v>453</v>
      </c>
      <c r="B114" s="162"/>
      <c r="C114" s="162"/>
      <c r="D114" s="163" t="str">
        <f>IFERROR(VLOOKUP($B$4&amp;C114,#REF!,2,FALSE),"")</f>
        <v/>
      </c>
      <c r="E114" s="163"/>
      <c r="F114" s="162" t="s">
        <v>578</v>
      </c>
      <c r="G114" s="164" t="e">
        <f t="shared" ref="G114:M114" ca="1" si="124">SUM(G108:G113)</f>
        <v>#REF!</v>
      </c>
      <c r="H114" s="165" t="e">
        <f t="shared" ca="1" si="124"/>
        <v>#REF!</v>
      </c>
      <c r="I114" s="165" t="e">
        <f t="shared" ca="1" si="124"/>
        <v>#REF!</v>
      </c>
      <c r="J114" s="165" t="e">
        <f t="shared" ca="1" si="124"/>
        <v>#REF!</v>
      </c>
      <c r="K114" s="165" t="e">
        <f t="shared" ca="1" si="124"/>
        <v>#REF!</v>
      </c>
      <c r="L114" s="165" t="e">
        <f t="shared" ca="1" si="124"/>
        <v>#REF!</v>
      </c>
      <c r="M114" s="166" t="e">
        <f t="shared" ca="1" si="124"/>
        <v>#REF!</v>
      </c>
      <c r="N114" s="165" t="e">
        <f t="shared" ca="1" si="122"/>
        <v>#REF!</v>
      </c>
      <c r="O114" s="167"/>
      <c r="P114" s="165" t="e">
        <f t="shared" ca="1" si="123"/>
        <v>#REF!</v>
      </c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spans="1:26" ht="14.25" hidden="1" customHeight="1" outlineLevel="1">
      <c r="A115" s="168" t="s">
        <v>579</v>
      </c>
      <c r="B115" s="193" t="s">
        <v>580</v>
      </c>
      <c r="C115" s="193" t="str">
        <f t="shared" ref="C115:C120" si="125">MID(F115,4,LEN(F115))</f>
        <v xml:space="preserve"> Banjarmasin</v>
      </c>
      <c r="D115" s="194" t="s">
        <v>484</v>
      </c>
      <c r="E115" s="170" t="s">
        <v>398</v>
      </c>
      <c r="F115" s="195" t="s">
        <v>581</v>
      </c>
      <c r="G115" s="153" t="e">
        <f t="shared" ref="G115:M115" ca="1" si="126">SUMIFS(INDIRECT("'[WK "&amp;$C$4&amp;" "&amp;$D$4&amp;" East.xlsx]"&amp;G$5&amp;"'!$E:$E"),INDIRECT("'[WK "&amp;$C$4&amp;" "&amp;$D$4&amp;" East.xlsx]"&amp;G$5&amp;"'!$D:$D"),$E$4,INDIRECT("'[WK "&amp;$C$4&amp;" "&amp;$D$4&amp;" East.xlsx]"&amp;G$5&amp;"'!$J:$J"),$B115)+SUMIFS(INDIRECT("'[WK "&amp;$C$4&amp;" "&amp;$D$4&amp;" West.xlsx]"&amp;G$5&amp;"'!$E:$E"),INDIRECT("'[WK "&amp;$C$4&amp;" "&amp;$D$4&amp;" West.xlsx]"&amp;G$5&amp;"'!$D:$D"),$E$4,INDIRECT("'[WK "&amp;$C$4&amp;" "&amp;$D$4&amp;" West.xlsx]"&amp;G$5&amp;"'!$J:$J"),$B115)</f>
        <v>#REF!</v>
      </c>
      <c r="H115" s="171" t="e">
        <f t="shared" ca="1" si="126"/>
        <v>#REF!</v>
      </c>
      <c r="I115" s="171" t="e">
        <f t="shared" ca="1" si="126"/>
        <v>#REF!</v>
      </c>
      <c r="J115" s="154" t="e">
        <f t="shared" ca="1" si="126"/>
        <v>#REF!</v>
      </c>
      <c r="K115" s="154" t="e">
        <f t="shared" ca="1" si="126"/>
        <v>#REF!</v>
      </c>
      <c r="L115" s="154" t="e">
        <f t="shared" ca="1" si="126"/>
        <v>#REF!</v>
      </c>
      <c r="M115" s="155" t="e">
        <f t="shared" ca="1" si="126"/>
        <v>#REF!</v>
      </c>
      <c r="N115" s="156" t="e">
        <f t="shared" ca="1" si="122"/>
        <v>#REF!</v>
      </c>
      <c r="O115" s="167"/>
      <c r="P115" s="156" t="e">
        <f t="shared" ca="1" si="123"/>
        <v>#REF!</v>
      </c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spans="1:26" ht="14.25" hidden="1" customHeight="1" outlineLevel="1">
      <c r="A116" s="168"/>
      <c r="B116" s="193" t="s">
        <v>582</v>
      </c>
      <c r="C116" s="193" t="str">
        <f t="shared" si="125"/>
        <v xml:space="preserve"> Barabai</v>
      </c>
      <c r="D116" s="194" t="s">
        <v>484</v>
      </c>
      <c r="E116" s="170" t="s">
        <v>398</v>
      </c>
      <c r="F116" s="195" t="s">
        <v>583</v>
      </c>
      <c r="G116" s="153" t="e">
        <f t="shared" ref="G116:M116" ca="1" si="127">SUMIFS(INDIRECT("'[WK "&amp;$C$4&amp;" "&amp;$D$4&amp;" East.xlsx]"&amp;G$5&amp;"'!$E:$E"),INDIRECT("'[WK "&amp;$C$4&amp;" "&amp;$D$4&amp;" East.xlsx]"&amp;G$5&amp;"'!$D:$D"),$E$4,INDIRECT("'[WK "&amp;$C$4&amp;" "&amp;$D$4&amp;" East.xlsx]"&amp;G$5&amp;"'!$J:$J"),$B116)+SUMIFS(INDIRECT("'[WK "&amp;$C$4&amp;" "&amp;$D$4&amp;" West.xlsx]"&amp;G$5&amp;"'!$E:$E"),INDIRECT("'[WK "&amp;$C$4&amp;" "&amp;$D$4&amp;" West.xlsx]"&amp;G$5&amp;"'!$D:$D"),$E$4,INDIRECT("'[WK "&amp;$C$4&amp;" "&amp;$D$4&amp;" West.xlsx]"&amp;G$5&amp;"'!$J:$J"),$B116)</f>
        <v>#REF!</v>
      </c>
      <c r="H116" s="154" t="e">
        <f t="shared" ca="1" si="127"/>
        <v>#REF!</v>
      </c>
      <c r="I116" s="171" t="e">
        <f t="shared" ca="1" si="127"/>
        <v>#REF!</v>
      </c>
      <c r="J116" s="154" t="e">
        <f t="shared" ca="1" si="127"/>
        <v>#REF!</v>
      </c>
      <c r="K116" s="154" t="e">
        <f t="shared" ca="1" si="127"/>
        <v>#REF!</v>
      </c>
      <c r="L116" s="154" t="e">
        <f t="shared" ca="1" si="127"/>
        <v>#REF!</v>
      </c>
      <c r="M116" s="155" t="e">
        <f t="shared" ca="1" si="127"/>
        <v>#REF!</v>
      </c>
      <c r="N116" s="156" t="e">
        <f t="shared" ca="1" si="122"/>
        <v>#REF!</v>
      </c>
      <c r="O116" s="167"/>
      <c r="P116" s="156" t="e">
        <f t="shared" ca="1" si="123"/>
        <v>#REF!</v>
      </c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spans="1:26" ht="14.25" hidden="1" customHeight="1" outlineLevel="1">
      <c r="A117" s="196"/>
      <c r="B117" s="193" t="s">
        <v>584</v>
      </c>
      <c r="C117" s="193" t="str">
        <f t="shared" si="125"/>
        <v xml:space="preserve"> Samarinda</v>
      </c>
      <c r="D117" s="194" t="s">
        <v>323</v>
      </c>
      <c r="E117" s="170" t="s">
        <v>585</v>
      </c>
      <c r="F117" s="195" t="s">
        <v>586</v>
      </c>
      <c r="G117" s="153" t="e">
        <f t="shared" ref="G117:M117" ca="1" si="128">SUMIFS(INDIRECT("'[WK "&amp;$C$4&amp;" "&amp;$D$4&amp;" East.xlsx]"&amp;G$5&amp;"'!$E:$E"),INDIRECT("'[WK "&amp;$C$4&amp;" "&amp;$D$4&amp;" East.xlsx]"&amp;G$5&amp;"'!$D:$D"),$E$4,INDIRECT("'[WK "&amp;$C$4&amp;" "&amp;$D$4&amp;" East.xlsx]"&amp;G$5&amp;"'!$J:$J"),$B117)+SUMIFS(INDIRECT("'[WK "&amp;$C$4&amp;" "&amp;$D$4&amp;" West.xlsx]"&amp;G$5&amp;"'!$E:$E"),INDIRECT("'[WK "&amp;$C$4&amp;" "&amp;$D$4&amp;" West.xlsx]"&amp;G$5&amp;"'!$D:$D"),$E$4,INDIRECT("'[WK "&amp;$C$4&amp;" "&amp;$D$4&amp;" West.xlsx]"&amp;G$5&amp;"'!$J:$J"),$B117)</f>
        <v>#REF!</v>
      </c>
      <c r="H117" s="171" t="e">
        <f t="shared" ca="1" si="128"/>
        <v>#REF!</v>
      </c>
      <c r="I117" s="154" t="e">
        <f t="shared" ca="1" si="128"/>
        <v>#REF!</v>
      </c>
      <c r="J117" s="160" t="e">
        <f t="shared" ca="1" si="128"/>
        <v>#REF!</v>
      </c>
      <c r="K117" s="154" t="e">
        <f t="shared" ca="1" si="128"/>
        <v>#REF!</v>
      </c>
      <c r="L117" s="154" t="e">
        <f t="shared" ca="1" si="128"/>
        <v>#REF!</v>
      </c>
      <c r="M117" s="155" t="e">
        <f t="shared" ca="1" si="128"/>
        <v>#REF!</v>
      </c>
      <c r="N117" s="156" t="e">
        <f t="shared" ca="1" si="122"/>
        <v>#REF!</v>
      </c>
      <c r="O117" s="167"/>
      <c r="P117" s="156" t="e">
        <f t="shared" ca="1" si="123"/>
        <v>#REF!</v>
      </c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spans="1:26" ht="14.25" hidden="1" customHeight="1" outlineLevel="1">
      <c r="A118" s="196"/>
      <c r="B118" s="193" t="s">
        <v>587</v>
      </c>
      <c r="C118" s="193" t="str">
        <f t="shared" si="125"/>
        <v xml:space="preserve"> Berau</v>
      </c>
      <c r="D118" s="194" t="str">
        <f t="shared" ref="D118:D119" si="129">IFERROR(VLOOKUP($B$4&amp;C118,#REF!,2,FALSE),"")</f>
        <v/>
      </c>
      <c r="E118" s="197"/>
      <c r="F118" s="195" t="s">
        <v>588</v>
      </c>
      <c r="G118" s="153" t="e">
        <f t="shared" ref="G118:M118" ca="1" si="130">SUMIFS(INDIRECT("'[WK "&amp;$C$4&amp;" "&amp;$D$4&amp;" East.xlsx]"&amp;G$5&amp;"'!$E:$E"),INDIRECT("'[WK "&amp;$C$4&amp;" "&amp;$D$4&amp;" East.xlsx]"&amp;G$5&amp;"'!$D:$D"),$E$4,INDIRECT("'[WK "&amp;$C$4&amp;" "&amp;$D$4&amp;" East.xlsx]"&amp;G$5&amp;"'!$J:$J"),$B118)+SUMIFS(INDIRECT("'[WK "&amp;$C$4&amp;" "&amp;$D$4&amp;" West.xlsx]"&amp;G$5&amp;"'!$E:$E"),INDIRECT("'[WK "&amp;$C$4&amp;" "&amp;$D$4&amp;" West.xlsx]"&amp;G$5&amp;"'!$D:$D"),$E$4,INDIRECT("'[WK "&amp;$C$4&amp;" "&amp;$D$4&amp;" West.xlsx]"&amp;G$5&amp;"'!$J:$J"),$B118)</f>
        <v>#REF!</v>
      </c>
      <c r="H118" s="154" t="e">
        <f t="shared" ca="1" si="130"/>
        <v>#REF!</v>
      </c>
      <c r="I118" s="154" t="e">
        <f t="shared" ca="1" si="130"/>
        <v>#REF!</v>
      </c>
      <c r="J118" s="154" t="e">
        <f t="shared" ca="1" si="130"/>
        <v>#REF!</v>
      </c>
      <c r="K118" s="154" t="e">
        <f t="shared" ca="1" si="130"/>
        <v>#REF!</v>
      </c>
      <c r="L118" s="154" t="e">
        <f t="shared" ca="1" si="130"/>
        <v>#REF!</v>
      </c>
      <c r="M118" s="155" t="e">
        <f t="shared" ca="1" si="130"/>
        <v>#REF!</v>
      </c>
      <c r="N118" s="156" t="e">
        <f t="shared" ca="1" si="122"/>
        <v>#REF!</v>
      </c>
      <c r="O118" s="167"/>
      <c r="P118" s="156" t="e">
        <f t="shared" ca="1" si="123"/>
        <v>#REF!</v>
      </c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spans="1:26" ht="14.25" hidden="1" customHeight="1" outlineLevel="1">
      <c r="A119" s="196"/>
      <c r="B119" s="193" t="s">
        <v>589</v>
      </c>
      <c r="C119" s="193" t="str">
        <f t="shared" si="125"/>
        <v xml:space="preserve"> Sengatta</v>
      </c>
      <c r="D119" s="194" t="str">
        <f t="shared" si="129"/>
        <v/>
      </c>
      <c r="E119" s="197"/>
      <c r="F119" s="195" t="s">
        <v>590</v>
      </c>
      <c r="G119" s="153" t="e">
        <f t="shared" ref="G119:M119" ca="1" si="131">SUMIFS(INDIRECT("'[WK "&amp;$C$4&amp;" "&amp;$D$4&amp;" East.xlsx]"&amp;G$5&amp;"'!$E:$E"),INDIRECT("'[WK "&amp;$C$4&amp;" "&amp;$D$4&amp;" East.xlsx]"&amp;G$5&amp;"'!$D:$D"),$E$4,INDIRECT("'[WK "&amp;$C$4&amp;" "&amp;$D$4&amp;" East.xlsx]"&amp;G$5&amp;"'!$J:$J"),$B119)+SUMIFS(INDIRECT("'[WK "&amp;$C$4&amp;" "&amp;$D$4&amp;" West.xlsx]"&amp;G$5&amp;"'!$E:$E"),INDIRECT("'[WK "&amp;$C$4&amp;" "&amp;$D$4&amp;" West.xlsx]"&amp;G$5&amp;"'!$D:$D"),$E$4,INDIRECT("'[WK "&amp;$C$4&amp;" "&amp;$D$4&amp;" West.xlsx]"&amp;G$5&amp;"'!$J:$J"),$B119)</f>
        <v>#REF!</v>
      </c>
      <c r="H119" s="154" t="e">
        <f t="shared" ca="1" si="131"/>
        <v>#REF!</v>
      </c>
      <c r="I119" s="154" t="e">
        <f t="shared" ca="1" si="131"/>
        <v>#REF!</v>
      </c>
      <c r="J119" s="154" t="e">
        <f t="shared" ca="1" si="131"/>
        <v>#REF!</v>
      </c>
      <c r="K119" s="154" t="e">
        <f t="shared" ca="1" si="131"/>
        <v>#REF!</v>
      </c>
      <c r="L119" s="154" t="e">
        <f t="shared" ca="1" si="131"/>
        <v>#REF!</v>
      </c>
      <c r="M119" s="155" t="e">
        <f t="shared" ca="1" si="131"/>
        <v>#REF!</v>
      </c>
      <c r="N119" s="156" t="e">
        <f t="shared" ca="1" si="122"/>
        <v>#REF!</v>
      </c>
      <c r="O119" s="167"/>
      <c r="P119" s="156" t="e">
        <f t="shared" ca="1" si="123"/>
        <v>#REF!</v>
      </c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spans="1:26" ht="14.25" hidden="1" customHeight="1" outlineLevel="1">
      <c r="A120" s="168"/>
      <c r="B120" s="193" t="s">
        <v>591</v>
      </c>
      <c r="C120" s="193" t="str">
        <f t="shared" si="125"/>
        <v xml:space="preserve"> Balikpapan</v>
      </c>
      <c r="D120" s="194" t="s">
        <v>323</v>
      </c>
      <c r="E120" s="170" t="s">
        <v>592</v>
      </c>
      <c r="F120" s="195" t="s">
        <v>593</v>
      </c>
      <c r="G120" s="153" t="e">
        <f t="shared" ref="G120:M120" ca="1" si="132">SUMIFS(INDIRECT("'[WK "&amp;$C$4&amp;" "&amp;$D$4&amp;" East.xlsx]"&amp;G$5&amp;"'!$E:$E"),INDIRECT("'[WK "&amp;$C$4&amp;" "&amp;$D$4&amp;" East.xlsx]"&amp;G$5&amp;"'!$D:$D"),$E$4,INDIRECT("'[WK "&amp;$C$4&amp;" "&amp;$D$4&amp;" East.xlsx]"&amp;G$5&amp;"'!$J:$J"),$B120)+SUMIFS(INDIRECT("'[WK "&amp;$C$4&amp;" "&amp;$D$4&amp;" West.xlsx]"&amp;G$5&amp;"'!$E:$E"),INDIRECT("'[WK "&amp;$C$4&amp;" "&amp;$D$4&amp;" West.xlsx]"&amp;G$5&amp;"'!$D:$D"),$E$4,INDIRECT("'[WK "&amp;$C$4&amp;" "&amp;$D$4&amp;" West.xlsx]"&amp;G$5&amp;"'!$J:$J"),$B120)</f>
        <v>#REF!</v>
      </c>
      <c r="H120" s="171" t="e">
        <f t="shared" ca="1" si="132"/>
        <v>#REF!</v>
      </c>
      <c r="I120" s="154" t="e">
        <f t="shared" ca="1" si="132"/>
        <v>#REF!</v>
      </c>
      <c r="J120" s="161" t="e">
        <f t="shared" ca="1" si="132"/>
        <v>#REF!</v>
      </c>
      <c r="K120" s="154" t="e">
        <f t="shared" ca="1" si="132"/>
        <v>#REF!</v>
      </c>
      <c r="L120" s="154" t="e">
        <f t="shared" ca="1" si="132"/>
        <v>#REF!</v>
      </c>
      <c r="M120" s="155" t="e">
        <f t="shared" ca="1" si="132"/>
        <v>#REF!</v>
      </c>
      <c r="N120" s="156" t="e">
        <f t="shared" ca="1" si="122"/>
        <v>#REF!</v>
      </c>
      <c r="O120" s="167"/>
      <c r="P120" s="156" t="e">
        <f t="shared" ca="1" si="123"/>
        <v>#REF!</v>
      </c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spans="1:26" ht="14.25" hidden="1" customHeight="1" outlineLevel="1">
      <c r="A121" s="196"/>
      <c r="B121" s="193" t="s">
        <v>594</v>
      </c>
      <c r="C121" s="193" t="s">
        <v>595</v>
      </c>
      <c r="D121" s="194" t="s">
        <v>323</v>
      </c>
      <c r="E121" s="170" t="s">
        <v>585</v>
      </c>
      <c r="F121" s="195" t="s">
        <v>596</v>
      </c>
      <c r="G121" s="153" t="e">
        <f t="shared" ref="G121:M121" ca="1" si="133">SUMIFS(INDIRECT("'[WK "&amp;$C$4&amp;" "&amp;$D$4&amp;" East.xlsx]"&amp;G$5&amp;"'!$E:$E"),INDIRECT("'[WK "&amp;$C$4&amp;" "&amp;$D$4&amp;" East.xlsx]"&amp;G$5&amp;"'!$D:$D"),$E$4,INDIRECT("'[WK "&amp;$C$4&amp;" "&amp;$D$4&amp;" East.xlsx]"&amp;G$5&amp;"'!$J:$J"),$B121)+SUMIFS(INDIRECT("'[WK "&amp;$C$4&amp;" "&amp;$D$4&amp;" West.xlsx]"&amp;G$5&amp;"'!$E:$E"),INDIRECT("'[WK "&amp;$C$4&amp;" "&amp;$D$4&amp;" West.xlsx]"&amp;G$5&amp;"'!$D:$D"),$E$4,INDIRECT("'[WK "&amp;$C$4&amp;" "&amp;$D$4&amp;" West.xlsx]"&amp;G$5&amp;"'!$J:$J"),$B121)</f>
        <v>#REF!</v>
      </c>
      <c r="H121" s="171" t="e">
        <f t="shared" ca="1" si="133"/>
        <v>#REF!</v>
      </c>
      <c r="I121" s="154" t="e">
        <f t="shared" ca="1" si="133"/>
        <v>#REF!</v>
      </c>
      <c r="J121" s="160" t="e">
        <f t="shared" ca="1" si="133"/>
        <v>#REF!</v>
      </c>
      <c r="K121" s="154" t="e">
        <f t="shared" ca="1" si="133"/>
        <v>#REF!</v>
      </c>
      <c r="L121" s="154" t="e">
        <f t="shared" ca="1" si="133"/>
        <v>#REF!</v>
      </c>
      <c r="M121" s="155" t="e">
        <f t="shared" ca="1" si="133"/>
        <v>#REF!</v>
      </c>
      <c r="N121" s="156" t="e">
        <f t="shared" ca="1" si="122"/>
        <v>#REF!</v>
      </c>
      <c r="O121" s="167"/>
      <c r="P121" s="156" t="e">
        <f t="shared" ca="1" si="123"/>
        <v>#REF!</v>
      </c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spans="1:26" ht="14.25" customHeight="1" collapsed="1">
      <c r="A122" s="162" t="s">
        <v>597</v>
      </c>
      <c r="B122" s="162"/>
      <c r="C122" s="162"/>
      <c r="D122" s="163">
        <v>1</v>
      </c>
      <c r="E122" s="163"/>
      <c r="F122" s="162" t="s">
        <v>598</v>
      </c>
      <c r="G122" s="164" t="e">
        <f t="shared" ref="G122:M122" ca="1" si="134">SUM(G115:G121)</f>
        <v>#REF!</v>
      </c>
      <c r="H122" s="165" t="e">
        <f t="shared" ca="1" si="134"/>
        <v>#REF!</v>
      </c>
      <c r="I122" s="165" t="e">
        <f t="shared" ca="1" si="134"/>
        <v>#REF!</v>
      </c>
      <c r="J122" s="165" t="e">
        <f t="shared" ca="1" si="134"/>
        <v>#REF!</v>
      </c>
      <c r="K122" s="165" t="e">
        <f t="shared" ca="1" si="134"/>
        <v>#REF!</v>
      </c>
      <c r="L122" s="165" t="e">
        <f t="shared" ca="1" si="134"/>
        <v>#REF!</v>
      </c>
      <c r="M122" s="166" t="e">
        <f t="shared" ca="1" si="134"/>
        <v>#REF!</v>
      </c>
      <c r="N122" s="165" t="e">
        <f t="shared" ca="1" si="122"/>
        <v>#REF!</v>
      </c>
      <c r="O122" s="167"/>
      <c r="P122" s="165" t="e">
        <f t="shared" ca="1" si="123"/>
        <v>#REF!</v>
      </c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spans="1:26" ht="14.25" hidden="1" customHeight="1" outlineLevel="1">
      <c r="A123" s="168"/>
      <c r="B123" s="193" t="s">
        <v>599</v>
      </c>
      <c r="C123" s="193" t="str">
        <f t="shared" ref="C123:C125" si="135">MID(F123,4,LEN(F123))</f>
        <v xml:space="preserve"> Pontianak</v>
      </c>
      <c r="D123" s="194" t="s">
        <v>317</v>
      </c>
      <c r="E123" s="197" t="s">
        <v>388</v>
      </c>
      <c r="F123" s="195" t="s">
        <v>600</v>
      </c>
      <c r="G123" s="153" t="e">
        <f t="shared" ref="G123:M123" ca="1" si="136">SUMIFS(INDIRECT("'[WK "&amp;$C$4&amp;" "&amp;$D$4&amp;" East.xlsx]"&amp;G$5&amp;"'!$E:$E"),INDIRECT("'[WK "&amp;$C$4&amp;" "&amp;$D$4&amp;" East.xlsx]"&amp;G$5&amp;"'!$D:$D"),$E$4,INDIRECT("'[WK "&amp;$C$4&amp;" "&amp;$D$4&amp;" East.xlsx]"&amp;G$5&amp;"'!$J:$J"),$B123)+SUMIFS(INDIRECT("'[WK "&amp;$C$4&amp;" "&amp;$D$4&amp;" West.xlsx]"&amp;G$5&amp;"'!$E:$E"),INDIRECT("'[WK "&amp;$C$4&amp;" "&amp;$D$4&amp;" West.xlsx]"&amp;G$5&amp;"'!$D:$D"),$E$4,INDIRECT("'[WK "&amp;$C$4&amp;" "&amp;$D$4&amp;" West.xlsx]"&amp;G$5&amp;"'!$J:$J"),$B123)</f>
        <v>#REF!</v>
      </c>
      <c r="H123" s="154" t="e">
        <f t="shared" ca="1" si="136"/>
        <v>#REF!</v>
      </c>
      <c r="I123" s="160" t="e">
        <f t="shared" ca="1" si="136"/>
        <v>#REF!</v>
      </c>
      <c r="J123" s="154" t="e">
        <f t="shared" ca="1" si="136"/>
        <v>#REF!</v>
      </c>
      <c r="K123" s="160" t="e">
        <f t="shared" ca="1" si="136"/>
        <v>#REF!</v>
      </c>
      <c r="L123" s="154" t="e">
        <f t="shared" ca="1" si="136"/>
        <v>#REF!</v>
      </c>
      <c r="M123" s="155" t="e">
        <f t="shared" ca="1" si="136"/>
        <v>#REF!</v>
      </c>
      <c r="N123" s="156" t="e">
        <f t="shared" ca="1" si="122"/>
        <v>#REF!</v>
      </c>
      <c r="O123" s="167"/>
      <c r="P123" s="156" t="e">
        <f t="shared" ca="1" si="123"/>
        <v>#REF!</v>
      </c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spans="1:26" ht="14.25" hidden="1" customHeight="1" outlineLevel="1">
      <c r="A124" s="168"/>
      <c r="B124" s="193" t="s">
        <v>601</v>
      </c>
      <c r="C124" s="193" t="str">
        <f t="shared" si="135"/>
        <v xml:space="preserve"> Sintang</v>
      </c>
      <c r="D124" s="194" t="str">
        <f t="shared" ref="D124:D125" si="137">IFERROR(VLOOKUP($B$4&amp;C124,#REF!,2,FALSE),"")</f>
        <v/>
      </c>
      <c r="E124" s="197"/>
      <c r="F124" s="195" t="s">
        <v>602</v>
      </c>
      <c r="G124" s="153" t="e">
        <f t="shared" ref="G124:M124" ca="1" si="138">SUMIFS(INDIRECT("'[WK "&amp;$C$4&amp;" "&amp;$D$4&amp;" East.xlsx]"&amp;G$5&amp;"'!$E:$E"),INDIRECT("'[WK "&amp;$C$4&amp;" "&amp;$D$4&amp;" East.xlsx]"&amp;G$5&amp;"'!$D:$D"),$E$4,INDIRECT("'[WK "&amp;$C$4&amp;" "&amp;$D$4&amp;" East.xlsx]"&amp;G$5&amp;"'!$J:$J"),$B124)+SUMIFS(INDIRECT("'[WK "&amp;$C$4&amp;" "&amp;$D$4&amp;" West.xlsx]"&amp;G$5&amp;"'!$E:$E"),INDIRECT("'[WK "&amp;$C$4&amp;" "&amp;$D$4&amp;" West.xlsx]"&amp;G$5&amp;"'!$D:$D"),$E$4,INDIRECT("'[WK "&amp;$C$4&amp;" "&amp;$D$4&amp;" West.xlsx]"&amp;G$5&amp;"'!$J:$J"),$B124)</f>
        <v>#REF!</v>
      </c>
      <c r="H124" s="154" t="e">
        <f t="shared" ca="1" si="138"/>
        <v>#REF!</v>
      </c>
      <c r="I124" s="154" t="e">
        <f t="shared" ca="1" si="138"/>
        <v>#REF!</v>
      </c>
      <c r="J124" s="154" t="e">
        <f t="shared" ca="1" si="138"/>
        <v>#REF!</v>
      </c>
      <c r="K124" s="154" t="e">
        <f t="shared" ca="1" si="138"/>
        <v>#REF!</v>
      </c>
      <c r="L124" s="154" t="e">
        <f t="shared" ca="1" si="138"/>
        <v>#REF!</v>
      </c>
      <c r="M124" s="155" t="e">
        <f t="shared" ca="1" si="138"/>
        <v>#REF!</v>
      </c>
      <c r="N124" s="156" t="e">
        <f t="shared" ca="1" si="122"/>
        <v>#REF!</v>
      </c>
      <c r="O124" s="167"/>
      <c r="P124" s="156" t="e">
        <f t="shared" ca="1" si="123"/>
        <v>#REF!</v>
      </c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spans="1:26" ht="14.25" hidden="1" customHeight="1" outlineLevel="1">
      <c r="A125" s="168"/>
      <c r="B125" s="193" t="s">
        <v>603</v>
      </c>
      <c r="C125" s="193" t="str">
        <f t="shared" si="135"/>
        <v xml:space="preserve"> Palangkaraya</v>
      </c>
      <c r="D125" s="194" t="str">
        <f t="shared" si="137"/>
        <v/>
      </c>
      <c r="E125" s="197"/>
      <c r="F125" s="195" t="s">
        <v>604</v>
      </c>
      <c r="G125" s="153" t="e">
        <f t="shared" ref="G125:M125" ca="1" si="139">SUMIFS(INDIRECT("'[WK "&amp;$C$4&amp;" "&amp;$D$4&amp;" East.xlsx]"&amp;G$5&amp;"'!$E:$E"),INDIRECT("'[WK "&amp;$C$4&amp;" "&amp;$D$4&amp;" East.xlsx]"&amp;G$5&amp;"'!$D:$D"),$E$4,INDIRECT("'[WK "&amp;$C$4&amp;" "&amp;$D$4&amp;" East.xlsx]"&amp;G$5&amp;"'!$J:$J"),$B125)+SUMIFS(INDIRECT("'[WK "&amp;$C$4&amp;" "&amp;$D$4&amp;" West.xlsx]"&amp;G$5&amp;"'!$E:$E"),INDIRECT("'[WK "&amp;$C$4&amp;" "&amp;$D$4&amp;" West.xlsx]"&amp;G$5&amp;"'!$D:$D"),$E$4,INDIRECT("'[WK "&amp;$C$4&amp;" "&amp;$D$4&amp;" West.xlsx]"&amp;G$5&amp;"'!$J:$J"),$B125)</f>
        <v>#REF!</v>
      </c>
      <c r="H125" s="154" t="e">
        <f t="shared" ca="1" si="139"/>
        <v>#REF!</v>
      </c>
      <c r="I125" s="154" t="e">
        <f t="shared" ca="1" si="139"/>
        <v>#REF!</v>
      </c>
      <c r="J125" s="154" t="e">
        <f t="shared" ca="1" si="139"/>
        <v>#REF!</v>
      </c>
      <c r="K125" s="154" t="e">
        <f t="shared" ca="1" si="139"/>
        <v>#REF!</v>
      </c>
      <c r="L125" s="154" t="e">
        <f t="shared" ca="1" si="139"/>
        <v>#REF!</v>
      </c>
      <c r="M125" s="155" t="e">
        <f t="shared" ca="1" si="139"/>
        <v>#REF!</v>
      </c>
      <c r="N125" s="156" t="e">
        <f t="shared" ca="1" si="122"/>
        <v>#REF!</v>
      </c>
      <c r="O125" s="167"/>
      <c r="P125" s="156" t="e">
        <f t="shared" ca="1" si="123"/>
        <v>#REF!</v>
      </c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spans="1:26" ht="14.25" customHeight="1" collapsed="1">
      <c r="A126" s="162" t="s">
        <v>597</v>
      </c>
      <c r="B126" s="162"/>
      <c r="C126" s="162"/>
      <c r="D126" s="163">
        <v>1</v>
      </c>
      <c r="E126" s="163"/>
      <c r="F126" s="162" t="s">
        <v>605</v>
      </c>
      <c r="G126" s="164" t="e">
        <f t="shared" ref="G126:M126" ca="1" si="140">SUM(G123:G125)</f>
        <v>#REF!</v>
      </c>
      <c r="H126" s="165" t="e">
        <f t="shared" ca="1" si="140"/>
        <v>#REF!</v>
      </c>
      <c r="I126" s="165" t="e">
        <f t="shared" ca="1" si="140"/>
        <v>#REF!</v>
      </c>
      <c r="J126" s="165" t="e">
        <f t="shared" ca="1" si="140"/>
        <v>#REF!</v>
      </c>
      <c r="K126" s="165" t="e">
        <f t="shared" ca="1" si="140"/>
        <v>#REF!</v>
      </c>
      <c r="L126" s="165" t="e">
        <f t="shared" ca="1" si="140"/>
        <v>#REF!</v>
      </c>
      <c r="M126" s="166" t="e">
        <f t="shared" ca="1" si="140"/>
        <v>#REF!</v>
      </c>
      <c r="N126" s="165" t="e">
        <f t="shared" ca="1" si="122"/>
        <v>#REF!</v>
      </c>
      <c r="O126" s="167"/>
      <c r="P126" s="165" t="e">
        <f t="shared" ca="1" si="123"/>
        <v>#REF!</v>
      </c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spans="1:26" ht="14.25" hidden="1" customHeight="1" outlineLevel="1">
      <c r="A127" s="168"/>
      <c r="B127" s="193" t="s">
        <v>606</v>
      </c>
      <c r="C127" s="193" t="str">
        <f t="shared" ref="C127:C132" si="141">MID(F127,4,LEN(F127))</f>
        <v xml:space="preserve"> Makassar</v>
      </c>
      <c r="D127" s="194" t="s">
        <v>323</v>
      </c>
      <c r="E127" s="197" t="s">
        <v>607</v>
      </c>
      <c r="F127" s="195" t="s">
        <v>608</v>
      </c>
      <c r="G127" s="153" t="e">
        <f t="shared" ref="G127:M127" ca="1" si="142">SUMIFS(INDIRECT("'[WK "&amp;$C$4&amp;" "&amp;$D$4&amp;" East.xlsx]"&amp;G$5&amp;"'!$E:$E"),INDIRECT("'[WK "&amp;$C$4&amp;" "&amp;$D$4&amp;" East.xlsx]"&amp;G$5&amp;"'!$D:$D"),$E$4,INDIRECT("'[WK "&amp;$C$4&amp;" "&amp;$D$4&amp;" East.xlsx]"&amp;G$5&amp;"'!$J:$J"),$B127)+SUMIFS(INDIRECT("'[WK "&amp;$C$4&amp;" "&amp;$D$4&amp;" West.xlsx]"&amp;G$5&amp;"'!$E:$E"),INDIRECT("'[WK "&amp;$C$4&amp;" "&amp;$D$4&amp;" West.xlsx]"&amp;G$5&amp;"'!$D:$D"),$E$4,INDIRECT("'[WK "&amp;$C$4&amp;" "&amp;$D$4&amp;" West.xlsx]"&amp;G$5&amp;"'!$J:$J"),$B127)</f>
        <v>#REF!</v>
      </c>
      <c r="H127" s="171" t="e">
        <f t="shared" ca="1" si="142"/>
        <v>#REF!</v>
      </c>
      <c r="I127" s="160" t="e">
        <f t="shared" ca="1" si="142"/>
        <v>#REF!</v>
      </c>
      <c r="J127" s="154" t="e">
        <f t="shared" ca="1" si="142"/>
        <v>#REF!</v>
      </c>
      <c r="K127" s="171" t="e">
        <f t="shared" ca="1" si="142"/>
        <v>#REF!</v>
      </c>
      <c r="L127" s="154" t="e">
        <f t="shared" ca="1" si="142"/>
        <v>#REF!</v>
      </c>
      <c r="M127" s="155" t="e">
        <f t="shared" ca="1" si="142"/>
        <v>#REF!</v>
      </c>
      <c r="N127" s="156" t="e">
        <f t="shared" ca="1" si="122"/>
        <v>#REF!</v>
      </c>
      <c r="O127" s="167"/>
      <c r="P127" s="156" t="e">
        <f t="shared" ca="1" si="123"/>
        <v>#REF!</v>
      </c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spans="1:26" ht="14.25" hidden="1" customHeight="1" outlineLevel="1">
      <c r="A128" s="168"/>
      <c r="B128" s="193" t="s">
        <v>609</v>
      </c>
      <c r="C128" s="193" t="str">
        <f t="shared" si="141"/>
        <v xml:space="preserve"> Makassar 2</v>
      </c>
      <c r="D128" s="194" t="str">
        <f>IFERROR(VLOOKUP($B$4&amp;C128,#REF!,2,FALSE),"")</f>
        <v/>
      </c>
      <c r="E128" s="197"/>
      <c r="F128" s="195" t="s">
        <v>610</v>
      </c>
      <c r="G128" s="153" t="e">
        <f t="shared" ref="G128:M128" ca="1" si="143">SUMIFS(INDIRECT("'[WK "&amp;$C$4&amp;" "&amp;$D$4&amp;" East.xlsx]"&amp;G$5&amp;"'!$E:$E"),INDIRECT("'[WK "&amp;$C$4&amp;" "&amp;$D$4&amp;" East.xlsx]"&amp;G$5&amp;"'!$D:$D"),$E$4,INDIRECT("'[WK "&amp;$C$4&amp;" "&amp;$D$4&amp;" East.xlsx]"&amp;G$5&amp;"'!$J:$J"),$B128)+SUMIFS(INDIRECT("'[WK "&amp;$C$4&amp;" "&amp;$D$4&amp;" West.xlsx]"&amp;G$5&amp;"'!$E:$E"),INDIRECT("'[WK "&amp;$C$4&amp;" "&amp;$D$4&amp;" West.xlsx]"&amp;G$5&amp;"'!$D:$D"),$E$4,INDIRECT("'[WK "&amp;$C$4&amp;" "&amp;$D$4&amp;" West.xlsx]"&amp;G$5&amp;"'!$J:$J"),$B128)</f>
        <v>#REF!</v>
      </c>
      <c r="H128" s="154" t="e">
        <f t="shared" ca="1" si="143"/>
        <v>#REF!</v>
      </c>
      <c r="I128" s="154" t="e">
        <f t="shared" ca="1" si="143"/>
        <v>#REF!</v>
      </c>
      <c r="J128" s="154" t="e">
        <f t="shared" ca="1" si="143"/>
        <v>#REF!</v>
      </c>
      <c r="K128" s="154" t="e">
        <f t="shared" ca="1" si="143"/>
        <v>#REF!</v>
      </c>
      <c r="L128" s="154" t="e">
        <f t="shared" ca="1" si="143"/>
        <v>#REF!</v>
      </c>
      <c r="M128" s="155" t="e">
        <f t="shared" ca="1" si="143"/>
        <v>#REF!</v>
      </c>
      <c r="N128" s="156" t="e">
        <f t="shared" ca="1" si="122"/>
        <v>#REF!</v>
      </c>
      <c r="O128" s="167"/>
      <c r="P128" s="156" t="e">
        <f t="shared" ca="1" si="123"/>
        <v>#REF!</v>
      </c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spans="1:26" ht="14.25" hidden="1" customHeight="1" outlineLevel="1">
      <c r="A129" s="168"/>
      <c r="B129" s="193" t="s">
        <v>611</v>
      </c>
      <c r="C129" s="193" t="str">
        <f t="shared" si="141"/>
        <v xml:space="preserve"> Kendari &amp; EZD Bau Bau</v>
      </c>
      <c r="D129" s="194" t="s">
        <v>484</v>
      </c>
      <c r="E129" s="197" t="s">
        <v>612</v>
      </c>
      <c r="F129" s="195" t="s">
        <v>613</v>
      </c>
      <c r="G129" s="171" t="e">
        <f t="shared" ref="G129:M129" ca="1" si="144">SUMIFS(INDIRECT("'[WK "&amp;$C$4&amp;" "&amp;$D$4&amp;" East.xlsx]"&amp;G$5&amp;"'!$E:$E"),INDIRECT("'[WK "&amp;$C$4&amp;" "&amp;$D$4&amp;" East.xlsx]"&amp;G$5&amp;"'!$D:$D"),$E$4,INDIRECT("'[WK "&amp;$C$4&amp;" "&amp;$D$4&amp;" East.xlsx]"&amp;G$5&amp;"'!$J:$J"),$B129)+SUMIFS(INDIRECT("'[WK "&amp;$C$4&amp;" "&amp;$D$4&amp;" West.xlsx]"&amp;G$5&amp;"'!$E:$E"),INDIRECT("'[WK "&amp;$C$4&amp;" "&amp;$D$4&amp;" West.xlsx]"&amp;G$5&amp;"'!$D:$D"),$E$4,INDIRECT("'[WK "&amp;$C$4&amp;" "&amp;$D$4&amp;" West.xlsx]"&amp;G$5&amp;"'!$J:$J"),$B129)</f>
        <v>#REF!</v>
      </c>
      <c r="H129" s="154" t="e">
        <f t="shared" ca="1" si="144"/>
        <v>#REF!</v>
      </c>
      <c r="I129" s="154" t="e">
        <f t="shared" ca="1" si="144"/>
        <v>#REF!</v>
      </c>
      <c r="J129" s="154" t="e">
        <f t="shared" ca="1" si="144"/>
        <v>#REF!</v>
      </c>
      <c r="K129" s="154" t="e">
        <f t="shared" ca="1" si="144"/>
        <v>#REF!</v>
      </c>
      <c r="L129" s="154" t="e">
        <f t="shared" ca="1" si="144"/>
        <v>#REF!</v>
      </c>
      <c r="M129" s="155" t="e">
        <f t="shared" ca="1" si="144"/>
        <v>#REF!</v>
      </c>
      <c r="N129" s="156" t="e">
        <f t="shared" ca="1" si="122"/>
        <v>#REF!</v>
      </c>
      <c r="O129" s="167"/>
      <c r="P129" s="156" t="e">
        <f t="shared" ca="1" si="123"/>
        <v>#REF!</v>
      </c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spans="1:26" ht="14.25" hidden="1" customHeight="1" outlineLevel="1">
      <c r="A130" s="168"/>
      <c r="B130" s="193" t="s">
        <v>614</v>
      </c>
      <c r="C130" s="193" t="str">
        <f t="shared" si="141"/>
        <v xml:space="preserve"> Parepare</v>
      </c>
      <c r="D130" s="194" t="s">
        <v>484</v>
      </c>
      <c r="E130" s="197" t="s">
        <v>615</v>
      </c>
      <c r="F130" s="195" t="s">
        <v>616</v>
      </c>
      <c r="G130" s="153" t="e">
        <f t="shared" ref="G130:M130" ca="1" si="145">SUMIFS(INDIRECT("'[WK "&amp;$C$4&amp;" "&amp;$D$4&amp;" East.xlsx]"&amp;G$5&amp;"'!$E:$E"),INDIRECT("'[WK "&amp;$C$4&amp;" "&amp;$D$4&amp;" East.xlsx]"&amp;G$5&amp;"'!$D:$D"),$E$4,INDIRECT("'[WK "&amp;$C$4&amp;" "&amp;$D$4&amp;" East.xlsx]"&amp;G$5&amp;"'!$J:$J"),$B130)+SUMIFS(INDIRECT("'[WK "&amp;$C$4&amp;" "&amp;$D$4&amp;" West.xlsx]"&amp;G$5&amp;"'!$E:$E"),INDIRECT("'[WK "&amp;$C$4&amp;" "&amp;$D$4&amp;" West.xlsx]"&amp;G$5&amp;"'!$D:$D"),$E$4,INDIRECT("'[WK "&amp;$C$4&amp;" "&amp;$D$4&amp;" West.xlsx]"&amp;G$5&amp;"'!$J:$J"),$B130)</f>
        <v>#REF!</v>
      </c>
      <c r="H130" s="171" t="e">
        <f t="shared" ca="1" si="145"/>
        <v>#REF!</v>
      </c>
      <c r="I130" s="154" t="e">
        <f t="shared" ca="1" si="145"/>
        <v>#REF!</v>
      </c>
      <c r="J130" s="154" t="e">
        <f t="shared" ca="1" si="145"/>
        <v>#REF!</v>
      </c>
      <c r="K130" s="171" t="e">
        <f t="shared" ca="1" si="145"/>
        <v>#REF!</v>
      </c>
      <c r="L130" s="154" t="e">
        <f t="shared" ca="1" si="145"/>
        <v>#REF!</v>
      </c>
      <c r="M130" s="155" t="e">
        <f t="shared" ca="1" si="145"/>
        <v>#REF!</v>
      </c>
      <c r="N130" s="156" t="e">
        <f t="shared" ca="1" si="122"/>
        <v>#REF!</v>
      </c>
      <c r="O130" s="167"/>
      <c r="P130" s="156" t="e">
        <f t="shared" ca="1" si="123"/>
        <v>#REF!</v>
      </c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spans="1:26" ht="14.25" hidden="1" customHeight="1" outlineLevel="1">
      <c r="A131" s="168"/>
      <c r="B131" s="193" t="s">
        <v>617</v>
      </c>
      <c r="C131" s="193" t="str">
        <f t="shared" si="141"/>
        <v xml:space="preserve"> Palopo</v>
      </c>
      <c r="D131" s="194" t="s">
        <v>484</v>
      </c>
      <c r="E131" s="197" t="s">
        <v>615</v>
      </c>
      <c r="F131" s="195" t="s">
        <v>618</v>
      </c>
      <c r="G131" s="153" t="e">
        <f t="shared" ref="G131:M131" ca="1" si="146">SUMIFS(INDIRECT("'[WK "&amp;$C$4&amp;" "&amp;$D$4&amp;" East.xlsx]"&amp;G$5&amp;"'!$E:$E"),INDIRECT("'[WK "&amp;$C$4&amp;" "&amp;$D$4&amp;" East.xlsx]"&amp;G$5&amp;"'!$D:$D"),$E$4,INDIRECT("'[WK "&amp;$C$4&amp;" "&amp;$D$4&amp;" East.xlsx]"&amp;G$5&amp;"'!$J:$J"),$B131)+SUMIFS(INDIRECT("'[WK "&amp;$C$4&amp;" "&amp;$D$4&amp;" West.xlsx]"&amp;G$5&amp;"'!$E:$E"),INDIRECT("'[WK "&amp;$C$4&amp;" "&amp;$D$4&amp;" West.xlsx]"&amp;G$5&amp;"'!$D:$D"),$E$4,INDIRECT("'[WK "&amp;$C$4&amp;" "&amp;$D$4&amp;" West.xlsx]"&amp;G$5&amp;"'!$J:$J"),$B131)</f>
        <v>#REF!</v>
      </c>
      <c r="H131" s="154" t="e">
        <f t="shared" ca="1" si="146"/>
        <v>#REF!</v>
      </c>
      <c r="I131" s="154" t="e">
        <f t="shared" ca="1" si="146"/>
        <v>#REF!</v>
      </c>
      <c r="J131" s="154" t="e">
        <f t="shared" ca="1" si="146"/>
        <v>#REF!</v>
      </c>
      <c r="K131" s="171" t="e">
        <f t="shared" ca="1" si="146"/>
        <v>#REF!</v>
      </c>
      <c r="L131" s="154" t="e">
        <f t="shared" ca="1" si="146"/>
        <v>#REF!</v>
      </c>
      <c r="M131" s="155" t="e">
        <f t="shared" ca="1" si="146"/>
        <v>#REF!</v>
      </c>
      <c r="N131" s="156" t="e">
        <f t="shared" ca="1" si="122"/>
        <v>#REF!</v>
      </c>
      <c r="O131" s="167"/>
      <c r="P131" s="156" t="e">
        <f t="shared" ca="1" si="123"/>
        <v>#REF!</v>
      </c>
      <c r="Q131" s="125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spans="1:26" ht="14.25" hidden="1" customHeight="1" outlineLevel="1">
      <c r="A132" s="168"/>
      <c r="B132" s="193" t="s">
        <v>619</v>
      </c>
      <c r="C132" s="193" t="str">
        <f t="shared" si="141"/>
        <v xml:space="preserve"> Palu</v>
      </c>
      <c r="D132" s="194" t="s">
        <v>484</v>
      </c>
      <c r="E132" s="197" t="s">
        <v>620</v>
      </c>
      <c r="F132" s="195" t="s">
        <v>621</v>
      </c>
      <c r="G132" s="153" t="e">
        <f t="shared" ref="G132:M132" ca="1" si="147">SUMIFS(INDIRECT("'[WK "&amp;$C$4&amp;" "&amp;$D$4&amp;" East.xlsx]"&amp;G$5&amp;"'!$E:$E"),INDIRECT("'[WK "&amp;$C$4&amp;" "&amp;$D$4&amp;" East.xlsx]"&amp;G$5&amp;"'!$D:$D"),$E$4,INDIRECT("'[WK "&amp;$C$4&amp;" "&amp;$D$4&amp;" East.xlsx]"&amp;G$5&amp;"'!$J:$J"),$B132)+SUMIFS(INDIRECT("'[WK "&amp;$C$4&amp;" "&amp;$D$4&amp;" West.xlsx]"&amp;G$5&amp;"'!$E:$E"),INDIRECT("'[WK "&amp;$C$4&amp;" "&amp;$D$4&amp;" West.xlsx]"&amp;G$5&amp;"'!$D:$D"),$E$4,INDIRECT("'[WK "&amp;$C$4&amp;" "&amp;$D$4&amp;" West.xlsx]"&amp;G$5&amp;"'!$J:$J"),$B132)</f>
        <v>#REF!</v>
      </c>
      <c r="H132" s="171" t="e">
        <f t="shared" ca="1" si="147"/>
        <v>#REF!</v>
      </c>
      <c r="I132" s="154" t="e">
        <f t="shared" ca="1" si="147"/>
        <v>#REF!</v>
      </c>
      <c r="J132" s="154" t="e">
        <f t="shared" ca="1" si="147"/>
        <v>#REF!</v>
      </c>
      <c r="K132" s="154" t="e">
        <f t="shared" ca="1" si="147"/>
        <v>#REF!</v>
      </c>
      <c r="L132" s="154" t="e">
        <f t="shared" ca="1" si="147"/>
        <v>#REF!</v>
      </c>
      <c r="M132" s="155" t="e">
        <f t="shared" ca="1" si="147"/>
        <v>#REF!</v>
      </c>
      <c r="N132" s="156" t="e">
        <f t="shared" ca="1" si="122"/>
        <v>#REF!</v>
      </c>
      <c r="O132" s="167"/>
      <c r="P132" s="156" t="e">
        <f t="shared" ca="1" si="123"/>
        <v>#REF!</v>
      </c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spans="1:26" ht="14.25" customHeight="1" collapsed="1">
      <c r="A133" s="162" t="s">
        <v>622</v>
      </c>
      <c r="B133" s="162"/>
      <c r="C133" s="162"/>
      <c r="D133" s="163">
        <v>1</v>
      </c>
      <c r="E133" s="163"/>
      <c r="F133" s="162" t="s">
        <v>623</v>
      </c>
      <c r="G133" s="164" t="e">
        <f t="shared" ref="G133:M133" ca="1" si="148">SUM(G127:G132)</f>
        <v>#REF!</v>
      </c>
      <c r="H133" s="165" t="e">
        <f t="shared" ca="1" si="148"/>
        <v>#REF!</v>
      </c>
      <c r="I133" s="165" t="e">
        <f t="shared" ca="1" si="148"/>
        <v>#REF!</v>
      </c>
      <c r="J133" s="165" t="e">
        <f t="shared" ca="1" si="148"/>
        <v>#REF!</v>
      </c>
      <c r="K133" s="165" t="e">
        <f t="shared" ca="1" si="148"/>
        <v>#REF!</v>
      </c>
      <c r="L133" s="165" t="e">
        <f t="shared" ca="1" si="148"/>
        <v>#REF!</v>
      </c>
      <c r="M133" s="166" t="e">
        <f t="shared" ca="1" si="148"/>
        <v>#REF!</v>
      </c>
      <c r="N133" s="165" t="e">
        <f t="shared" ca="1" si="122"/>
        <v>#REF!</v>
      </c>
      <c r="O133" s="167"/>
      <c r="P133" s="165" t="e">
        <f t="shared" ca="1" si="123"/>
        <v>#REF!</v>
      </c>
      <c r="Q133" s="125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spans="1:26" ht="14.25" hidden="1" customHeight="1" outlineLevel="1">
      <c r="A134" s="168"/>
      <c r="B134" s="193" t="s">
        <v>624</v>
      </c>
      <c r="C134" s="193" t="str">
        <f t="shared" ref="C134:C140" si="149">MID(F134,4,LEN(F134))</f>
        <v xml:space="preserve"> Manado</v>
      </c>
      <c r="D134" s="194" t="s">
        <v>484</v>
      </c>
      <c r="E134" s="197" t="s">
        <v>615</v>
      </c>
      <c r="F134" s="195" t="s">
        <v>625</v>
      </c>
      <c r="G134" s="153" t="e">
        <f t="shared" ref="G134:M134" ca="1" si="150">SUMIFS(INDIRECT("'[WK "&amp;$C$4&amp;" "&amp;$D$4&amp;" East.xlsx]"&amp;G$5&amp;"'!$E:$E"),INDIRECT("'[WK "&amp;$C$4&amp;" "&amp;$D$4&amp;" East.xlsx]"&amp;G$5&amp;"'!$D:$D"),$E$4,INDIRECT("'[WK "&amp;$C$4&amp;" "&amp;$D$4&amp;" East.xlsx]"&amp;G$5&amp;"'!$J:$J"),$B134)+SUMIFS(INDIRECT("'[WK "&amp;$C$4&amp;" "&amp;$D$4&amp;" West.xlsx]"&amp;G$5&amp;"'!$E:$E"),INDIRECT("'[WK "&amp;$C$4&amp;" "&amp;$D$4&amp;" West.xlsx]"&amp;G$5&amp;"'!$D:$D"),$E$4,INDIRECT("'[WK "&amp;$C$4&amp;" "&amp;$D$4&amp;" West.xlsx]"&amp;G$5&amp;"'!$J:$J"),$B134)</f>
        <v>#REF!</v>
      </c>
      <c r="H134" s="171" t="e">
        <f t="shared" ca="1" si="150"/>
        <v>#REF!</v>
      </c>
      <c r="I134" s="154" t="e">
        <f t="shared" ca="1" si="150"/>
        <v>#REF!</v>
      </c>
      <c r="J134" s="171" t="e">
        <f t="shared" ca="1" si="150"/>
        <v>#REF!</v>
      </c>
      <c r="K134" s="154" t="e">
        <f t="shared" ca="1" si="150"/>
        <v>#REF!</v>
      </c>
      <c r="L134" s="154" t="e">
        <f t="shared" ca="1" si="150"/>
        <v>#REF!</v>
      </c>
      <c r="M134" s="155" t="e">
        <f t="shared" ca="1" si="150"/>
        <v>#REF!</v>
      </c>
      <c r="N134" s="156" t="e">
        <f t="shared" ca="1" si="122"/>
        <v>#REF!</v>
      </c>
      <c r="O134" s="167"/>
      <c r="P134" s="156" t="e">
        <f t="shared" ca="1" si="123"/>
        <v>#REF!</v>
      </c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spans="1:26" ht="14.25" hidden="1" customHeight="1" outlineLevel="1">
      <c r="A135" s="168"/>
      <c r="B135" s="193" t="s">
        <v>626</v>
      </c>
      <c r="C135" s="193" t="str">
        <f t="shared" si="149"/>
        <v xml:space="preserve"> Gorontalo</v>
      </c>
      <c r="D135" s="194" t="s">
        <v>484</v>
      </c>
      <c r="E135" s="197" t="s">
        <v>627</v>
      </c>
      <c r="F135" s="195" t="s">
        <v>628</v>
      </c>
      <c r="G135" s="174" t="e">
        <f t="shared" ref="G135:M135" ca="1" si="151">SUMIFS(INDIRECT("'[WK "&amp;$C$4&amp;" "&amp;$D$4&amp;" East.xlsx]"&amp;G$5&amp;"'!$E:$E"),INDIRECT("'[WK "&amp;$C$4&amp;" "&amp;$D$4&amp;" East.xlsx]"&amp;G$5&amp;"'!$D:$D"),$E$4,INDIRECT("'[WK "&amp;$C$4&amp;" "&amp;$D$4&amp;" East.xlsx]"&amp;G$5&amp;"'!$J:$J"),$B135)+SUMIFS(INDIRECT("'[WK "&amp;$C$4&amp;" "&amp;$D$4&amp;" West.xlsx]"&amp;G$5&amp;"'!$E:$E"),INDIRECT("'[WK "&amp;$C$4&amp;" "&amp;$D$4&amp;" West.xlsx]"&amp;G$5&amp;"'!$D:$D"),$E$4,INDIRECT("'[WK "&amp;$C$4&amp;" "&amp;$D$4&amp;" West.xlsx]"&amp;G$5&amp;"'!$J:$J"),$B135)</f>
        <v>#REF!</v>
      </c>
      <c r="H135" s="154" t="e">
        <f t="shared" ca="1" si="151"/>
        <v>#REF!</v>
      </c>
      <c r="I135" s="154" t="e">
        <f t="shared" ca="1" si="151"/>
        <v>#REF!</v>
      </c>
      <c r="J135" s="171" t="e">
        <f t="shared" ca="1" si="151"/>
        <v>#REF!</v>
      </c>
      <c r="K135" s="154" t="e">
        <f t="shared" ca="1" si="151"/>
        <v>#REF!</v>
      </c>
      <c r="L135" s="154" t="e">
        <f t="shared" ca="1" si="151"/>
        <v>#REF!</v>
      </c>
      <c r="M135" s="155" t="e">
        <f t="shared" ca="1" si="151"/>
        <v>#REF!</v>
      </c>
      <c r="N135" s="156" t="e">
        <f t="shared" ca="1" si="122"/>
        <v>#REF!</v>
      </c>
      <c r="O135" s="167"/>
      <c r="P135" s="156" t="e">
        <f t="shared" ca="1" si="123"/>
        <v>#REF!</v>
      </c>
      <c r="Q135" s="125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spans="1:26" ht="14.25" hidden="1" customHeight="1" outlineLevel="1">
      <c r="A136" s="168"/>
      <c r="B136" s="193" t="s">
        <v>629</v>
      </c>
      <c r="C136" s="193" t="str">
        <f t="shared" si="149"/>
        <v xml:space="preserve"> Ternate</v>
      </c>
      <c r="D136" s="194" t="s">
        <v>484</v>
      </c>
      <c r="E136" s="197" t="s">
        <v>627</v>
      </c>
      <c r="F136" s="195" t="s">
        <v>630</v>
      </c>
      <c r="G136" s="153" t="e">
        <f t="shared" ref="G136:M136" ca="1" si="152">SUMIFS(INDIRECT("'[WK "&amp;$C$4&amp;" "&amp;$D$4&amp;" East.xlsx]"&amp;G$5&amp;"'!$E:$E"),INDIRECT("'[WK "&amp;$C$4&amp;" "&amp;$D$4&amp;" East.xlsx]"&amp;G$5&amp;"'!$D:$D"),$E$4,INDIRECT("'[WK "&amp;$C$4&amp;" "&amp;$D$4&amp;" East.xlsx]"&amp;G$5&amp;"'!$J:$J"),$B136)+SUMIFS(INDIRECT("'[WK "&amp;$C$4&amp;" "&amp;$D$4&amp;" West.xlsx]"&amp;G$5&amp;"'!$E:$E"),INDIRECT("'[WK "&amp;$C$4&amp;" "&amp;$D$4&amp;" West.xlsx]"&amp;G$5&amp;"'!$D:$D"),$E$4,INDIRECT("'[WK "&amp;$C$4&amp;" "&amp;$D$4&amp;" West.xlsx]"&amp;G$5&amp;"'!$J:$J"),$B136)</f>
        <v>#REF!</v>
      </c>
      <c r="H136" s="154" t="e">
        <f t="shared" ca="1" si="152"/>
        <v>#REF!</v>
      </c>
      <c r="I136" s="171" t="e">
        <f t="shared" ca="1" si="152"/>
        <v>#REF!</v>
      </c>
      <c r="J136" s="154" t="e">
        <f t="shared" ca="1" si="152"/>
        <v>#REF!</v>
      </c>
      <c r="K136" s="154" t="e">
        <f t="shared" ca="1" si="152"/>
        <v>#REF!</v>
      </c>
      <c r="L136" s="154" t="e">
        <f t="shared" ca="1" si="152"/>
        <v>#REF!</v>
      </c>
      <c r="M136" s="155" t="e">
        <f t="shared" ca="1" si="152"/>
        <v>#REF!</v>
      </c>
      <c r="N136" s="156" t="e">
        <f t="shared" ca="1" si="122"/>
        <v>#REF!</v>
      </c>
      <c r="O136" s="167"/>
      <c r="P136" s="156" t="e">
        <f t="shared" ca="1" si="123"/>
        <v>#REF!</v>
      </c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spans="1:26" ht="14.25" hidden="1" customHeight="1" outlineLevel="1">
      <c r="A137" s="168"/>
      <c r="B137" s="193" t="s">
        <v>631</v>
      </c>
      <c r="C137" s="193" t="str">
        <f t="shared" si="149"/>
        <v xml:space="preserve"> Ambon</v>
      </c>
      <c r="D137" s="194" t="s">
        <v>484</v>
      </c>
      <c r="E137" s="197" t="s">
        <v>627</v>
      </c>
      <c r="F137" s="195" t="s">
        <v>632</v>
      </c>
      <c r="G137" s="171" t="e">
        <f t="shared" ref="G137:M137" ca="1" si="153">SUMIFS(INDIRECT("'[WK "&amp;$C$4&amp;" "&amp;$D$4&amp;" East.xlsx]"&amp;G$5&amp;"'!$E:$E"),INDIRECT("'[WK "&amp;$C$4&amp;" "&amp;$D$4&amp;" East.xlsx]"&amp;G$5&amp;"'!$D:$D"),$E$4,INDIRECT("'[WK "&amp;$C$4&amp;" "&amp;$D$4&amp;" East.xlsx]"&amp;G$5&amp;"'!$J:$J"),$B137)+SUMIFS(INDIRECT("'[WK "&amp;$C$4&amp;" "&amp;$D$4&amp;" West.xlsx]"&amp;G$5&amp;"'!$E:$E"),INDIRECT("'[WK "&amp;$C$4&amp;" "&amp;$D$4&amp;" West.xlsx]"&amp;G$5&amp;"'!$D:$D"),$E$4,INDIRECT("'[WK "&amp;$C$4&amp;" "&amp;$D$4&amp;" West.xlsx]"&amp;G$5&amp;"'!$J:$J"),$B137)</f>
        <v>#REF!</v>
      </c>
      <c r="H137" s="154" t="e">
        <f t="shared" ca="1" si="153"/>
        <v>#REF!</v>
      </c>
      <c r="I137" s="154" t="e">
        <f t="shared" ca="1" si="153"/>
        <v>#REF!</v>
      </c>
      <c r="J137" s="154" t="e">
        <f t="shared" ca="1" si="153"/>
        <v>#REF!</v>
      </c>
      <c r="K137" s="171" t="e">
        <f t="shared" ca="1" si="153"/>
        <v>#REF!</v>
      </c>
      <c r="L137" s="154" t="e">
        <f t="shared" ca="1" si="153"/>
        <v>#REF!</v>
      </c>
      <c r="M137" s="155" t="e">
        <f t="shared" ca="1" si="153"/>
        <v>#REF!</v>
      </c>
      <c r="N137" s="156" t="e">
        <f t="shared" ca="1" si="122"/>
        <v>#REF!</v>
      </c>
      <c r="O137" s="167"/>
      <c r="P137" s="156" t="e">
        <f t="shared" ca="1" si="123"/>
        <v>#REF!</v>
      </c>
      <c r="Q137" s="125"/>
      <c r="R137" s="125"/>
      <c r="S137" s="125"/>
      <c r="T137" s="125"/>
      <c r="U137" s="125"/>
      <c r="V137" s="125"/>
      <c r="W137" s="125"/>
      <c r="X137" s="125"/>
      <c r="Y137" s="125"/>
      <c r="Z137" s="125"/>
    </row>
    <row r="138" spans="1:26" ht="14.25" hidden="1" customHeight="1" outlineLevel="1">
      <c r="A138" s="168"/>
      <c r="B138" s="193" t="s">
        <v>633</v>
      </c>
      <c r="C138" s="193" t="str">
        <f t="shared" si="149"/>
        <v xml:space="preserve"> Tual</v>
      </c>
      <c r="D138" s="194" t="s">
        <v>484</v>
      </c>
      <c r="E138" s="197" t="s">
        <v>634</v>
      </c>
      <c r="F138" s="195" t="s">
        <v>635</v>
      </c>
      <c r="G138" s="153" t="e">
        <f t="shared" ref="G138:M138" ca="1" si="154">SUMIFS(INDIRECT("'[WK "&amp;$C$4&amp;" "&amp;$D$4&amp;" East.xlsx]"&amp;G$5&amp;"'!$E:$E"),INDIRECT("'[WK "&amp;$C$4&amp;" "&amp;$D$4&amp;" East.xlsx]"&amp;G$5&amp;"'!$D:$D"),$E$4,INDIRECT("'[WK "&amp;$C$4&amp;" "&amp;$D$4&amp;" East.xlsx]"&amp;G$5&amp;"'!$J:$J"),$B138)+SUMIFS(INDIRECT("'[WK "&amp;$C$4&amp;" "&amp;$D$4&amp;" West.xlsx]"&amp;G$5&amp;"'!$E:$E"),INDIRECT("'[WK "&amp;$C$4&amp;" "&amp;$D$4&amp;" West.xlsx]"&amp;G$5&amp;"'!$D:$D"),$E$4,INDIRECT("'[WK "&amp;$C$4&amp;" "&amp;$D$4&amp;" West.xlsx]"&amp;G$5&amp;"'!$J:$J"),$B138)</f>
        <v>#REF!</v>
      </c>
      <c r="H138" s="154" t="e">
        <f t="shared" ca="1" si="154"/>
        <v>#REF!</v>
      </c>
      <c r="I138" s="154" t="e">
        <f t="shared" ca="1" si="154"/>
        <v>#REF!</v>
      </c>
      <c r="J138" s="154" t="e">
        <f t="shared" ca="1" si="154"/>
        <v>#REF!</v>
      </c>
      <c r="K138" s="171" t="e">
        <f t="shared" ca="1" si="154"/>
        <v>#REF!</v>
      </c>
      <c r="L138" s="154" t="e">
        <f t="shared" ca="1" si="154"/>
        <v>#REF!</v>
      </c>
      <c r="M138" s="155" t="e">
        <f t="shared" ca="1" si="154"/>
        <v>#REF!</v>
      </c>
      <c r="N138" s="156" t="e">
        <f t="shared" ca="1" si="122"/>
        <v>#REF!</v>
      </c>
      <c r="O138" s="167"/>
      <c r="P138" s="156" t="e">
        <f t="shared" ca="1" si="123"/>
        <v>#REF!</v>
      </c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spans="1:26" ht="14.25" hidden="1" customHeight="1" outlineLevel="1">
      <c r="A139" s="168"/>
      <c r="B139" s="193" t="s">
        <v>636</v>
      </c>
      <c r="C139" s="193" t="str">
        <f t="shared" si="149"/>
        <v xml:space="preserve"> Papua</v>
      </c>
      <c r="D139" s="194" t="s">
        <v>484</v>
      </c>
      <c r="E139" s="198" t="s">
        <v>637</v>
      </c>
      <c r="F139" s="195" t="s">
        <v>638</v>
      </c>
      <c r="G139" s="171" t="e">
        <f t="shared" ref="G139:M139" ca="1" si="155">SUMIFS(INDIRECT("'[WK "&amp;$C$4&amp;" "&amp;$D$4&amp;" East.xlsx]"&amp;G$5&amp;"'!$E:$E"),INDIRECT("'[WK "&amp;$C$4&amp;" "&amp;$D$4&amp;" East.xlsx]"&amp;G$5&amp;"'!$D:$D"),$E$4,INDIRECT("'[WK "&amp;$C$4&amp;" "&amp;$D$4&amp;" East.xlsx]"&amp;G$5&amp;"'!$J:$J"),$B139)+SUMIFS(INDIRECT("'[WK "&amp;$C$4&amp;" "&amp;$D$4&amp;" West.xlsx]"&amp;G$5&amp;"'!$E:$E"),INDIRECT("'[WK "&amp;$C$4&amp;" "&amp;$D$4&amp;" West.xlsx]"&amp;G$5&amp;"'!$D:$D"),$E$4,INDIRECT("'[WK "&amp;$C$4&amp;" "&amp;$D$4&amp;" West.xlsx]"&amp;G$5&amp;"'!$J:$J"),$B139)</f>
        <v>#REF!</v>
      </c>
      <c r="H139" s="154" t="e">
        <f t="shared" ca="1" si="155"/>
        <v>#REF!</v>
      </c>
      <c r="I139" s="154" t="e">
        <f t="shared" ca="1" si="155"/>
        <v>#REF!</v>
      </c>
      <c r="J139" s="154" t="e">
        <f t="shared" ca="1" si="155"/>
        <v>#REF!</v>
      </c>
      <c r="K139" s="171" t="e">
        <f t="shared" ca="1" si="155"/>
        <v>#REF!</v>
      </c>
      <c r="L139" s="154" t="e">
        <f t="shared" ca="1" si="155"/>
        <v>#REF!</v>
      </c>
      <c r="M139" s="155" t="e">
        <f t="shared" ca="1" si="155"/>
        <v>#REF!</v>
      </c>
      <c r="N139" s="156" t="e">
        <f t="shared" ca="1" si="122"/>
        <v>#REF!</v>
      </c>
      <c r="O139" s="167"/>
      <c r="P139" s="156" t="e">
        <f t="shared" ca="1" si="123"/>
        <v>#REF!</v>
      </c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spans="1:26" ht="14.25" hidden="1" customHeight="1" outlineLevel="1">
      <c r="A140" s="168"/>
      <c r="B140" s="193" t="s">
        <v>639</v>
      </c>
      <c r="C140" s="193" t="str">
        <f t="shared" si="149"/>
        <v xml:space="preserve"> Sorong</v>
      </c>
      <c r="D140" s="194" t="s">
        <v>484</v>
      </c>
      <c r="E140" s="197" t="s">
        <v>640</v>
      </c>
      <c r="F140" s="199" t="s">
        <v>641</v>
      </c>
      <c r="G140" s="153" t="e">
        <f t="shared" ref="G140:M140" ca="1" si="156">SUMIFS(INDIRECT("'[WK "&amp;$C$4&amp;" "&amp;$D$4&amp;" East.xlsx]"&amp;G$5&amp;"'!$E:$E"),INDIRECT("'[WK "&amp;$C$4&amp;" "&amp;$D$4&amp;" East.xlsx]"&amp;G$5&amp;"'!$D:$D"),$E$4,INDIRECT("'[WK "&amp;$C$4&amp;" "&amp;$D$4&amp;" East.xlsx]"&amp;G$5&amp;"'!$J:$J"),$B140)+SUMIFS(INDIRECT("'[WK "&amp;$C$4&amp;" "&amp;$D$4&amp;" West.xlsx]"&amp;G$5&amp;"'!$E:$E"),INDIRECT("'[WK "&amp;$C$4&amp;" "&amp;$D$4&amp;" West.xlsx]"&amp;G$5&amp;"'!$D:$D"),$E$4,INDIRECT("'[WK "&amp;$C$4&amp;" "&amp;$D$4&amp;" West.xlsx]"&amp;G$5&amp;"'!$J:$J"),$B140)</f>
        <v>#REF!</v>
      </c>
      <c r="H140" s="171" t="e">
        <f t="shared" ca="1" si="156"/>
        <v>#REF!</v>
      </c>
      <c r="I140" s="154" t="e">
        <f t="shared" ca="1" si="156"/>
        <v>#REF!</v>
      </c>
      <c r="J140" s="154" t="e">
        <f t="shared" ca="1" si="156"/>
        <v>#REF!</v>
      </c>
      <c r="K140" s="171" t="e">
        <f t="shared" ca="1" si="156"/>
        <v>#REF!</v>
      </c>
      <c r="L140" s="154" t="e">
        <f t="shared" ca="1" si="156"/>
        <v>#REF!</v>
      </c>
      <c r="M140" s="155" t="e">
        <f t="shared" ca="1" si="156"/>
        <v>#REF!</v>
      </c>
      <c r="N140" s="156" t="e">
        <f t="shared" ca="1" si="122"/>
        <v>#REF!</v>
      </c>
      <c r="O140" s="167"/>
      <c r="P140" s="156" t="e">
        <f t="shared" ca="1" si="123"/>
        <v>#REF!</v>
      </c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spans="1:26" ht="14.25" customHeight="1" collapsed="1">
      <c r="A141" s="162" t="s">
        <v>642</v>
      </c>
      <c r="B141" s="162"/>
      <c r="C141" s="162"/>
      <c r="D141" s="163">
        <v>1</v>
      </c>
      <c r="E141" s="163"/>
      <c r="F141" s="162" t="s">
        <v>643</v>
      </c>
      <c r="G141" s="164" t="e">
        <f t="shared" ref="G141:M141" ca="1" si="157">SUM(G134:G140)</f>
        <v>#REF!</v>
      </c>
      <c r="H141" s="165" t="e">
        <f t="shared" ca="1" si="157"/>
        <v>#REF!</v>
      </c>
      <c r="I141" s="165" t="e">
        <f t="shared" ca="1" si="157"/>
        <v>#REF!</v>
      </c>
      <c r="J141" s="165" t="e">
        <f t="shared" ca="1" si="157"/>
        <v>#REF!</v>
      </c>
      <c r="K141" s="165" t="e">
        <f t="shared" ca="1" si="157"/>
        <v>#REF!</v>
      </c>
      <c r="L141" s="165" t="e">
        <f t="shared" ca="1" si="157"/>
        <v>#REF!</v>
      </c>
      <c r="M141" s="166" t="e">
        <f t="shared" ca="1" si="157"/>
        <v>#REF!</v>
      </c>
      <c r="N141" s="165" t="e">
        <f t="shared" ca="1" si="122"/>
        <v>#REF!</v>
      </c>
      <c r="O141" s="167"/>
      <c r="P141" s="165" t="e">
        <f t="shared" ca="1" si="123"/>
        <v>#REF!</v>
      </c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spans="1:26" ht="14.25" customHeight="1">
      <c r="A142" s="162"/>
      <c r="B142" s="162"/>
      <c r="C142" s="162"/>
      <c r="D142" s="163">
        <v>1</v>
      </c>
      <c r="E142" s="163"/>
      <c r="F142" s="162" t="s">
        <v>291</v>
      </c>
      <c r="G142" s="164" t="e">
        <f t="shared" ref="G142:M142" ca="1" si="158">SUM(G20,G30,G38,G47,G57,G67,G81,G89,G96,G107,G114,G122,G126,G133,G141)</f>
        <v>#REF!</v>
      </c>
      <c r="H142" s="165" t="e">
        <f t="shared" ca="1" si="158"/>
        <v>#REF!</v>
      </c>
      <c r="I142" s="165" t="e">
        <f t="shared" ca="1" si="158"/>
        <v>#REF!</v>
      </c>
      <c r="J142" s="165" t="e">
        <f t="shared" ca="1" si="158"/>
        <v>#REF!</v>
      </c>
      <c r="K142" s="165" t="e">
        <f t="shared" ca="1" si="158"/>
        <v>#REF!</v>
      </c>
      <c r="L142" s="165" t="e">
        <f t="shared" ca="1" si="158"/>
        <v>#REF!</v>
      </c>
      <c r="M142" s="166" t="e">
        <f t="shared" ca="1" si="158"/>
        <v>#REF!</v>
      </c>
      <c r="N142" s="165" t="e">
        <f t="shared" ca="1" si="122"/>
        <v>#REF!</v>
      </c>
      <c r="O142" s="167"/>
      <c r="P142" s="165" t="e">
        <f t="shared" ca="1" si="123"/>
        <v>#REF!</v>
      </c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spans="1:26" ht="14.25" customHeight="1">
      <c r="A143" s="136"/>
      <c r="B143" s="125"/>
      <c r="C143" s="125"/>
      <c r="D143" s="126"/>
      <c r="E143" s="126"/>
      <c r="F143" s="125"/>
      <c r="G143" s="200"/>
      <c r="H143" s="200"/>
      <c r="I143" s="200"/>
      <c r="J143" s="200"/>
      <c r="K143" s="200"/>
      <c r="L143" s="200"/>
      <c r="M143" s="200"/>
      <c r="N143" s="129"/>
      <c r="O143" s="167"/>
      <c r="P143" s="129"/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spans="1:26" ht="14.25" customHeight="1">
      <c r="A144" s="125"/>
      <c r="B144" s="125"/>
      <c r="C144" s="125"/>
      <c r="D144" s="126"/>
      <c r="E144" s="126"/>
      <c r="F144" s="125"/>
      <c r="G144" s="126"/>
      <c r="H144" s="126"/>
      <c r="I144" s="126"/>
      <c r="J144" s="126"/>
      <c r="K144" s="126"/>
      <c r="L144" s="126"/>
      <c r="M144" s="126"/>
      <c r="N144" s="129"/>
      <c r="O144" s="167"/>
      <c r="P144" s="129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</row>
    <row r="145" spans="1:26" ht="14.25" customHeight="1">
      <c r="A145" s="125"/>
      <c r="B145" s="125"/>
      <c r="C145" s="125"/>
      <c r="D145" s="126"/>
      <c r="E145" s="126"/>
      <c r="F145" s="125"/>
      <c r="G145" s="126"/>
      <c r="H145" s="126"/>
      <c r="I145" s="126"/>
      <c r="J145" s="126"/>
      <c r="K145" s="126"/>
      <c r="L145" s="126"/>
      <c r="M145" s="126"/>
      <c r="N145" s="129"/>
      <c r="O145" s="167"/>
      <c r="P145" s="129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</row>
    <row r="146" spans="1:26" ht="14.25" customHeight="1">
      <c r="A146" s="125"/>
      <c r="B146" s="125"/>
      <c r="C146" s="125"/>
      <c r="D146" s="126"/>
      <c r="E146" s="126"/>
      <c r="F146" s="125"/>
      <c r="G146" s="126"/>
      <c r="H146" s="126"/>
      <c r="I146" s="126"/>
      <c r="J146" s="126"/>
      <c r="K146" s="126"/>
      <c r="L146" s="126"/>
      <c r="M146" s="126"/>
      <c r="N146" s="129"/>
      <c r="O146" s="167"/>
      <c r="P146" s="129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</row>
    <row r="147" spans="1:26" ht="14.25" customHeight="1">
      <c r="A147" s="125"/>
      <c r="B147" s="125"/>
      <c r="C147" s="125"/>
      <c r="D147" s="126"/>
      <c r="E147" s="126"/>
      <c r="F147" s="125"/>
      <c r="G147" s="126"/>
      <c r="H147" s="126"/>
      <c r="I147" s="126"/>
      <c r="J147" s="126"/>
      <c r="K147" s="126"/>
      <c r="L147" s="126"/>
      <c r="M147" s="126"/>
      <c r="N147" s="129"/>
      <c r="O147" s="167"/>
      <c r="P147" s="129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</row>
    <row r="148" spans="1:26" ht="14.25" customHeight="1">
      <c r="A148" s="125"/>
      <c r="B148" s="125"/>
      <c r="C148" s="125"/>
      <c r="D148" s="126"/>
      <c r="E148" s="126"/>
      <c r="F148" s="125"/>
      <c r="G148" s="126"/>
      <c r="H148" s="126"/>
      <c r="I148" s="126"/>
      <c r="J148" s="126"/>
      <c r="K148" s="126"/>
      <c r="L148" s="126"/>
      <c r="M148" s="126"/>
      <c r="N148" s="129"/>
      <c r="O148" s="167"/>
      <c r="P148" s="129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</row>
    <row r="149" spans="1:26" ht="14.25" customHeight="1">
      <c r="A149" s="125"/>
      <c r="B149" s="125"/>
      <c r="C149" s="125"/>
      <c r="D149" s="126"/>
      <c r="E149" s="126"/>
      <c r="F149" s="125"/>
      <c r="G149" s="126"/>
      <c r="H149" s="126"/>
      <c r="I149" s="126"/>
      <c r="J149" s="126"/>
      <c r="K149" s="126"/>
      <c r="L149" s="126"/>
      <c r="M149" s="126"/>
      <c r="N149" s="129"/>
      <c r="O149" s="167"/>
      <c r="P149" s="129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</row>
    <row r="150" spans="1:26" ht="14.25" customHeight="1">
      <c r="A150" s="125"/>
      <c r="B150" s="125"/>
      <c r="C150" s="125"/>
      <c r="D150" s="126"/>
      <c r="E150" s="126"/>
      <c r="F150" s="125"/>
      <c r="G150" s="126"/>
      <c r="H150" s="126"/>
      <c r="I150" s="126"/>
      <c r="J150" s="126"/>
      <c r="K150" s="126"/>
      <c r="L150" s="126"/>
      <c r="M150" s="126"/>
      <c r="N150" s="129"/>
      <c r="O150" s="167"/>
      <c r="P150" s="129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</row>
    <row r="151" spans="1:26" ht="14.25" customHeight="1">
      <c r="A151" s="125"/>
      <c r="B151" s="125"/>
      <c r="C151" s="125"/>
      <c r="D151" s="126"/>
      <c r="E151" s="126"/>
      <c r="F151" s="125"/>
      <c r="G151" s="126"/>
      <c r="H151" s="126"/>
      <c r="I151" s="126"/>
      <c r="J151" s="126"/>
      <c r="K151" s="126"/>
      <c r="L151" s="126"/>
      <c r="M151" s="126"/>
      <c r="N151" s="129"/>
      <c r="O151" s="167"/>
      <c r="P151" s="129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</row>
    <row r="152" spans="1:26" ht="14.25" customHeight="1">
      <c r="A152" s="125"/>
      <c r="B152" s="125"/>
      <c r="C152" s="125"/>
      <c r="D152" s="126"/>
      <c r="E152" s="126"/>
      <c r="F152" s="125"/>
      <c r="G152" s="126"/>
      <c r="H152" s="126"/>
      <c r="I152" s="126"/>
      <c r="J152" s="126"/>
      <c r="K152" s="126"/>
      <c r="L152" s="126"/>
      <c r="M152" s="126"/>
      <c r="N152" s="129"/>
      <c r="O152" s="167"/>
      <c r="P152" s="129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</row>
    <row r="153" spans="1:26" ht="14.25" customHeight="1">
      <c r="A153" s="125"/>
      <c r="B153" s="125"/>
      <c r="C153" s="125"/>
      <c r="D153" s="126"/>
      <c r="E153" s="126"/>
      <c r="F153" s="125"/>
      <c r="G153" s="126"/>
      <c r="H153" s="126"/>
      <c r="I153" s="126"/>
      <c r="J153" s="126"/>
      <c r="K153" s="126"/>
      <c r="L153" s="126"/>
      <c r="M153" s="126"/>
      <c r="N153" s="129"/>
      <c r="O153" s="167"/>
      <c r="P153" s="129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</row>
    <row r="154" spans="1:26" ht="14.25" customHeight="1">
      <c r="A154" s="125"/>
      <c r="B154" s="125"/>
      <c r="C154" s="125"/>
      <c r="D154" s="126"/>
      <c r="E154" s="126"/>
      <c r="F154" s="125"/>
      <c r="G154" s="126"/>
      <c r="H154" s="126"/>
      <c r="I154" s="126"/>
      <c r="J154" s="126"/>
      <c r="K154" s="126"/>
      <c r="L154" s="126"/>
      <c r="M154" s="126"/>
      <c r="N154" s="129"/>
      <c r="O154" s="167"/>
      <c r="P154" s="129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</row>
    <row r="155" spans="1:26" ht="14.25" customHeight="1">
      <c r="A155" s="125"/>
      <c r="B155" s="125"/>
      <c r="C155" s="125"/>
      <c r="D155" s="126"/>
      <c r="E155" s="126"/>
      <c r="F155" s="125"/>
      <c r="G155" s="126"/>
      <c r="H155" s="126"/>
      <c r="I155" s="126"/>
      <c r="J155" s="126"/>
      <c r="K155" s="126"/>
      <c r="L155" s="126"/>
      <c r="M155" s="126"/>
      <c r="N155" s="129"/>
      <c r="O155" s="167"/>
      <c r="P155" s="129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</row>
    <row r="156" spans="1:26" ht="14.25" customHeight="1">
      <c r="A156" s="125"/>
      <c r="B156" s="125"/>
      <c r="C156" s="125"/>
      <c r="D156" s="126"/>
      <c r="E156" s="126"/>
      <c r="F156" s="125"/>
      <c r="G156" s="126"/>
      <c r="H156" s="126"/>
      <c r="I156" s="126"/>
      <c r="J156" s="126"/>
      <c r="K156" s="126"/>
      <c r="L156" s="126"/>
      <c r="M156" s="126"/>
      <c r="N156" s="129"/>
      <c r="O156" s="167"/>
      <c r="P156" s="129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</row>
    <row r="157" spans="1:26" ht="14.25" customHeight="1">
      <c r="A157" s="125"/>
      <c r="B157" s="125"/>
      <c r="C157" s="125"/>
      <c r="D157" s="126"/>
      <c r="E157" s="126"/>
      <c r="F157" s="125"/>
      <c r="G157" s="126"/>
      <c r="H157" s="126"/>
      <c r="I157" s="126"/>
      <c r="J157" s="126"/>
      <c r="K157" s="126"/>
      <c r="L157" s="126"/>
      <c r="M157" s="126"/>
      <c r="N157" s="129"/>
      <c r="O157" s="167"/>
      <c r="P157" s="129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</row>
    <row r="158" spans="1:26" ht="14.25" customHeight="1">
      <c r="A158" s="125"/>
      <c r="B158" s="125"/>
      <c r="C158" s="125"/>
      <c r="D158" s="126"/>
      <c r="E158" s="126"/>
      <c r="F158" s="125"/>
      <c r="G158" s="126"/>
      <c r="H158" s="126"/>
      <c r="I158" s="126"/>
      <c r="J158" s="126"/>
      <c r="K158" s="126"/>
      <c r="L158" s="126"/>
      <c r="M158" s="126"/>
      <c r="N158" s="129"/>
      <c r="O158" s="167"/>
      <c r="P158" s="129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</row>
    <row r="159" spans="1:26" ht="14.25" customHeight="1">
      <c r="A159" s="125"/>
      <c r="B159" s="125"/>
      <c r="C159" s="125"/>
      <c r="D159" s="126"/>
      <c r="E159" s="126"/>
      <c r="F159" s="125"/>
      <c r="G159" s="126"/>
      <c r="H159" s="126"/>
      <c r="I159" s="126"/>
      <c r="J159" s="126"/>
      <c r="K159" s="126"/>
      <c r="L159" s="126"/>
      <c r="M159" s="126"/>
      <c r="N159" s="129"/>
      <c r="O159" s="167"/>
      <c r="P159" s="129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</row>
    <row r="160" spans="1:26" ht="14.25" customHeight="1">
      <c r="A160" s="125"/>
      <c r="B160" s="125"/>
      <c r="C160" s="125"/>
      <c r="D160" s="126"/>
      <c r="E160" s="126"/>
      <c r="F160" s="125"/>
      <c r="G160" s="126"/>
      <c r="H160" s="126"/>
      <c r="I160" s="126"/>
      <c r="J160" s="126"/>
      <c r="K160" s="126"/>
      <c r="L160" s="126"/>
      <c r="M160" s="126"/>
      <c r="N160" s="129"/>
      <c r="O160" s="167"/>
      <c r="P160" s="129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</row>
    <row r="161" spans="1:26" ht="14.25" customHeight="1">
      <c r="A161" s="125"/>
      <c r="B161" s="125"/>
      <c r="C161" s="125"/>
      <c r="D161" s="126"/>
      <c r="E161" s="126"/>
      <c r="F161" s="125"/>
      <c r="G161" s="126"/>
      <c r="H161" s="126"/>
      <c r="I161" s="126"/>
      <c r="J161" s="126"/>
      <c r="K161" s="126"/>
      <c r="L161" s="126"/>
      <c r="M161" s="126"/>
      <c r="N161" s="129"/>
      <c r="O161" s="167"/>
      <c r="P161" s="129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</row>
    <row r="162" spans="1:26" ht="14.25" customHeight="1">
      <c r="A162" s="125"/>
      <c r="B162" s="125"/>
      <c r="C162" s="125"/>
      <c r="D162" s="126"/>
      <c r="E162" s="126"/>
      <c r="F162" s="125"/>
      <c r="G162" s="126"/>
      <c r="H162" s="126"/>
      <c r="I162" s="126"/>
      <c r="J162" s="126"/>
      <c r="K162" s="126"/>
      <c r="L162" s="126"/>
      <c r="M162" s="126"/>
      <c r="N162" s="129"/>
      <c r="O162" s="167"/>
      <c r="P162" s="129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</row>
    <row r="163" spans="1:26" ht="14.25" customHeight="1">
      <c r="A163" s="125"/>
      <c r="B163" s="125"/>
      <c r="C163" s="125"/>
      <c r="D163" s="126"/>
      <c r="E163" s="126"/>
      <c r="F163" s="125"/>
      <c r="G163" s="126"/>
      <c r="H163" s="126"/>
      <c r="I163" s="126"/>
      <c r="J163" s="126"/>
      <c r="K163" s="126"/>
      <c r="L163" s="126"/>
      <c r="M163" s="126"/>
      <c r="N163" s="129"/>
      <c r="O163" s="167"/>
      <c r="P163" s="129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</row>
    <row r="164" spans="1:26" ht="14.25" customHeight="1">
      <c r="A164" s="125"/>
      <c r="B164" s="125"/>
      <c r="C164" s="125"/>
      <c r="D164" s="126"/>
      <c r="E164" s="126"/>
      <c r="F164" s="125"/>
      <c r="G164" s="126"/>
      <c r="H164" s="126"/>
      <c r="I164" s="126"/>
      <c r="J164" s="126"/>
      <c r="K164" s="126"/>
      <c r="L164" s="126"/>
      <c r="M164" s="126"/>
      <c r="N164" s="129"/>
      <c r="O164" s="167"/>
      <c r="P164" s="129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</row>
    <row r="165" spans="1:26" ht="14.25" customHeight="1">
      <c r="A165" s="125"/>
      <c r="B165" s="125"/>
      <c r="C165" s="125"/>
      <c r="D165" s="126"/>
      <c r="E165" s="126"/>
      <c r="F165" s="125"/>
      <c r="G165" s="126"/>
      <c r="H165" s="126"/>
      <c r="I165" s="126"/>
      <c r="J165" s="126"/>
      <c r="K165" s="126"/>
      <c r="L165" s="126"/>
      <c r="M165" s="126"/>
      <c r="N165" s="129"/>
      <c r="O165" s="167"/>
      <c r="P165" s="129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</row>
    <row r="166" spans="1:26" ht="14.25" customHeight="1">
      <c r="A166" s="125"/>
      <c r="B166" s="125"/>
      <c r="C166" s="125"/>
      <c r="D166" s="126"/>
      <c r="E166" s="126"/>
      <c r="F166" s="125"/>
      <c r="G166" s="126"/>
      <c r="H166" s="126"/>
      <c r="I166" s="126"/>
      <c r="J166" s="126"/>
      <c r="K166" s="126"/>
      <c r="L166" s="126"/>
      <c r="M166" s="126"/>
      <c r="N166" s="129"/>
      <c r="O166" s="167"/>
      <c r="P166" s="129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</row>
    <row r="167" spans="1:26" ht="14.25" customHeight="1">
      <c r="A167" s="125"/>
      <c r="B167" s="125"/>
      <c r="C167" s="125"/>
      <c r="D167" s="126"/>
      <c r="E167" s="126"/>
      <c r="F167" s="125"/>
      <c r="G167" s="126"/>
      <c r="H167" s="126"/>
      <c r="I167" s="126"/>
      <c r="J167" s="126"/>
      <c r="K167" s="126"/>
      <c r="L167" s="126"/>
      <c r="M167" s="126"/>
      <c r="N167" s="129"/>
      <c r="O167" s="167"/>
      <c r="P167" s="129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</row>
    <row r="168" spans="1:26" ht="14.25" customHeight="1">
      <c r="A168" s="125"/>
      <c r="B168" s="125"/>
      <c r="C168" s="125"/>
      <c r="D168" s="126"/>
      <c r="E168" s="126"/>
      <c r="F168" s="125"/>
      <c r="G168" s="126"/>
      <c r="H168" s="126"/>
      <c r="I168" s="126"/>
      <c r="J168" s="126"/>
      <c r="K168" s="126"/>
      <c r="L168" s="126"/>
      <c r="M168" s="126"/>
      <c r="N168" s="129"/>
      <c r="O168" s="167"/>
      <c r="P168" s="129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</row>
    <row r="169" spans="1:26" ht="14.25" customHeight="1">
      <c r="A169" s="125"/>
      <c r="B169" s="125"/>
      <c r="C169" s="125"/>
      <c r="D169" s="126"/>
      <c r="E169" s="126"/>
      <c r="F169" s="125"/>
      <c r="G169" s="126"/>
      <c r="H169" s="126"/>
      <c r="I169" s="126"/>
      <c r="J169" s="126"/>
      <c r="K169" s="126"/>
      <c r="L169" s="126"/>
      <c r="M169" s="126"/>
      <c r="N169" s="129"/>
      <c r="O169" s="167"/>
      <c r="P169" s="129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</row>
    <row r="170" spans="1:26" ht="14.25" customHeight="1">
      <c r="A170" s="125"/>
      <c r="B170" s="125"/>
      <c r="C170" s="125"/>
      <c r="D170" s="126"/>
      <c r="E170" s="126"/>
      <c r="F170" s="125"/>
      <c r="G170" s="126"/>
      <c r="H170" s="126"/>
      <c r="I170" s="126"/>
      <c r="J170" s="126"/>
      <c r="K170" s="126"/>
      <c r="L170" s="126"/>
      <c r="M170" s="126"/>
      <c r="N170" s="129"/>
      <c r="O170" s="167"/>
      <c r="P170" s="129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</row>
    <row r="171" spans="1:26" ht="14.25" customHeight="1">
      <c r="A171" s="125"/>
      <c r="B171" s="125"/>
      <c r="C171" s="125"/>
      <c r="D171" s="126"/>
      <c r="E171" s="126"/>
      <c r="F171" s="125"/>
      <c r="G171" s="126"/>
      <c r="H171" s="126"/>
      <c r="I171" s="126"/>
      <c r="J171" s="126"/>
      <c r="K171" s="126"/>
      <c r="L171" s="126"/>
      <c r="M171" s="126"/>
      <c r="N171" s="129"/>
      <c r="O171" s="167"/>
      <c r="P171" s="129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</row>
    <row r="172" spans="1:26" ht="14.25" customHeight="1">
      <c r="A172" s="125"/>
      <c r="B172" s="125"/>
      <c r="C172" s="125"/>
      <c r="D172" s="126"/>
      <c r="E172" s="126"/>
      <c r="F172" s="125"/>
      <c r="G172" s="126"/>
      <c r="H172" s="126"/>
      <c r="I172" s="126"/>
      <c r="J172" s="126"/>
      <c r="K172" s="126"/>
      <c r="L172" s="126"/>
      <c r="M172" s="126"/>
      <c r="N172" s="129"/>
      <c r="O172" s="167"/>
      <c r="P172" s="129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</row>
    <row r="173" spans="1:26" ht="14.25" customHeight="1">
      <c r="A173" s="125"/>
      <c r="B173" s="125"/>
      <c r="C173" s="125"/>
      <c r="D173" s="126"/>
      <c r="E173" s="126"/>
      <c r="F173" s="125"/>
      <c r="G173" s="126"/>
      <c r="H173" s="126"/>
      <c r="I173" s="126"/>
      <c r="J173" s="126"/>
      <c r="K173" s="126"/>
      <c r="L173" s="126"/>
      <c r="M173" s="126"/>
      <c r="N173" s="129"/>
      <c r="O173" s="167"/>
      <c r="P173" s="129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</row>
    <row r="174" spans="1:26" ht="14.25" customHeight="1">
      <c r="A174" s="125"/>
      <c r="B174" s="125"/>
      <c r="C174" s="125"/>
      <c r="D174" s="126"/>
      <c r="E174" s="126"/>
      <c r="F174" s="125"/>
      <c r="G174" s="126"/>
      <c r="H174" s="126"/>
      <c r="I174" s="126"/>
      <c r="J174" s="126"/>
      <c r="K174" s="126"/>
      <c r="L174" s="126"/>
      <c r="M174" s="126"/>
      <c r="N174" s="129"/>
      <c r="O174" s="167"/>
      <c r="P174" s="129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</row>
    <row r="175" spans="1:26" ht="14.25" customHeight="1">
      <c r="A175" s="125"/>
      <c r="B175" s="125"/>
      <c r="C175" s="125"/>
      <c r="D175" s="126"/>
      <c r="E175" s="126"/>
      <c r="F175" s="125"/>
      <c r="G175" s="126"/>
      <c r="H175" s="126"/>
      <c r="I175" s="126"/>
      <c r="J175" s="126"/>
      <c r="K175" s="126"/>
      <c r="L175" s="126"/>
      <c r="M175" s="126"/>
      <c r="N175" s="129"/>
      <c r="O175" s="167"/>
      <c r="P175" s="129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</row>
    <row r="176" spans="1:26" ht="14.25" customHeight="1">
      <c r="A176" s="125"/>
      <c r="B176" s="125"/>
      <c r="C176" s="125"/>
      <c r="D176" s="126"/>
      <c r="E176" s="126"/>
      <c r="F176" s="125"/>
      <c r="G176" s="126"/>
      <c r="H176" s="126"/>
      <c r="I176" s="126"/>
      <c r="J176" s="126"/>
      <c r="K176" s="126"/>
      <c r="L176" s="126"/>
      <c r="M176" s="126"/>
      <c r="N176" s="129"/>
      <c r="O176" s="167"/>
      <c r="P176" s="129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</row>
    <row r="177" spans="1:26" ht="14.25" customHeight="1">
      <c r="A177" s="125"/>
      <c r="B177" s="125"/>
      <c r="C177" s="125"/>
      <c r="D177" s="126"/>
      <c r="E177" s="126"/>
      <c r="F177" s="125"/>
      <c r="G177" s="126"/>
      <c r="H177" s="126"/>
      <c r="I177" s="126"/>
      <c r="J177" s="126"/>
      <c r="K177" s="126"/>
      <c r="L177" s="126"/>
      <c r="M177" s="126"/>
      <c r="N177" s="129"/>
      <c r="O177" s="167"/>
      <c r="P177" s="129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</row>
    <row r="178" spans="1:26" ht="14.25" customHeight="1">
      <c r="A178" s="125"/>
      <c r="B178" s="125"/>
      <c r="C178" s="125"/>
      <c r="D178" s="126"/>
      <c r="E178" s="126"/>
      <c r="F178" s="125"/>
      <c r="G178" s="126"/>
      <c r="H178" s="126"/>
      <c r="I178" s="126"/>
      <c r="J178" s="126"/>
      <c r="K178" s="126"/>
      <c r="L178" s="126"/>
      <c r="M178" s="126"/>
      <c r="N178" s="129"/>
      <c r="O178" s="167"/>
      <c r="P178" s="129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</row>
    <row r="179" spans="1:26" ht="14.25" customHeight="1">
      <c r="A179" s="125"/>
      <c r="B179" s="125"/>
      <c r="C179" s="125"/>
      <c r="D179" s="126"/>
      <c r="E179" s="126"/>
      <c r="F179" s="125"/>
      <c r="G179" s="126"/>
      <c r="H179" s="126"/>
      <c r="I179" s="126"/>
      <c r="J179" s="126"/>
      <c r="K179" s="126"/>
      <c r="L179" s="126"/>
      <c r="M179" s="126"/>
      <c r="N179" s="129"/>
      <c r="O179" s="167"/>
      <c r="P179" s="129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</row>
    <row r="180" spans="1:26" ht="14.25" customHeight="1">
      <c r="A180" s="125"/>
      <c r="B180" s="125"/>
      <c r="C180" s="125"/>
      <c r="D180" s="126"/>
      <c r="E180" s="126"/>
      <c r="F180" s="125"/>
      <c r="G180" s="126"/>
      <c r="H180" s="126"/>
      <c r="I180" s="126"/>
      <c r="J180" s="126"/>
      <c r="K180" s="126"/>
      <c r="L180" s="126"/>
      <c r="M180" s="126"/>
      <c r="N180" s="129"/>
      <c r="O180" s="167"/>
      <c r="P180" s="129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</row>
    <row r="181" spans="1:26" ht="14.25" customHeight="1">
      <c r="A181" s="125"/>
      <c r="B181" s="125"/>
      <c r="C181" s="125"/>
      <c r="D181" s="126"/>
      <c r="E181" s="126"/>
      <c r="F181" s="125"/>
      <c r="G181" s="126"/>
      <c r="H181" s="126"/>
      <c r="I181" s="126"/>
      <c r="J181" s="126"/>
      <c r="K181" s="126"/>
      <c r="L181" s="126"/>
      <c r="M181" s="126"/>
      <c r="N181" s="129"/>
      <c r="O181" s="167"/>
      <c r="P181" s="129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</row>
    <row r="182" spans="1:26" ht="14.25" customHeight="1">
      <c r="A182" s="125"/>
      <c r="B182" s="125"/>
      <c r="C182" s="125"/>
      <c r="D182" s="126"/>
      <c r="E182" s="126"/>
      <c r="F182" s="125"/>
      <c r="G182" s="126"/>
      <c r="H182" s="126"/>
      <c r="I182" s="126"/>
      <c r="J182" s="126"/>
      <c r="K182" s="126"/>
      <c r="L182" s="126"/>
      <c r="M182" s="126"/>
      <c r="N182" s="129"/>
      <c r="O182" s="167"/>
      <c r="P182" s="129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</row>
    <row r="183" spans="1:26" ht="14.25" customHeight="1">
      <c r="A183" s="125"/>
      <c r="B183" s="125"/>
      <c r="C183" s="125"/>
      <c r="D183" s="126"/>
      <c r="E183" s="126"/>
      <c r="F183" s="125"/>
      <c r="G183" s="126"/>
      <c r="H183" s="126"/>
      <c r="I183" s="126"/>
      <c r="J183" s="126"/>
      <c r="K183" s="126"/>
      <c r="L183" s="126"/>
      <c r="M183" s="126"/>
      <c r="N183" s="129"/>
      <c r="O183" s="167"/>
      <c r="P183" s="129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</row>
    <row r="184" spans="1:26" ht="14.25" customHeight="1">
      <c r="A184" s="125"/>
      <c r="B184" s="125"/>
      <c r="C184" s="125"/>
      <c r="D184" s="126"/>
      <c r="E184" s="126"/>
      <c r="F184" s="125"/>
      <c r="G184" s="126"/>
      <c r="H184" s="126"/>
      <c r="I184" s="126"/>
      <c r="J184" s="126"/>
      <c r="K184" s="126"/>
      <c r="L184" s="126"/>
      <c r="M184" s="126"/>
      <c r="N184" s="129"/>
      <c r="O184" s="167"/>
      <c r="P184" s="129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</row>
    <row r="185" spans="1:26" ht="14.25" customHeight="1">
      <c r="A185" s="125"/>
      <c r="B185" s="125"/>
      <c r="C185" s="125"/>
      <c r="D185" s="126"/>
      <c r="E185" s="126"/>
      <c r="F185" s="125"/>
      <c r="G185" s="126"/>
      <c r="H185" s="126"/>
      <c r="I185" s="126"/>
      <c r="J185" s="126"/>
      <c r="K185" s="126"/>
      <c r="L185" s="126"/>
      <c r="M185" s="126"/>
      <c r="N185" s="129"/>
      <c r="O185" s="167"/>
      <c r="P185" s="129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</row>
    <row r="186" spans="1:26" ht="14.25" customHeight="1">
      <c r="A186" s="125"/>
      <c r="B186" s="125"/>
      <c r="C186" s="125"/>
      <c r="D186" s="126"/>
      <c r="E186" s="126"/>
      <c r="F186" s="125"/>
      <c r="G186" s="126"/>
      <c r="H186" s="126"/>
      <c r="I186" s="126"/>
      <c r="J186" s="126"/>
      <c r="K186" s="126"/>
      <c r="L186" s="126"/>
      <c r="M186" s="126"/>
      <c r="N186" s="129"/>
      <c r="O186" s="167"/>
      <c r="P186" s="129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</row>
    <row r="187" spans="1:26" ht="14.25" customHeight="1">
      <c r="A187" s="125"/>
      <c r="B187" s="125"/>
      <c r="C187" s="125"/>
      <c r="D187" s="126"/>
      <c r="E187" s="126"/>
      <c r="F187" s="125"/>
      <c r="G187" s="126"/>
      <c r="H187" s="126"/>
      <c r="I187" s="126"/>
      <c r="J187" s="126"/>
      <c r="K187" s="126"/>
      <c r="L187" s="126"/>
      <c r="M187" s="126"/>
      <c r="N187" s="129"/>
      <c r="O187" s="167"/>
      <c r="P187" s="129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</row>
    <row r="188" spans="1:26" ht="14.25" customHeight="1">
      <c r="A188" s="125"/>
      <c r="B188" s="125"/>
      <c r="C188" s="125"/>
      <c r="D188" s="126"/>
      <c r="E188" s="126"/>
      <c r="F188" s="125"/>
      <c r="G188" s="126"/>
      <c r="H188" s="126"/>
      <c r="I188" s="126"/>
      <c r="J188" s="126"/>
      <c r="K188" s="126"/>
      <c r="L188" s="126"/>
      <c r="M188" s="126"/>
      <c r="N188" s="129"/>
      <c r="O188" s="167"/>
      <c r="P188" s="129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</row>
    <row r="189" spans="1:26" ht="14.25" customHeight="1">
      <c r="A189" s="125"/>
      <c r="B189" s="125"/>
      <c r="C189" s="125"/>
      <c r="D189" s="126"/>
      <c r="E189" s="126"/>
      <c r="F189" s="125"/>
      <c r="G189" s="126"/>
      <c r="H189" s="126"/>
      <c r="I189" s="126"/>
      <c r="J189" s="126"/>
      <c r="K189" s="126"/>
      <c r="L189" s="126"/>
      <c r="M189" s="126"/>
      <c r="N189" s="129"/>
      <c r="O189" s="167"/>
      <c r="P189" s="129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</row>
    <row r="190" spans="1:26" ht="14.25" customHeight="1">
      <c r="A190" s="125"/>
      <c r="B190" s="125"/>
      <c r="C190" s="125"/>
      <c r="D190" s="126"/>
      <c r="E190" s="126"/>
      <c r="F190" s="125"/>
      <c r="G190" s="126"/>
      <c r="H190" s="126"/>
      <c r="I190" s="126"/>
      <c r="J190" s="126"/>
      <c r="K190" s="126"/>
      <c r="L190" s="126"/>
      <c r="M190" s="126"/>
      <c r="N190" s="129"/>
      <c r="O190" s="167"/>
      <c r="P190" s="129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</row>
    <row r="191" spans="1:26" ht="14.25" customHeight="1">
      <c r="A191" s="125"/>
      <c r="B191" s="125"/>
      <c r="C191" s="125"/>
      <c r="D191" s="126"/>
      <c r="E191" s="126"/>
      <c r="F191" s="125"/>
      <c r="G191" s="126"/>
      <c r="H191" s="126"/>
      <c r="I191" s="126"/>
      <c r="J191" s="126"/>
      <c r="K191" s="126"/>
      <c r="L191" s="126"/>
      <c r="M191" s="126"/>
      <c r="N191" s="129"/>
      <c r="O191" s="167"/>
      <c r="P191" s="129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</row>
    <row r="192" spans="1:26" ht="14.25" customHeight="1">
      <c r="A192" s="125"/>
      <c r="B192" s="125"/>
      <c r="C192" s="125"/>
      <c r="D192" s="126"/>
      <c r="E192" s="126"/>
      <c r="F192" s="125"/>
      <c r="G192" s="126"/>
      <c r="H192" s="126"/>
      <c r="I192" s="126"/>
      <c r="J192" s="126"/>
      <c r="K192" s="126"/>
      <c r="L192" s="126"/>
      <c r="M192" s="126"/>
      <c r="N192" s="129"/>
      <c r="O192" s="167"/>
      <c r="P192" s="129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</row>
    <row r="193" spans="1:26" ht="14.25" customHeight="1">
      <c r="A193" s="125"/>
      <c r="B193" s="125"/>
      <c r="C193" s="125"/>
      <c r="D193" s="126"/>
      <c r="E193" s="126"/>
      <c r="F193" s="125"/>
      <c r="G193" s="126"/>
      <c r="H193" s="126"/>
      <c r="I193" s="126"/>
      <c r="J193" s="126"/>
      <c r="K193" s="126"/>
      <c r="L193" s="126"/>
      <c r="M193" s="126"/>
      <c r="N193" s="129"/>
      <c r="O193" s="167"/>
      <c r="P193" s="129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</row>
    <row r="194" spans="1:26" ht="14.25" customHeight="1">
      <c r="A194" s="125"/>
      <c r="B194" s="125"/>
      <c r="C194" s="125"/>
      <c r="D194" s="126"/>
      <c r="E194" s="126"/>
      <c r="F194" s="125"/>
      <c r="G194" s="126"/>
      <c r="H194" s="126"/>
      <c r="I194" s="126"/>
      <c r="J194" s="126"/>
      <c r="K194" s="126"/>
      <c r="L194" s="126"/>
      <c r="M194" s="126"/>
      <c r="N194" s="129"/>
      <c r="O194" s="167"/>
      <c r="P194" s="129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</row>
    <row r="195" spans="1:26" ht="14.25" customHeight="1">
      <c r="A195" s="125"/>
      <c r="B195" s="125"/>
      <c r="C195" s="125"/>
      <c r="D195" s="126"/>
      <c r="E195" s="126"/>
      <c r="F195" s="125"/>
      <c r="G195" s="126"/>
      <c r="H195" s="126"/>
      <c r="I195" s="126"/>
      <c r="J195" s="126"/>
      <c r="K195" s="126"/>
      <c r="L195" s="126"/>
      <c r="M195" s="126"/>
      <c r="N195" s="129"/>
      <c r="O195" s="167"/>
      <c r="P195" s="129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</row>
    <row r="196" spans="1:26" ht="14.25" customHeight="1">
      <c r="A196" s="125"/>
      <c r="B196" s="125"/>
      <c r="C196" s="125"/>
      <c r="D196" s="126"/>
      <c r="E196" s="126"/>
      <c r="F196" s="125"/>
      <c r="G196" s="126"/>
      <c r="H196" s="126"/>
      <c r="I196" s="126"/>
      <c r="J196" s="126"/>
      <c r="K196" s="126"/>
      <c r="L196" s="126"/>
      <c r="M196" s="126"/>
      <c r="N196" s="129"/>
      <c r="O196" s="167"/>
      <c r="P196" s="129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</row>
    <row r="197" spans="1:26" ht="14.25" customHeight="1">
      <c r="A197" s="125"/>
      <c r="B197" s="125"/>
      <c r="C197" s="125"/>
      <c r="D197" s="126"/>
      <c r="E197" s="126"/>
      <c r="F197" s="125"/>
      <c r="G197" s="126"/>
      <c r="H197" s="126"/>
      <c r="I197" s="126"/>
      <c r="J197" s="126"/>
      <c r="K197" s="126"/>
      <c r="L197" s="126"/>
      <c r="M197" s="126"/>
      <c r="N197" s="129"/>
      <c r="O197" s="167"/>
      <c r="P197" s="129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</row>
    <row r="198" spans="1:26" ht="14.25" customHeight="1">
      <c r="A198" s="125"/>
      <c r="B198" s="125"/>
      <c r="C198" s="125"/>
      <c r="D198" s="126"/>
      <c r="E198" s="126"/>
      <c r="F198" s="125"/>
      <c r="G198" s="126"/>
      <c r="H198" s="126"/>
      <c r="I198" s="126"/>
      <c r="J198" s="126"/>
      <c r="K198" s="126"/>
      <c r="L198" s="126"/>
      <c r="M198" s="126"/>
      <c r="N198" s="129"/>
      <c r="O198" s="167"/>
      <c r="P198" s="129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</row>
    <row r="199" spans="1:26" ht="14.25" customHeight="1">
      <c r="A199" s="125"/>
      <c r="B199" s="125"/>
      <c r="C199" s="125"/>
      <c r="D199" s="126"/>
      <c r="E199" s="126"/>
      <c r="F199" s="125"/>
      <c r="G199" s="126"/>
      <c r="H199" s="126"/>
      <c r="I199" s="126"/>
      <c r="J199" s="126"/>
      <c r="K199" s="126"/>
      <c r="L199" s="126"/>
      <c r="M199" s="126"/>
      <c r="N199" s="129"/>
      <c r="O199" s="167"/>
      <c r="P199" s="129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</row>
    <row r="200" spans="1:26" ht="14.25" customHeight="1">
      <c r="A200" s="125"/>
      <c r="B200" s="125"/>
      <c r="C200" s="125"/>
      <c r="D200" s="126"/>
      <c r="E200" s="126"/>
      <c r="F200" s="125"/>
      <c r="G200" s="126"/>
      <c r="H200" s="126"/>
      <c r="I200" s="126"/>
      <c r="J200" s="126"/>
      <c r="K200" s="126"/>
      <c r="L200" s="126"/>
      <c r="M200" s="126"/>
      <c r="N200" s="129"/>
      <c r="O200" s="167"/>
      <c r="P200" s="129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</row>
    <row r="201" spans="1:26" ht="14.25" customHeight="1">
      <c r="A201" s="125"/>
      <c r="B201" s="125"/>
      <c r="C201" s="125"/>
      <c r="D201" s="126"/>
      <c r="E201" s="126"/>
      <c r="F201" s="125"/>
      <c r="G201" s="126"/>
      <c r="H201" s="126"/>
      <c r="I201" s="126"/>
      <c r="J201" s="126"/>
      <c r="K201" s="126"/>
      <c r="L201" s="126"/>
      <c r="M201" s="126"/>
      <c r="N201" s="129"/>
      <c r="O201" s="167"/>
      <c r="P201" s="129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</row>
    <row r="202" spans="1:26" ht="14.25" customHeight="1">
      <c r="A202" s="125"/>
      <c r="B202" s="125"/>
      <c r="C202" s="125"/>
      <c r="D202" s="126"/>
      <c r="E202" s="126"/>
      <c r="F202" s="125"/>
      <c r="G202" s="126"/>
      <c r="H202" s="126"/>
      <c r="I202" s="126"/>
      <c r="J202" s="126"/>
      <c r="K202" s="126"/>
      <c r="L202" s="126"/>
      <c r="M202" s="126"/>
      <c r="N202" s="129"/>
      <c r="O202" s="167"/>
      <c r="P202" s="129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</row>
    <row r="203" spans="1:26" ht="14.25" customHeight="1">
      <c r="A203" s="125"/>
      <c r="B203" s="125"/>
      <c r="C203" s="125"/>
      <c r="D203" s="126"/>
      <c r="E203" s="126"/>
      <c r="F203" s="125"/>
      <c r="G203" s="126"/>
      <c r="H203" s="126"/>
      <c r="I203" s="126"/>
      <c r="J203" s="126"/>
      <c r="K203" s="126"/>
      <c r="L203" s="126"/>
      <c r="M203" s="126"/>
      <c r="N203" s="129"/>
      <c r="O203" s="167"/>
      <c r="P203" s="129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</row>
    <row r="204" spans="1:26" ht="14.25" customHeight="1">
      <c r="A204" s="125"/>
      <c r="B204" s="125"/>
      <c r="C204" s="125"/>
      <c r="D204" s="126"/>
      <c r="E204" s="126"/>
      <c r="F204" s="125"/>
      <c r="G204" s="126"/>
      <c r="H204" s="126"/>
      <c r="I204" s="126"/>
      <c r="J204" s="126"/>
      <c r="K204" s="126"/>
      <c r="L204" s="126"/>
      <c r="M204" s="126"/>
      <c r="N204" s="129"/>
      <c r="O204" s="167"/>
      <c r="P204" s="129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</row>
    <row r="205" spans="1:26" ht="14.25" customHeight="1">
      <c r="A205" s="125"/>
      <c r="B205" s="125"/>
      <c r="C205" s="125"/>
      <c r="D205" s="126"/>
      <c r="E205" s="126"/>
      <c r="F205" s="125"/>
      <c r="G205" s="126"/>
      <c r="H205" s="126"/>
      <c r="I205" s="126"/>
      <c r="J205" s="126"/>
      <c r="K205" s="126"/>
      <c r="L205" s="126"/>
      <c r="M205" s="126"/>
      <c r="N205" s="129"/>
      <c r="O205" s="167"/>
      <c r="P205" s="129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</row>
    <row r="206" spans="1:26" ht="14.25" customHeight="1">
      <c r="A206" s="125"/>
      <c r="B206" s="125"/>
      <c r="C206" s="125"/>
      <c r="D206" s="126"/>
      <c r="E206" s="126"/>
      <c r="F206" s="125"/>
      <c r="G206" s="126"/>
      <c r="H206" s="126"/>
      <c r="I206" s="126"/>
      <c r="J206" s="126"/>
      <c r="K206" s="126"/>
      <c r="L206" s="126"/>
      <c r="M206" s="126"/>
      <c r="N206" s="129"/>
      <c r="O206" s="167"/>
      <c r="P206" s="129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</row>
    <row r="207" spans="1:26" ht="14.25" customHeight="1">
      <c r="A207" s="125"/>
      <c r="B207" s="125"/>
      <c r="C207" s="125"/>
      <c r="D207" s="126"/>
      <c r="E207" s="126"/>
      <c r="F207" s="125"/>
      <c r="G207" s="126"/>
      <c r="H207" s="126"/>
      <c r="I207" s="126"/>
      <c r="J207" s="126"/>
      <c r="K207" s="126"/>
      <c r="L207" s="126"/>
      <c r="M207" s="126"/>
      <c r="N207" s="129"/>
      <c r="O207" s="167"/>
      <c r="P207" s="129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</row>
    <row r="208" spans="1:26" ht="14.25" customHeight="1">
      <c r="A208" s="125"/>
      <c r="B208" s="125"/>
      <c r="C208" s="125"/>
      <c r="D208" s="126"/>
      <c r="E208" s="126"/>
      <c r="F208" s="125"/>
      <c r="G208" s="126"/>
      <c r="H208" s="126"/>
      <c r="I208" s="126"/>
      <c r="J208" s="126"/>
      <c r="K208" s="126"/>
      <c r="L208" s="126"/>
      <c r="M208" s="126"/>
      <c r="N208" s="129"/>
      <c r="O208" s="167"/>
      <c r="P208" s="129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</row>
    <row r="209" spans="1:26" ht="14.25" customHeight="1">
      <c r="A209" s="125"/>
      <c r="B209" s="125"/>
      <c r="C209" s="125"/>
      <c r="D209" s="126"/>
      <c r="E209" s="126"/>
      <c r="F209" s="125"/>
      <c r="G209" s="126"/>
      <c r="H209" s="126"/>
      <c r="I209" s="126"/>
      <c r="J209" s="126"/>
      <c r="K209" s="126"/>
      <c r="L209" s="126"/>
      <c r="M209" s="126"/>
      <c r="N209" s="129"/>
      <c r="O209" s="167"/>
      <c r="P209" s="129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</row>
    <row r="210" spans="1:26" ht="14.25" customHeight="1">
      <c r="A210" s="125"/>
      <c r="B210" s="125"/>
      <c r="C210" s="125"/>
      <c r="D210" s="126"/>
      <c r="E210" s="126"/>
      <c r="F210" s="125"/>
      <c r="G210" s="126"/>
      <c r="H210" s="126"/>
      <c r="I210" s="126"/>
      <c r="J210" s="126"/>
      <c r="K210" s="126"/>
      <c r="L210" s="126"/>
      <c r="M210" s="126"/>
      <c r="N210" s="129"/>
      <c r="O210" s="167"/>
      <c r="P210" s="129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</row>
    <row r="211" spans="1:26" ht="14.25" customHeight="1">
      <c r="A211" s="125"/>
      <c r="B211" s="125"/>
      <c r="C211" s="125"/>
      <c r="D211" s="126"/>
      <c r="E211" s="126"/>
      <c r="F211" s="125"/>
      <c r="G211" s="126"/>
      <c r="H211" s="126"/>
      <c r="I211" s="126"/>
      <c r="J211" s="126"/>
      <c r="K211" s="126"/>
      <c r="L211" s="126"/>
      <c r="M211" s="126"/>
      <c r="N211" s="129"/>
      <c r="O211" s="167"/>
      <c r="P211" s="129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</row>
    <row r="212" spans="1:26" ht="14.25" customHeight="1">
      <c r="A212" s="125"/>
      <c r="B212" s="125"/>
      <c r="C212" s="125"/>
      <c r="D212" s="126"/>
      <c r="E212" s="126"/>
      <c r="F212" s="125"/>
      <c r="G212" s="126"/>
      <c r="H212" s="126"/>
      <c r="I212" s="126"/>
      <c r="J212" s="126"/>
      <c r="K212" s="126"/>
      <c r="L212" s="126"/>
      <c r="M212" s="126"/>
      <c r="N212" s="129"/>
      <c r="O212" s="167"/>
      <c r="P212" s="129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</row>
    <row r="213" spans="1:26" ht="14.25" customHeight="1">
      <c r="A213" s="125"/>
      <c r="B213" s="125"/>
      <c r="C213" s="125"/>
      <c r="D213" s="126"/>
      <c r="E213" s="126"/>
      <c r="F213" s="125"/>
      <c r="G213" s="126"/>
      <c r="H213" s="126"/>
      <c r="I213" s="126"/>
      <c r="J213" s="126"/>
      <c r="K213" s="126"/>
      <c r="L213" s="126"/>
      <c r="M213" s="126"/>
      <c r="N213" s="129"/>
      <c r="O213" s="167"/>
      <c r="P213" s="129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</row>
    <row r="214" spans="1:26" ht="14.25" customHeight="1">
      <c r="A214" s="125"/>
      <c r="B214" s="125"/>
      <c r="C214" s="125"/>
      <c r="D214" s="126"/>
      <c r="E214" s="126"/>
      <c r="F214" s="125"/>
      <c r="G214" s="126"/>
      <c r="H214" s="126"/>
      <c r="I214" s="126"/>
      <c r="J214" s="126"/>
      <c r="K214" s="126"/>
      <c r="L214" s="126"/>
      <c r="M214" s="126"/>
      <c r="N214" s="129"/>
      <c r="O214" s="167"/>
      <c r="P214" s="129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</row>
    <row r="215" spans="1:26" ht="14.25" customHeight="1">
      <c r="A215" s="125"/>
      <c r="B215" s="125"/>
      <c r="C215" s="125"/>
      <c r="D215" s="126"/>
      <c r="E215" s="126"/>
      <c r="F215" s="125"/>
      <c r="G215" s="126"/>
      <c r="H215" s="126"/>
      <c r="I215" s="126"/>
      <c r="J215" s="126"/>
      <c r="K215" s="126"/>
      <c r="L215" s="126"/>
      <c r="M215" s="126"/>
      <c r="N215" s="129"/>
      <c r="O215" s="167"/>
      <c r="P215" s="129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</row>
    <row r="216" spans="1:26" ht="14.25" customHeight="1">
      <c r="A216" s="125"/>
      <c r="B216" s="125"/>
      <c r="C216" s="125"/>
      <c r="D216" s="126"/>
      <c r="E216" s="126"/>
      <c r="F216" s="125"/>
      <c r="G216" s="126"/>
      <c r="H216" s="126"/>
      <c r="I216" s="126"/>
      <c r="J216" s="126"/>
      <c r="K216" s="126"/>
      <c r="L216" s="126"/>
      <c r="M216" s="126"/>
      <c r="N216" s="129"/>
      <c r="O216" s="167"/>
      <c r="P216" s="129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</row>
    <row r="217" spans="1:26" ht="14.25" customHeight="1">
      <c r="A217" s="125"/>
      <c r="B217" s="125"/>
      <c r="C217" s="125"/>
      <c r="D217" s="126"/>
      <c r="E217" s="126"/>
      <c r="F217" s="125"/>
      <c r="G217" s="126"/>
      <c r="H217" s="126"/>
      <c r="I217" s="126"/>
      <c r="J217" s="126"/>
      <c r="K217" s="126"/>
      <c r="L217" s="126"/>
      <c r="M217" s="126"/>
      <c r="N217" s="129"/>
      <c r="O217" s="167"/>
      <c r="P217" s="129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</row>
    <row r="218" spans="1:26" ht="14.25" customHeight="1">
      <c r="A218" s="125"/>
      <c r="B218" s="125"/>
      <c r="C218" s="125"/>
      <c r="D218" s="126"/>
      <c r="E218" s="126"/>
      <c r="F218" s="125"/>
      <c r="G218" s="126"/>
      <c r="H218" s="126"/>
      <c r="I218" s="126"/>
      <c r="J218" s="126"/>
      <c r="K218" s="126"/>
      <c r="L218" s="126"/>
      <c r="M218" s="126"/>
      <c r="N218" s="129"/>
      <c r="O218" s="167"/>
      <c r="P218" s="129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</row>
    <row r="219" spans="1:26" ht="14.25" customHeight="1">
      <c r="A219" s="125"/>
      <c r="B219" s="125"/>
      <c r="C219" s="125"/>
      <c r="D219" s="126"/>
      <c r="E219" s="126"/>
      <c r="F219" s="125"/>
      <c r="G219" s="126"/>
      <c r="H219" s="126"/>
      <c r="I219" s="126"/>
      <c r="J219" s="126"/>
      <c r="K219" s="126"/>
      <c r="L219" s="126"/>
      <c r="M219" s="126"/>
      <c r="N219" s="129"/>
      <c r="O219" s="167"/>
      <c r="P219" s="129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</row>
    <row r="220" spans="1:26" ht="14.25" customHeight="1">
      <c r="A220" s="125"/>
      <c r="B220" s="125"/>
      <c r="C220" s="125"/>
      <c r="D220" s="126"/>
      <c r="E220" s="126"/>
      <c r="F220" s="125"/>
      <c r="G220" s="126"/>
      <c r="H220" s="126"/>
      <c r="I220" s="126"/>
      <c r="J220" s="126"/>
      <c r="K220" s="126"/>
      <c r="L220" s="126"/>
      <c r="M220" s="126"/>
      <c r="N220" s="129"/>
      <c r="O220" s="167"/>
      <c r="P220" s="129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</row>
    <row r="221" spans="1:26" ht="14.25" customHeight="1">
      <c r="A221" s="125"/>
      <c r="B221" s="125"/>
      <c r="C221" s="125"/>
      <c r="D221" s="126"/>
      <c r="E221" s="126"/>
      <c r="F221" s="125"/>
      <c r="G221" s="126"/>
      <c r="H221" s="126"/>
      <c r="I221" s="126"/>
      <c r="J221" s="126"/>
      <c r="K221" s="126"/>
      <c r="L221" s="126"/>
      <c r="M221" s="126"/>
      <c r="N221" s="129"/>
      <c r="O221" s="167"/>
      <c r="P221" s="129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</row>
    <row r="222" spans="1:26" ht="14.25" customHeight="1">
      <c r="A222" s="125"/>
      <c r="B222" s="125"/>
      <c r="C222" s="125"/>
      <c r="D222" s="126"/>
      <c r="E222" s="126"/>
      <c r="F222" s="125"/>
      <c r="G222" s="126"/>
      <c r="H222" s="126"/>
      <c r="I222" s="126"/>
      <c r="J222" s="126"/>
      <c r="K222" s="126"/>
      <c r="L222" s="126"/>
      <c r="M222" s="126"/>
      <c r="N222" s="129"/>
      <c r="O222" s="167"/>
      <c r="P222" s="129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</row>
    <row r="223" spans="1:26" ht="14.25" customHeight="1">
      <c r="A223" s="125"/>
      <c r="B223" s="125"/>
      <c r="C223" s="125"/>
      <c r="D223" s="126"/>
      <c r="E223" s="126"/>
      <c r="F223" s="125"/>
      <c r="G223" s="126"/>
      <c r="H223" s="126"/>
      <c r="I223" s="126"/>
      <c r="J223" s="126"/>
      <c r="K223" s="126"/>
      <c r="L223" s="126"/>
      <c r="M223" s="126"/>
      <c r="N223" s="129"/>
      <c r="O223" s="167"/>
      <c r="P223" s="129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</row>
    <row r="224" spans="1:26" ht="14.25" customHeight="1">
      <c r="A224" s="125"/>
      <c r="B224" s="125"/>
      <c r="C224" s="125"/>
      <c r="D224" s="126"/>
      <c r="E224" s="126"/>
      <c r="F224" s="125"/>
      <c r="G224" s="126"/>
      <c r="H224" s="126"/>
      <c r="I224" s="126"/>
      <c r="J224" s="126"/>
      <c r="K224" s="126"/>
      <c r="L224" s="126"/>
      <c r="M224" s="126"/>
      <c r="N224" s="129"/>
      <c r="O224" s="167"/>
      <c r="P224" s="129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</row>
    <row r="225" spans="1:26" ht="14.25" customHeight="1">
      <c r="A225" s="125"/>
      <c r="B225" s="125"/>
      <c r="C225" s="125"/>
      <c r="D225" s="126"/>
      <c r="E225" s="126"/>
      <c r="F225" s="125"/>
      <c r="G225" s="126"/>
      <c r="H225" s="126"/>
      <c r="I225" s="126"/>
      <c r="J225" s="126"/>
      <c r="K225" s="126"/>
      <c r="L225" s="126"/>
      <c r="M225" s="126"/>
      <c r="N225" s="129"/>
      <c r="O225" s="167"/>
      <c r="P225" s="129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</row>
    <row r="226" spans="1:26" ht="14.25" customHeight="1">
      <c r="A226" s="125"/>
      <c r="B226" s="125"/>
      <c r="C226" s="125"/>
      <c r="D226" s="126"/>
      <c r="E226" s="126"/>
      <c r="F226" s="125"/>
      <c r="G226" s="126"/>
      <c r="H226" s="126"/>
      <c r="I226" s="126"/>
      <c r="J226" s="126"/>
      <c r="K226" s="126"/>
      <c r="L226" s="126"/>
      <c r="M226" s="126"/>
      <c r="N226" s="129"/>
      <c r="O226" s="167"/>
      <c r="P226" s="129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</row>
    <row r="227" spans="1:26" ht="14.25" customHeight="1">
      <c r="A227" s="125"/>
      <c r="B227" s="125"/>
      <c r="C227" s="125"/>
      <c r="D227" s="126"/>
      <c r="E227" s="126"/>
      <c r="F227" s="125"/>
      <c r="G227" s="126"/>
      <c r="H227" s="126"/>
      <c r="I227" s="126"/>
      <c r="J227" s="126"/>
      <c r="K227" s="126"/>
      <c r="L227" s="126"/>
      <c r="M227" s="126"/>
      <c r="N227" s="129"/>
      <c r="O227" s="167"/>
      <c r="P227" s="129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</row>
    <row r="228" spans="1:26" ht="14.25" customHeight="1">
      <c r="A228" s="125"/>
      <c r="B228" s="125"/>
      <c r="C228" s="125"/>
      <c r="D228" s="126"/>
      <c r="E228" s="126"/>
      <c r="F228" s="125"/>
      <c r="G228" s="126"/>
      <c r="H228" s="126"/>
      <c r="I228" s="126"/>
      <c r="J228" s="126"/>
      <c r="K228" s="126"/>
      <c r="L228" s="126"/>
      <c r="M228" s="126"/>
      <c r="N228" s="129"/>
      <c r="O228" s="167"/>
      <c r="P228" s="129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</row>
    <row r="229" spans="1:26" ht="14.25" customHeight="1">
      <c r="A229" s="125"/>
      <c r="B229" s="125"/>
      <c r="C229" s="125"/>
      <c r="D229" s="126"/>
      <c r="E229" s="126"/>
      <c r="F229" s="125"/>
      <c r="G229" s="126"/>
      <c r="H229" s="126"/>
      <c r="I229" s="126"/>
      <c r="J229" s="126"/>
      <c r="K229" s="126"/>
      <c r="L229" s="126"/>
      <c r="M229" s="126"/>
      <c r="N229" s="129"/>
      <c r="O229" s="167"/>
      <c r="P229" s="129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</row>
    <row r="230" spans="1:26" ht="14.25" customHeight="1">
      <c r="A230" s="125"/>
      <c r="B230" s="125"/>
      <c r="C230" s="125"/>
      <c r="D230" s="126"/>
      <c r="E230" s="126"/>
      <c r="F230" s="125"/>
      <c r="G230" s="126"/>
      <c r="H230" s="126"/>
      <c r="I230" s="126"/>
      <c r="J230" s="126"/>
      <c r="K230" s="126"/>
      <c r="L230" s="126"/>
      <c r="M230" s="126"/>
      <c r="N230" s="129"/>
      <c r="O230" s="167"/>
      <c r="P230" s="129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</row>
    <row r="231" spans="1:26" ht="14.25" customHeight="1">
      <c r="A231" s="125"/>
      <c r="B231" s="125"/>
      <c r="C231" s="125"/>
      <c r="D231" s="126"/>
      <c r="E231" s="126"/>
      <c r="F231" s="125"/>
      <c r="G231" s="126"/>
      <c r="H231" s="126"/>
      <c r="I231" s="126"/>
      <c r="J231" s="126"/>
      <c r="K231" s="126"/>
      <c r="L231" s="126"/>
      <c r="M231" s="126"/>
      <c r="N231" s="129"/>
      <c r="O231" s="167"/>
      <c r="P231" s="129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</row>
    <row r="232" spans="1:26" ht="14.25" customHeight="1">
      <c r="A232" s="125"/>
      <c r="B232" s="125"/>
      <c r="C232" s="125"/>
      <c r="D232" s="126"/>
      <c r="E232" s="126"/>
      <c r="F232" s="125"/>
      <c r="G232" s="126"/>
      <c r="H232" s="126"/>
      <c r="I232" s="126"/>
      <c r="J232" s="126"/>
      <c r="K232" s="126"/>
      <c r="L232" s="126"/>
      <c r="M232" s="126"/>
      <c r="N232" s="129"/>
      <c r="O232" s="167"/>
      <c r="P232" s="129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</row>
    <row r="233" spans="1:26" ht="14.25" customHeight="1">
      <c r="A233" s="125"/>
      <c r="B233" s="125"/>
      <c r="C233" s="125"/>
      <c r="D233" s="126"/>
      <c r="E233" s="126"/>
      <c r="F233" s="125"/>
      <c r="G233" s="126"/>
      <c r="H233" s="126"/>
      <c r="I233" s="126"/>
      <c r="J233" s="126"/>
      <c r="K233" s="126"/>
      <c r="L233" s="126"/>
      <c r="M233" s="126"/>
      <c r="N233" s="129"/>
      <c r="O233" s="167"/>
      <c r="P233" s="129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</row>
    <row r="234" spans="1:26" ht="14.25" customHeight="1">
      <c r="A234" s="125"/>
      <c r="B234" s="125"/>
      <c r="C234" s="125"/>
      <c r="D234" s="126"/>
      <c r="E234" s="126"/>
      <c r="F234" s="125"/>
      <c r="G234" s="126"/>
      <c r="H234" s="126"/>
      <c r="I234" s="126"/>
      <c r="J234" s="126"/>
      <c r="K234" s="126"/>
      <c r="L234" s="126"/>
      <c r="M234" s="126"/>
      <c r="N234" s="129"/>
      <c r="O234" s="167"/>
      <c r="P234" s="129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</row>
    <row r="235" spans="1:26" ht="14.25" customHeight="1">
      <c r="A235" s="125"/>
      <c r="B235" s="125"/>
      <c r="C235" s="125"/>
      <c r="D235" s="126"/>
      <c r="E235" s="126"/>
      <c r="F235" s="125"/>
      <c r="G235" s="126"/>
      <c r="H235" s="126"/>
      <c r="I235" s="126"/>
      <c r="J235" s="126"/>
      <c r="K235" s="126"/>
      <c r="L235" s="126"/>
      <c r="M235" s="126"/>
      <c r="N235" s="129"/>
      <c r="O235" s="167"/>
      <c r="P235" s="129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</row>
    <row r="236" spans="1:26" ht="14.25" customHeight="1">
      <c r="A236" s="125"/>
      <c r="B236" s="125"/>
      <c r="C236" s="125"/>
      <c r="D236" s="126"/>
      <c r="E236" s="126"/>
      <c r="F236" s="125"/>
      <c r="G236" s="126"/>
      <c r="H236" s="126"/>
      <c r="I236" s="126"/>
      <c r="J236" s="126"/>
      <c r="K236" s="126"/>
      <c r="L236" s="126"/>
      <c r="M236" s="126"/>
      <c r="N236" s="129"/>
      <c r="O236" s="125"/>
      <c r="P236" s="129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spans="1:26" ht="14.25" customHeight="1">
      <c r="A237" s="125"/>
      <c r="B237" s="125"/>
      <c r="C237" s="125"/>
      <c r="D237" s="126"/>
      <c r="E237" s="126"/>
      <c r="F237" s="125"/>
      <c r="G237" s="126"/>
      <c r="H237" s="126"/>
      <c r="I237" s="126"/>
      <c r="J237" s="126"/>
      <c r="K237" s="126"/>
      <c r="L237" s="126"/>
      <c r="M237" s="126"/>
      <c r="N237" s="129"/>
      <c r="O237" s="125"/>
      <c r="P237" s="129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spans="1:26" ht="14.25" customHeight="1">
      <c r="A238" s="125"/>
      <c r="B238" s="125"/>
      <c r="C238" s="125"/>
      <c r="D238" s="126"/>
      <c r="E238" s="126"/>
      <c r="F238" s="125"/>
      <c r="G238" s="126"/>
      <c r="H238" s="126"/>
      <c r="I238" s="126"/>
      <c r="J238" s="126"/>
      <c r="K238" s="126"/>
      <c r="L238" s="126"/>
      <c r="M238" s="126"/>
      <c r="N238" s="129"/>
      <c r="O238" s="125"/>
      <c r="P238" s="129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spans="1:26" ht="14.25" customHeight="1">
      <c r="A239" s="125"/>
      <c r="B239" s="125"/>
      <c r="C239" s="125"/>
      <c r="D239" s="126"/>
      <c r="E239" s="126"/>
      <c r="F239" s="125"/>
      <c r="G239" s="126"/>
      <c r="H239" s="126"/>
      <c r="I239" s="126"/>
      <c r="J239" s="126"/>
      <c r="K239" s="126"/>
      <c r="L239" s="126"/>
      <c r="M239" s="126"/>
      <c r="N239" s="129"/>
      <c r="O239" s="125"/>
      <c r="P239" s="129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spans="1:26" ht="14.25" customHeight="1">
      <c r="A240" s="125"/>
      <c r="B240" s="125"/>
      <c r="C240" s="125"/>
      <c r="D240" s="126"/>
      <c r="E240" s="126"/>
      <c r="F240" s="125"/>
      <c r="G240" s="126"/>
      <c r="H240" s="126"/>
      <c r="I240" s="126"/>
      <c r="J240" s="126"/>
      <c r="K240" s="126"/>
      <c r="L240" s="126"/>
      <c r="M240" s="126"/>
      <c r="N240" s="129"/>
      <c r="O240" s="125"/>
      <c r="P240" s="129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spans="1:26" ht="14.25" customHeight="1">
      <c r="A241" s="125"/>
      <c r="B241" s="125"/>
      <c r="C241" s="125"/>
      <c r="D241" s="126"/>
      <c r="E241" s="126"/>
      <c r="F241" s="125"/>
      <c r="G241" s="126"/>
      <c r="H241" s="126"/>
      <c r="I241" s="126"/>
      <c r="J241" s="126"/>
      <c r="K241" s="126"/>
      <c r="L241" s="126"/>
      <c r="M241" s="126"/>
      <c r="N241" s="129"/>
      <c r="O241" s="125"/>
      <c r="P241" s="129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spans="1:26" ht="14.25" customHeight="1">
      <c r="A242" s="125"/>
      <c r="B242" s="125"/>
      <c r="C242" s="125"/>
      <c r="D242" s="126"/>
      <c r="E242" s="126"/>
      <c r="F242" s="125"/>
      <c r="G242" s="126"/>
      <c r="H242" s="126"/>
      <c r="I242" s="126"/>
      <c r="J242" s="126"/>
      <c r="K242" s="126"/>
      <c r="L242" s="126"/>
      <c r="M242" s="126"/>
      <c r="N242" s="129"/>
      <c r="O242" s="125"/>
      <c r="P242" s="129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spans="1:26" ht="14.25" customHeight="1">
      <c r="A243" s="125"/>
      <c r="B243" s="125"/>
      <c r="C243" s="125"/>
      <c r="D243" s="126"/>
      <c r="E243" s="126"/>
      <c r="F243" s="125"/>
      <c r="G243" s="126"/>
      <c r="H243" s="126"/>
      <c r="I243" s="126"/>
      <c r="J243" s="126"/>
      <c r="K243" s="126"/>
      <c r="L243" s="126"/>
      <c r="M243" s="126"/>
      <c r="N243" s="129"/>
      <c r="O243" s="125"/>
      <c r="P243" s="129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spans="1:26" ht="14.25" customHeight="1">
      <c r="A244" s="125"/>
      <c r="B244" s="125"/>
      <c r="C244" s="125"/>
      <c r="D244" s="126"/>
      <c r="E244" s="126"/>
      <c r="F244" s="125"/>
      <c r="G244" s="126"/>
      <c r="H244" s="126"/>
      <c r="I244" s="126"/>
      <c r="J244" s="126"/>
      <c r="K244" s="126"/>
      <c r="L244" s="126"/>
      <c r="M244" s="126"/>
      <c r="N244" s="129"/>
      <c r="O244" s="125"/>
      <c r="P244" s="129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spans="1:26" ht="14.25" customHeight="1">
      <c r="A245" s="125"/>
      <c r="B245" s="125"/>
      <c r="C245" s="125"/>
      <c r="D245" s="126"/>
      <c r="E245" s="126"/>
      <c r="F245" s="125"/>
      <c r="G245" s="126"/>
      <c r="H245" s="126"/>
      <c r="I245" s="126"/>
      <c r="J245" s="126"/>
      <c r="K245" s="126"/>
      <c r="L245" s="126"/>
      <c r="M245" s="126"/>
      <c r="N245" s="129"/>
      <c r="O245" s="125"/>
      <c r="P245" s="129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spans="1:26" ht="14.25" customHeight="1">
      <c r="A246" s="125"/>
      <c r="B246" s="125"/>
      <c r="C246" s="125"/>
      <c r="D246" s="126"/>
      <c r="E246" s="126"/>
      <c r="F246" s="125"/>
      <c r="G246" s="126"/>
      <c r="H246" s="126"/>
      <c r="I246" s="126"/>
      <c r="J246" s="126"/>
      <c r="K246" s="126"/>
      <c r="L246" s="126"/>
      <c r="M246" s="126"/>
      <c r="N246" s="129"/>
      <c r="O246" s="125"/>
      <c r="P246" s="129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spans="1:26" ht="14.25" customHeight="1">
      <c r="A247" s="125"/>
      <c r="B247" s="125"/>
      <c r="C247" s="125"/>
      <c r="D247" s="126"/>
      <c r="E247" s="126"/>
      <c r="F247" s="125"/>
      <c r="G247" s="126"/>
      <c r="H247" s="126"/>
      <c r="I247" s="126"/>
      <c r="J247" s="126"/>
      <c r="K247" s="126"/>
      <c r="L247" s="126"/>
      <c r="M247" s="126"/>
      <c r="N247" s="129"/>
      <c r="O247" s="125"/>
      <c r="P247" s="129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spans="1:26" ht="14.25" customHeight="1">
      <c r="A248" s="125"/>
      <c r="B248" s="125"/>
      <c r="C248" s="125"/>
      <c r="D248" s="126"/>
      <c r="E248" s="126"/>
      <c r="F248" s="125"/>
      <c r="G248" s="126"/>
      <c r="H248" s="126"/>
      <c r="I248" s="126"/>
      <c r="J248" s="126"/>
      <c r="K248" s="126"/>
      <c r="L248" s="126"/>
      <c r="M248" s="126"/>
      <c r="N248" s="129"/>
      <c r="O248" s="125"/>
      <c r="P248" s="129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spans="1:26" ht="14.25" customHeight="1">
      <c r="A249" s="125"/>
      <c r="B249" s="125"/>
      <c r="C249" s="125"/>
      <c r="D249" s="126"/>
      <c r="E249" s="126"/>
      <c r="F249" s="125"/>
      <c r="G249" s="126"/>
      <c r="H249" s="126"/>
      <c r="I249" s="126"/>
      <c r="J249" s="126"/>
      <c r="K249" s="126"/>
      <c r="L249" s="126"/>
      <c r="M249" s="126"/>
      <c r="N249" s="129"/>
      <c r="O249" s="125"/>
      <c r="P249" s="129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spans="1:26" ht="14.25" customHeight="1">
      <c r="A250" s="125"/>
      <c r="B250" s="125"/>
      <c r="C250" s="125"/>
      <c r="D250" s="126"/>
      <c r="E250" s="126"/>
      <c r="F250" s="125"/>
      <c r="G250" s="126"/>
      <c r="H250" s="126"/>
      <c r="I250" s="126"/>
      <c r="J250" s="126"/>
      <c r="K250" s="126"/>
      <c r="L250" s="126"/>
      <c r="M250" s="126"/>
      <c r="N250" s="129"/>
      <c r="O250" s="125"/>
      <c r="P250" s="129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spans="1:26" ht="14.25" customHeight="1">
      <c r="A251" s="125"/>
      <c r="B251" s="125"/>
      <c r="C251" s="125"/>
      <c r="D251" s="126"/>
      <c r="E251" s="126"/>
      <c r="F251" s="125"/>
      <c r="G251" s="126"/>
      <c r="H251" s="126"/>
      <c r="I251" s="126"/>
      <c r="J251" s="126"/>
      <c r="K251" s="126"/>
      <c r="L251" s="126"/>
      <c r="M251" s="126"/>
      <c r="N251" s="129"/>
      <c r="O251" s="125"/>
      <c r="P251" s="129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spans="1:26" ht="14.25" customHeight="1">
      <c r="A252" s="125"/>
      <c r="B252" s="125"/>
      <c r="C252" s="125"/>
      <c r="D252" s="126"/>
      <c r="E252" s="126"/>
      <c r="F252" s="125"/>
      <c r="G252" s="126"/>
      <c r="H252" s="126"/>
      <c r="I252" s="126"/>
      <c r="J252" s="126"/>
      <c r="K252" s="126"/>
      <c r="L252" s="126"/>
      <c r="M252" s="126"/>
      <c r="N252" s="129"/>
      <c r="O252" s="125"/>
      <c r="P252" s="129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spans="1:26" ht="14.25" customHeight="1">
      <c r="A253" s="125"/>
      <c r="B253" s="125"/>
      <c r="C253" s="125"/>
      <c r="D253" s="126"/>
      <c r="E253" s="126"/>
      <c r="F253" s="125"/>
      <c r="G253" s="126"/>
      <c r="H253" s="126"/>
      <c r="I253" s="126"/>
      <c r="J253" s="126"/>
      <c r="K253" s="126"/>
      <c r="L253" s="126"/>
      <c r="M253" s="126"/>
      <c r="N253" s="129"/>
      <c r="O253" s="125"/>
      <c r="P253" s="129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spans="1:26" ht="14.25" customHeight="1">
      <c r="A254" s="125"/>
      <c r="B254" s="125"/>
      <c r="C254" s="125"/>
      <c r="D254" s="126"/>
      <c r="E254" s="126"/>
      <c r="F254" s="125"/>
      <c r="G254" s="126"/>
      <c r="H254" s="126"/>
      <c r="I254" s="126"/>
      <c r="J254" s="126"/>
      <c r="K254" s="126"/>
      <c r="L254" s="126"/>
      <c r="M254" s="126"/>
      <c r="N254" s="129"/>
      <c r="O254" s="125"/>
      <c r="P254" s="129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spans="1:26" ht="14.25" customHeight="1">
      <c r="A255" s="125"/>
      <c r="B255" s="125"/>
      <c r="C255" s="125"/>
      <c r="D255" s="126"/>
      <c r="E255" s="126"/>
      <c r="F255" s="125"/>
      <c r="G255" s="126"/>
      <c r="H255" s="126"/>
      <c r="I255" s="126"/>
      <c r="J255" s="126"/>
      <c r="K255" s="126"/>
      <c r="L255" s="126"/>
      <c r="M255" s="126"/>
      <c r="N255" s="129"/>
      <c r="O255" s="125"/>
      <c r="P255" s="129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spans="1:26" ht="14.25" customHeight="1">
      <c r="A256" s="125"/>
      <c r="B256" s="125"/>
      <c r="C256" s="125"/>
      <c r="D256" s="126"/>
      <c r="E256" s="126"/>
      <c r="F256" s="125"/>
      <c r="G256" s="126"/>
      <c r="H256" s="126"/>
      <c r="I256" s="126"/>
      <c r="J256" s="126"/>
      <c r="K256" s="126"/>
      <c r="L256" s="126"/>
      <c r="M256" s="126"/>
      <c r="N256" s="129"/>
      <c r="O256" s="125"/>
      <c r="P256" s="129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spans="1:26" ht="14.25" customHeight="1">
      <c r="A257" s="125"/>
      <c r="B257" s="125"/>
      <c r="C257" s="125"/>
      <c r="D257" s="126"/>
      <c r="E257" s="126"/>
      <c r="F257" s="125"/>
      <c r="G257" s="126"/>
      <c r="H257" s="126"/>
      <c r="I257" s="126"/>
      <c r="J257" s="126"/>
      <c r="K257" s="126"/>
      <c r="L257" s="126"/>
      <c r="M257" s="126"/>
      <c r="N257" s="129"/>
      <c r="O257" s="125"/>
      <c r="P257" s="129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spans="1:26" ht="14.25" customHeight="1">
      <c r="A258" s="125"/>
      <c r="B258" s="125"/>
      <c r="C258" s="125"/>
      <c r="D258" s="126"/>
      <c r="E258" s="126"/>
      <c r="F258" s="125"/>
      <c r="G258" s="126"/>
      <c r="H258" s="126"/>
      <c r="I258" s="126"/>
      <c r="J258" s="126"/>
      <c r="K258" s="126"/>
      <c r="L258" s="126"/>
      <c r="M258" s="126"/>
      <c r="N258" s="129"/>
      <c r="O258" s="125"/>
      <c r="P258" s="129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spans="1:26" ht="14.25" customHeight="1">
      <c r="A259" s="125"/>
      <c r="B259" s="125"/>
      <c r="C259" s="125"/>
      <c r="D259" s="126"/>
      <c r="E259" s="126"/>
      <c r="F259" s="125"/>
      <c r="G259" s="126"/>
      <c r="H259" s="126"/>
      <c r="I259" s="126"/>
      <c r="J259" s="126"/>
      <c r="K259" s="126"/>
      <c r="L259" s="126"/>
      <c r="M259" s="126"/>
      <c r="N259" s="129"/>
      <c r="O259" s="125"/>
      <c r="P259" s="129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spans="1:26" ht="14.25" customHeight="1">
      <c r="A260" s="125"/>
      <c r="B260" s="125"/>
      <c r="C260" s="125"/>
      <c r="D260" s="126"/>
      <c r="E260" s="126"/>
      <c r="F260" s="125"/>
      <c r="G260" s="126"/>
      <c r="H260" s="126"/>
      <c r="I260" s="126"/>
      <c r="J260" s="126"/>
      <c r="K260" s="126"/>
      <c r="L260" s="126"/>
      <c r="M260" s="126"/>
      <c r="N260" s="129"/>
      <c r="O260" s="125"/>
      <c r="P260" s="129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spans="1:26" ht="14.25" customHeight="1">
      <c r="A261" s="125"/>
      <c r="B261" s="125"/>
      <c r="C261" s="125"/>
      <c r="D261" s="126"/>
      <c r="E261" s="126"/>
      <c r="F261" s="125"/>
      <c r="G261" s="126"/>
      <c r="H261" s="126"/>
      <c r="I261" s="126"/>
      <c r="J261" s="126"/>
      <c r="K261" s="126"/>
      <c r="L261" s="126"/>
      <c r="M261" s="126"/>
      <c r="N261" s="129"/>
      <c r="O261" s="125"/>
      <c r="P261" s="129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spans="1:26" ht="14.25" customHeight="1">
      <c r="A262" s="125"/>
      <c r="B262" s="125"/>
      <c r="C262" s="125"/>
      <c r="D262" s="126"/>
      <c r="E262" s="126"/>
      <c r="F262" s="125"/>
      <c r="G262" s="126"/>
      <c r="H262" s="126"/>
      <c r="I262" s="126"/>
      <c r="J262" s="126"/>
      <c r="K262" s="126"/>
      <c r="L262" s="126"/>
      <c r="M262" s="126"/>
      <c r="N262" s="129"/>
      <c r="O262" s="125"/>
      <c r="P262" s="129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spans="1:26" ht="14.25" customHeight="1">
      <c r="A263" s="125"/>
      <c r="B263" s="125"/>
      <c r="C263" s="125"/>
      <c r="D263" s="126"/>
      <c r="E263" s="126"/>
      <c r="F263" s="125"/>
      <c r="G263" s="126"/>
      <c r="H263" s="126"/>
      <c r="I263" s="126"/>
      <c r="J263" s="126"/>
      <c r="K263" s="126"/>
      <c r="L263" s="126"/>
      <c r="M263" s="126"/>
      <c r="N263" s="129"/>
      <c r="O263" s="125"/>
      <c r="P263" s="129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spans="1:26" ht="14.25" customHeight="1">
      <c r="A264" s="125"/>
      <c r="B264" s="125"/>
      <c r="C264" s="125"/>
      <c r="D264" s="126"/>
      <c r="E264" s="126"/>
      <c r="F264" s="125"/>
      <c r="G264" s="126"/>
      <c r="H264" s="126"/>
      <c r="I264" s="126"/>
      <c r="J264" s="126"/>
      <c r="K264" s="126"/>
      <c r="L264" s="126"/>
      <c r="M264" s="126"/>
      <c r="N264" s="129"/>
      <c r="O264" s="125"/>
      <c r="P264" s="129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spans="1:26" ht="14.25" customHeight="1">
      <c r="A265" s="125"/>
      <c r="B265" s="125"/>
      <c r="C265" s="125"/>
      <c r="D265" s="126"/>
      <c r="E265" s="126"/>
      <c r="F265" s="125"/>
      <c r="G265" s="126"/>
      <c r="H265" s="126"/>
      <c r="I265" s="126"/>
      <c r="J265" s="126"/>
      <c r="K265" s="126"/>
      <c r="L265" s="126"/>
      <c r="M265" s="126"/>
      <c r="N265" s="129"/>
      <c r="O265" s="125"/>
      <c r="P265" s="129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spans="1:26" ht="14.25" customHeight="1">
      <c r="A266" s="125"/>
      <c r="B266" s="125"/>
      <c r="C266" s="125"/>
      <c r="D266" s="126"/>
      <c r="E266" s="126"/>
      <c r="F266" s="125"/>
      <c r="G266" s="126"/>
      <c r="H266" s="126"/>
      <c r="I266" s="126"/>
      <c r="J266" s="126"/>
      <c r="K266" s="126"/>
      <c r="L266" s="126"/>
      <c r="M266" s="126"/>
      <c r="N266" s="129"/>
      <c r="O266" s="125"/>
      <c r="P266" s="129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spans="1:26" ht="14.25" customHeight="1">
      <c r="A267" s="125"/>
      <c r="B267" s="125"/>
      <c r="C267" s="125"/>
      <c r="D267" s="126"/>
      <c r="E267" s="126"/>
      <c r="F267" s="125"/>
      <c r="G267" s="126"/>
      <c r="H267" s="126"/>
      <c r="I267" s="126"/>
      <c r="J267" s="126"/>
      <c r="K267" s="126"/>
      <c r="L267" s="126"/>
      <c r="M267" s="126"/>
      <c r="N267" s="129"/>
      <c r="O267" s="125"/>
      <c r="P267" s="129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spans="1:26" ht="14.25" customHeight="1">
      <c r="A268" s="125"/>
      <c r="B268" s="125"/>
      <c r="C268" s="125"/>
      <c r="D268" s="126"/>
      <c r="E268" s="126"/>
      <c r="F268" s="125"/>
      <c r="G268" s="126"/>
      <c r="H268" s="126"/>
      <c r="I268" s="126"/>
      <c r="J268" s="126"/>
      <c r="K268" s="126"/>
      <c r="L268" s="126"/>
      <c r="M268" s="126"/>
      <c r="N268" s="129"/>
      <c r="O268" s="125"/>
      <c r="P268" s="129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spans="1:26" ht="14.25" customHeight="1">
      <c r="A269" s="125"/>
      <c r="B269" s="125"/>
      <c r="C269" s="125"/>
      <c r="D269" s="126"/>
      <c r="E269" s="126"/>
      <c r="F269" s="125"/>
      <c r="G269" s="126"/>
      <c r="H269" s="126"/>
      <c r="I269" s="126"/>
      <c r="J269" s="126"/>
      <c r="K269" s="126"/>
      <c r="L269" s="126"/>
      <c r="M269" s="126"/>
      <c r="N269" s="129"/>
      <c r="O269" s="125"/>
      <c r="P269" s="129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spans="1:26" ht="14.25" customHeight="1">
      <c r="A270" s="125"/>
      <c r="B270" s="125"/>
      <c r="C270" s="125"/>
      <c r="D270" s="126"/>
      <c r="E270" s="126"/>
      <c r="F270" s="125"/>
      <c r="G270" s="126"/>
      <c r="H270" s="126"/>
      <c r="I270" s="126"/>
      <c r="J270" s="126"/>
      <c r="K270" s="126"/>
      <c r="L270" s="126"/>
      <c r="M270" s="126"/>
      <c r="N270" s="129"/>
      <c r="O270" s="125"/>
      <c r="P270" s="129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spans="1:26" ht="14.25" customHeight="1">
      <c r="A271" s="125"/>
      <c r="B271" s="125"/>
      <c r="C271" s="125"/>
      <c r="D271" s="126"/>
      <c r="E271" s="126"/>
      <c r="F271" s="125"/>
      <c r="G271" s="126"/>
      <c r="H271" s="126"/>
      <c r="I271" s="126"/>
      <c r="J271" s="126"/>
      <c r="K271" s="126"/>
      <c r="L271" s="126"/>
      <c r="M271" s="126"/>
      <c r="N271" s="129"/>
      <c r="O271" s="125"/>
      <c r="P271" s="129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spans="1:26" ht="14.25" customHeight="1">
      <c r="A272" s="125"/>
      <c r="B272" s="125"/>
      <c r="C272" s="125"/>
      <c r="D272" s="126"/>
      <c r="E272" s="126"/>
      <c r="F272" s="125"/>
      <c r="G272" s="126"/>
      <c r="H272" s="126"/>
      <c r="I272" s="126"/>
      <c r="J272" s="126"/>
      <c r="K272" s="126"/>
      <c r="L272" s="126"/>
      <c r="M272" s="126"/>
      <c r="N272" s="129"/>
      <c r="O272" s="125"/>
      <c r="P272" s="129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spans="1:26" ht="14.25" customHeight="1">
      <c r="A273" s="125"/>
      <c r="B273" s="125"/>
      <c r="C273" s="125"/>
      <c r="D273" s="126"/>
      <c r="E273" s="126"/>
      <c r="F273" s="125"/>
      <c r="G273" s="126"/>
      <c r="H273" s="126"/>
      <c r="I273" s="126"/>
      <c r="J273" s="126"/>
      <c r="K273" s="126"/>
      <c r="L273" s="126"/>
      <c r="M273" s="126"/>
      <c r="N273" s="129"/>
      <c r="O273" s="125"/>
      <c r="P273" s="129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ht="14.25" customHeight="1">
      <c r="A274" s="125"/>
      <c r="B274" s="125"/>
      <c r="C274" s="125"/>
      <c r="D274" s="126"/>
      <c r="E274" s="126"/>
      <c r="F274" s="125"/>
      <c r="G274" s="126"/>
      <c r="H274" s="126"/>
      <c r="I274" s="126"/>
      <c r="J274" s="126"/>
      <c r="K274" s="126"/>
      <c r="L274" s="126"/>
      <c r="M274" s="126"/>
      <c r="N274" s="129"/>
      <c r="O274" s="125"/>
      <c r="P274" s="129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spans="1:26" ht="14.25" customHeight="1">
      <c r="A275" s="125"/>
      <c r="B275" s="125"/>
      <c r="C275" s="125"/>
      <c r="D275" s="126"/>
      <c r="E275" s="126"/>
      <c r="F275" s="125"/>
      <c r="G275" s="126"/>
      <c r="H275" s="126"/>
      <c r="I275" s="126"/>
      <c r="J275" s="126"/>
      <c r="K275" s="126"/>
      <c r="L275" s="126"/>
      <c r="M275" s="126"/>
      <c r="N275" s="129"/>
      <c r="O275" s="125"/>
      <c r="P275" s="129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spans="1:26" ht="14.25" customHeight="1">
      <c r="A276" s="125"/>
      <c r="B276" s="125"/>
      <c r="C276" s="125"/>
      <c r="D276" s="126"/>
      <c r="E276" s="126"/>
      <c r="F276" s="125"/>
      <c r="G276" s="126"/>
      <c r="H276" s="126"/>
      <c r="I276" s="126"/>
      <c r="J276" s="126"/>
      <c r="K276" s="126"/>
      <c r="L276" s="126"/>
      <c r="M276" s="126"/>
      <c r="N276" s="129"/>
      <c r="O276" s="125"/>
      <c r="P276" s="129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spans="1:26" ht="14.25" customHeight="1">
      <c r="A277" s="125"/>
      <c r="B277" s="125"/>
      <c r="C277" s="125"/>
      <c r="D277" s="126"/>
      <c r="E277" s="126"/>
      <c r="F277" s="125"/>
      <c r="G277" s="126"/>
      <c r="H277" s="126"/>
      <c r="I277" s="126"/>
      <c r="J277" s="126"/>
      <c r="K277" s="126"/>
      <c r="L277" s="126"/>
      <c r="M277" s="126"/>
      <c r="N277" s="129"/>
      <c r="O277" s="125"/>
      <c r="P277" s="129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spans="1:26" ht="14.25" customHeight="1">
      <c r="A278" s="125"/>
      <c r="B278" s="125"/>
      <c r="C278" s="125"/>
      <c r="D278" s="126"/>
      <c r="E278" s="126"/>
      <c r="F278" s="125"/>
      <c r="G278" s="126"/>
      <c r="H278" s="126"/>
      <c r="I278" s="126"/>
      <c r="J278" s="126"/>
      <c r="K278" s="126"/>
      <c r="L278" s="126"/>
      <c r="M278" s="126"/>
      <c r="N278" s="129"/>
      <c r="O278" s="125"/>
      <c r="P278" s="129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spans="1:26" ht="14.25" customHeight="1">
      <c r="A279" s="125"/>
      <c r="B279" s="125"/>
      <c r="C279" s="125"/>
      <c r="D279" s="126"/>
      <c r="E279" s="126"/>
      <c r="F279" s="125"/>
      <c r="G279" s="126"/>
      <c r="H279" s="126"/>
      <c r="I279" s="126"/>
      <c r="J279" s="126"/>
      <c r="K279" s="126"/>
      <c r="L279" s="126"/>
      <c r="M279" s="126"/>
      <c r="N279" s="129"/>
      <c r="O279" s="125"/>
      <c r="P279" s="129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spans="1:26" ht="14.25" customHeight="1">
      <c r="A280" s="125"/>
      <c r="B280" s="125"/>
      <c r="C280" s="125"/>
      <c r="D280" s="126"/>
      <c r="E280" s="126"/>
      <c r="F280" s="125"/>
      <c r="G280" s="126"/>
      <c r="H280" s="126"/>
      <c r="I280" s="126"/>
      <c r="J280" s="126"/>
      <c r="K280" s="126"/>
      <c r="L280" s="126"/>
      <c r="M280" s="126"/>
      <c r="N280" s="129"/>
      <c r="O280" s="125"/>
      <c r="P280" s="129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spans="1:26" ht="14.25" customHeight="1">
      <c r="A281" s="125"/>
      <c r="B281" s="125"/>
      <c r="C281" s="125"/>
      <c r="D281" s="126"/>
      <c r="E281" s="126"/>
      <c r="F281" s="125"/>
      <c r="G281" s="126"/>
      <c r="H281" s="126"/>
      <c r="I281" s="126"/>
      <c r="J281" s="126"/>
      <c r="K281" s="126"/>
      <c r="L281" s="126"/>
      <c r="M281" s="126"/>
      <c r="N281" s="129"/>
      <c r="O281" s="125"/>
      <c r="P281" s="129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spans="1:26" ht="14.25" customHeight="1">
      <c r="A282" s="125"/>
      <c r="B282" s="125"/>
      <c r="C282" s="125"/>
      <c r="D282" s="126"/>
      <c r="E282" s="126"/>
      <c r="F282" s="125"/>
      <c r="G282" s="126"/>
      <c r="H282" s="126"/>
      <c r="I282" s="126"/>
      <c r="J282" s="126"/>
      <c r="K282" s="126"/>
      <c r="L282" s="126"/>
      <c r="M282" s="126"/>
      <c r="N282" s="129"/>
      <c r="O282" s="125"/>
      <c r="P282" s="129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spans="1:26" ht="14.25" customHeight="1">
      <c r="A283" s="125"/>
      <c r="B283" s="125"/>
      <c r="C283" s="125"/>
      <c r="D283" s="126"/>
      <c r="E283" s="126"/>
      <c r="F283" s="125"/>
      <c r="G283" s="126"/>
      <c r="H283" s="126"/>
      <c r="I283" s="126"/>
      <c r="J283" s="126"/>
      <c r="K283" s="126"/>
      <c r="L283" s="126"/>
      <c r="M283" s="126"/>
      <c r="N283" s="129"/>
      <c r="O283" s="125"/>
      <c r="P283" s="129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spans="1:26" ht="14.25" customHeight="1">
      <c r="A284" s="125"/>
      <c r="B284" s="125"/>
      <c r="C284" s="125"/>
      <c r="D284" s="126"/>
      <c r="E284" s="126"/>
      <c r="F284" s="125"/>
      <c r="G284" s="126"/>
      <c r="H284" s="126"/>
      <c r="I284" s="126"/>
      <c r="J284" s="126"/>
      <c r="K284" s="126"/>
      <c r="L284" s="126"/>
      <c r="M284" s="126"/>
      <c r="N284" s="129"/>
      <c r="O284" s="125"/>
      <c r="P284" s="129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spans="1:26" ht="14.25" customHeight="1">
      <c r="A285" s="125"/>
      <c r="B285" s="125"/>
      <c r="C285" s="125"/>
      <c r="D285" s="126"/>
      <c r="E285" s="126"/>
      <c r="F285" s="125"/>
      <c r="G285" s="126"/>
      <c r="H285" s="126"/>
      <c r="I285" s="126"/>
      <c r="J285" s="126"/>
      <c r="K285" s="126"/>
      <c r="L285" s="126"/>
      <c r="M285" s="126"/>
      <c r="N285" s="129"/>
      <c r="O285" s="125"/>
      <c r="P285" s="129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spans="1:26" ht="14.25" customHeight="1">
      <c r="A286" s="125"/>
      <c r="B286" s="125"/>
      <c r="C286" s="125"/>
      <c r="D286" s="126"/>
      <c r="E286" s="126"/>
      <c r="F286" s="125"/>
      <c r="G286" s="126"/>
      <c r="H286" s="126"/>
      <c r="I286" s="126"/>
      <c r="J286" s="126"/>
      <c r="K286" s="126"/>
      <c r="L286" s="126"/>
      <c r="M286" s="126"/>
      <c r="N286" s="129"/>
      <c r="O286" s="125"/>
      <c r="P286" s="129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spans="1:26" ht="14.25" customHeight="1">
      <c r="A287" s="125"/>
      <c r="B287" s="125"/>
      <c r="C287" s="125"/>
      <c r="D287" s="126"/>
      <c r="E287" s="126"/>
      <c r="F287" s="125"/>
      <c r="G287" s="126"/>
      <c r="H287" s="126"/>
      <c r="I287" s="126"/>
      <c r="J287" s="126"/>
      <c r="K287" s="126"/>
      <c r="L287" s="126"/>
      <c r="M287" s="126"/>
      <c r="N287" s="129"/>
      <c r="O287" s="125"/>
      <c r="P287" s="129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spans="1:26" ht="14.25" customHeight="1">
      <c r="A288" s="125"/>
      <c r="B288" s="125"/>
      <c r="C288" s="125"/>
      <c r="D288" s="126"/>
      <c r="E288" s="126"/>
      <c r="F288" s="125"/>
      <c r="G288" s="126"/>
      <c r="H288" s="126"/>
      <c r="I288" s="126"/>
      <c r="J288" s="126"/>
      <c r="K288" s="126"/>
      <c r="L288" s="126"/>
      <c r="M288" s="126"/>
      <c r="N288" s="129"/>
      <c r="O288" s="125"/>
      <c r="P288" s="129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spans="1:26" ht="14.25" customHeight="1">
      <c r="A289" s="125"/>
      <c r="B289" s="125"/>
      <c r="C289" s="125"/>
      <c r="D289" s="126"/>
      <c r="E289" s="126"/>
      <c r="F289" s="125"/>
      <c r="G289" s="126"/>
      <c r="H289" s="126"/>
      <c r="I289" s="126"/>
      <c r="J289" s="126"/>
      <c r="K289" s="126"/>
      <c r="L289" s="126"/>
      <c r="M289" s="126"/>
      <c r="N289" s="129"/>
      <c r="O289" s="125"/>
      <c r="P289" s="129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spans="1:26" ht="14.25" customHeight="1">
      <c r="A290" s="125"/>
      <c r="B290" s="125"/>
      <c r="C290" s="125"/>
      <c r="D290" s="126"/>
      <c r="E290" s="126"/>
      <c r="F290" s="125"/>
      <c r="G290" s="126"/>
      <c r="H290" s="126"/>
      <c r="I290" s="126"/>
      <c r="J290" s="126"/>
      <c r="K290" s="126"/>
      <c r="L290" s="126"/>
      <c r="M290" s="126"/>
      <c r="N290" s="129"/>
      <c r="O290" s="125"/>
      <c r="P290" s="129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spans="1:26" ht="14.25" customHeight="1">
      <c r="A291" s="125"/>
      <c r="B291" s="125"/>
      <c r="C291" s="125"/>
      <c r="D291" s="126"/>
      <c r="E291" s="126"/>
      <c r="F291" s="125"/>
      <c r="G291" s="126"/>
      <c r="H291" s="126"/>
      <c r="I291" s="126"/>
      <c r="J291" s="126"/>
      <c r="K291" s="126"/>
      <c r="L291" s="126"/>
      <c r="M291" s="126"/>
      <c r="N291" s="129"/>
      <c r="O291" s="125"/>
      <c r="P291" s="129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spans="1:26" ht="14.25" customHeight="1">
      <c r="A292" s="125"/>
      <c r="B292" s="125"/>
      <c r="C292" s="125"/>
      <c r="D292" s="126"/>
      <c r="E292" s="126"/>
      <c r="F292" s="125"/>
      <c r="G292" s="126"/>
      <c r="H292" s="126"/>
      <c r="I292" s="126"/>
      <c r="J292" s="126"/>
      <c r="K292" s="126"/>
      <c r="L292" s="126"/>
      <c r="M292" s="126"/>
      <c r="N292" s="129"/>
      <c r="O292" s="125"/>
      <c r="P292" s="129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spans="1:26" ht="14.25" customHeight="1">
      <c r="A293" s="125"/>
      <c r="B293" s="125"/>
      <c r="C293" s="125"/>
      <c r="D293" s="126"/>
      <c r="E293" s="126"/>
      <c r="F293" s="125"/>
      <c r="G293" s="126"/>
      <c r="H293" s="126"/>
      <c r="I293" s="126"/>
      <c r="J293" s="126"/>
      <c r="K293" s="126"/>
      <c r="L293" s="126"/>
      <c r="M293" s="126"/>
      <c r="N293" s="129"/>
      <c r="O293" s="125"/>
      <c r="P293" s="129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spans="1:26" ht="14.25" customHeight="1">
      <c r="A294" s="125"/>
      <c r="B294" s="125"/>
      <c r="C294" s="125"/>
      <c r="D294" s="126"/>
      <c r="E294" s="126"/>
      <c r="F294" s="125"/>
      <c r="G294" s="126"/>
      <c r="H294" s="126"/>
      <c r="I294" s="126"/>
      <c r="J294" s="126"/>
      <c r="K294" s="126"/>
      <c r="L294" s="126"/>
      <c r="M294" s="126"/>
      <c r="N294" s="129"/>
      <c r="O294" s="125"/>
      <c r="P294" s="129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spans="1:26" ht="14.25" customHeight="1">
      <c r="A295" s="125"/>
      <c r="B295" s="125"/>
      <c r="C295" s="125"/>
      <c r="D295" s="126"/>
      <c r="E295" s="126"/>
      <c r="F295" s="125"/>
      <c r="G295" s="126"/>
      <c r="H295" s="126"/>
      <c r="I295" s="126"/>
      <c r="J295" s="126"/>
      <c r="K295" s="126"/>
      <c r="L295" s="126"/>
      <c r="M295" s="126"/>
      <c r="N295" s="129"/>
      <c r="O295" s="125"/>
      <c r="P295" s="129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spans="1:26" ht="14.25" customHeight="1">
      <c r="A296" s="125"/>
      <c r="B296" s="125"/>
      <c r="C296" s="125"/>
      <c r="D296" s="126"/>
      <c r="E296" s="126"/>
      <c r="F296" s="125"/>
      <c r="G296" s="126"/>
      <c r="H296" s="126"/>
      <c r="I296" s="126"/>
      <c r="J296" s="126"/>
      <c r="K296" s="126"/>
      <c r="L296" s="126"/>
      <c r="M296" s="126"/>
      <c r="N296" s="129"/>
      <c r="O296" s="125"/>
      <c r="P296" s="129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spans="1:26" ht="14.25" customHeight="1">
      <c r="A297" s="125"/>
      <c r="B297" s="125"/>
      <c r="C297" s="125"/>
      <c r="D297" s="126"/>
      <c r="E297" s="126"/>
      <c r="F297" s="125"/>
      <c r="G297" s="126"/>
      <c r="H297" s="126"/>
      <c r="I297" s="126"/>
      <c r="J297" s="126"/>
      <c r="K297" s="126"/>
      <c r="L297" s="126"/>
      <c r="M297" s="126"/>
      <c r="N297" s="129"/>
      <c r="O297" s="125"/>
      <c r="P297" s="129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spans="1:26" ht="14.25" customHeight="1">
      <c r="A298" s="125"/>
      <c r="B298" s="125"/>
      <c r="C298" s="125"/>
      <c r="D298" s="126"/>
      <c r="E298" s="126"/>
      <c r="F298" s="125"/>
      <c r="G298" s="126"/>
      <c r="H298" s="126"/>
      <c r="I298" s="126"/>
      <c r="J298" s="126"/>
      <c r="K298" s="126"/>
      <c r="L298" s="126"/>
      <c r="M298" s="126"/>
      <c r="N298" s="129"/>
      <c r="O298" s="125"/>
      <c r="P298" s="129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spans="1:26" ht="14.25" customHeight="1">
      <c r="A299" s="125"/>
      <c r="B299" s="125"/>
      <c r="C299" s="125"/>
      <c r="D299" s="126"/>
      <c r="E299" s="126"/>
      <c r="F299" s="125"/>
      <c r="G299" s="126"/>
      <c r="H299" s="126"/>
      <c r="I299" s="126"/>
      <c r="J299" s="126"/>
      <c r="K299" s="126"/>
      <c r="L299" s="126"/>
      <c r="M299" s="126"/>
      <c r="N299" s="129"/>
      <c r="O299" s="125"/>
      <c r="P299" s="129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spans="1:26" ht="14.25" customHeight="1">
      <c r="A300" s="125"/>
      <c r="B300" s="125"/>
      <c r="C300" s="125"/>
      <c r="D300" s="126"/>
      <c r="E300" s="126"/>
      <c r="F300" s="125"/>
      <c r="G300" s="126"/>
      <c r="H300" s="126"/>
      <c r="I300" s="126"/>
      <c r="J300" s="126"/>
      <c r="K300" s="126"/>
      <c r="L300" s="126"/>
      <c r="M300" s="126"/>
      <c r="N300" s="129"/>
      <c r="O300" s="125"/>
      <c r="P300" s="129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spans="1:26" ht="14.25" customHeight="1">
      <c r="A301" s="125"/>
      <c r="B301" s="125"/>
      <c r="C301" s="125"/>
      <c r="D301" s="126"/>
      <c r="E301" s="126"/>
      <c r="F301" s="125"/>
      <c r="G301" s="126"/>
      <c r="H301" s="126"/>
      <c r="I301" s="126"/>
      <c r="J301" s="126"/>
      <c r="K301" s="126"/>
      <c r="L301" s="126"/>
      <c r="M301" s="126"/>
      <c r="N301" s="129"/>
      <c r="O301" s="125"/>
      <c r="P301" s="129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spans="1:26" ht="14.25" customHeight="1">
      <c r="A302" s="125"/>
      <c r="B302" s="125"/>
      <c r="C302" s="125"/>
      <c r="D302" s="126"/>
      <c r="E302" s="126"/>
      <c r="F302" s="125"/>
      <c r="G302" s="126"/>
      <c r="H302" s="126"/>
      <c r="I302" s="126"/>
      <c r="J302" s="126"/>
      <c r="K302" s="126"/>
      <c r="L302" s="126"/>
      <c r="M302" s="126"/>
      <c r="N302" s="129"/>
      <c r="O302" s="125"/>
      <c r="P302" s="129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spans="1:26" ht="14.25" customHeight="1">
      <c r="A303" s="125"/>
      <c r="B303" s="125"/>
      <c r="C303" s="125"/>
      <c r="D303" s="126"/>
      <c r="E303" s="126"/>
      <c r="F303" s="125"/>
      <c r="G303" s="126"/>
      <c r="H303" s="126"/>
      <c r="I303" s="126"/>
      <c r="J303" s="126"/>
      <c r="K303" s="126"/>
      <c r="L303" s="126"/>
      <c r="M303" s="126"/>
      <c r="N303" s="129"/>
      <c r="O303" s="125"/>
      <c r="P303" s="129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spans="1:26" ht="14.25" customHeight="1">
      <c r="A304" s="125"/>
      <c r="B304" s="125"/>
      <c r="C304" s="125"/>
      <c r="D304" s="126"/>
      <c r="E304" s="126"/>
      <c r="F304" s="125"/>
      <c r="G304" s="126"/>
      <c r="H304" s="126"/>
      <c r="I304" s="126"/>
      <c r="J304" s="126"/>
      <c r="K304" s="126"/>
      <c r="L304" s="126"/>
      <c r="M304" s="126"/>
      <c r="N304" s="129"/>
      <c r="O304" s="125"/>
      <c r="P304" s="129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spans="1:26" ht="14.25" customHeight="1">
      <c r="A305" s="125"/>
      <c r="B305" s="125"/>
      <c r="C305" s="125"/>
      <c r="D305" s="126"/>
      <c r="E305" s="126"/>
      <c r="F305" s="125"/>
      <c r="G305" s="126"/>
      <c r="H305" s="126"/>
      <c r="I305" s="126"/>
      <c r="J305" s="126"/>
      <c r="K305" s="126"/>
      <c r="L305" s="126"/>
      <c r="M305" s="126"/>
      <c r="N305" s="129"/>
      <c r="O305" s="125"/>
      <c r="P305" s="129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spans="1:26" ht="14.25" customHeight="1">
      <c r="A306" s="125"/>
      <c r="B306" s="125"/>
      <c r="C306" s="125"/>
      <c r="D306" s="126"/>
      <c r="E306" s="126"/>
      <c r="F306" s="125"/>
      <c r="G306" s="126"/>
      <c r="H306" s="126"/>
      <c r="I306" s="126"/>
      <c r="J306" s="126"/>
      <c r="K306" s="126"/>
      <c r="L306" s="126"/>
      <c r="M306" s="126"/>
      <c r="N306" s="129"/>
      <c r="O306" s="125"/>
      <c r="P306" s="129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spans="1:26" ht="14.25" customHeight="1">
      <c r="A307" s="125"/>
      <c r="B307" s="125"/>
      <c r="C307" s="125"/>
      <c r="D307" s="126"/>
      <c r="E307" s="126"/>
      <c r="F307" s="125"/>
      <c r="G307" s="126"/>
      <c r="H307" s="126"/>
      <c r="I307" s="126"/>
      <c r="J307" s="126"/>
      <c r="K307" s="126"/>
      <c r="L307" s="126"/>
      <c r="M307" s="126"/>
      <c r="N307" s="129"/>
      <c r="O307" s="125"/>
      <c r="P307" s="129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spans="1:26" ht="14.25" customHeight="1">
      <c r="A308" s="125"/>
      <c r="B308" s="125"/>
      <c r="C308" s="125"/>
      <c r="D308" s="126"/>
      <c r="E308" s="126"/>
      <c r="F308" s="125"/>
      <c r="G308" s="126"/>
      <c r="H308" s="126"/>
      <c r="I308" s="126"/>
      <c r="J308" s="126"/>
      <c r="K308" s="126"/>
      <c r="L308" s="126"/>
      <c r="M308" s="126"/>
      <c r="N308" s="129"/>
      <c r="O308" s="125"/>
      <c r="P308" s="129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spans="1:26" ht="14.25" customHeight="1">
      <c r="A309" s="125"/>
      <c r="B309" s="125"/>
      <c r="C309" s="125"/>
      <c r="D309" s="126"/>
      <c r="E309" s="126"/>
      <c r="F309" s="125"/>
      <c r="G309" s="126"/>
      <c r="H309" s="126"/>
      <c r="I309" s="126"/>
      <c r="J309" s="126"/>
      <c r="K309" s="126"/>
      <c r="L309" s="126"/>
      <c r="M309" s="126"/>
      <c r="N309" s="129"/>
      <c r="O309" s="125"/>
      <c r="P309" s="129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spans="1:26" ht="14.25" customHeight="1">
      <c r="A310" s="125"/>
      <c r="B310" s="125"/>
      <c r="C310" s="125"/>
      <c r="D310" s="126"/>
      <c r="E310" s="126"/>
      <c r="F310" s="125"/>
      <c r="G310" s="126"/>
      <c r="H310" s="126"/>
      <c r="I310" s="126"/>
      <c r="J310" s="126"/>
      <c r="K310" s="126"/>
      <c r="L310" s="126"/>
      <c r="M310" s="126"/>
      <c r="N310" s="129"/>
      <c r="O310" s="125"/>
      <c r="P310" s="129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spans="1:26" ht="14.25" customHeight="1">
      <c r="A311" s="125"/>
      <c r="B311" s="125"/>
      <c r="C311" s="125"/>
      <c r="D311" s="126"/>
      <c r="E311" s="126"/>
      <c r="F311" s="125"/>
      <c r="G311" s="126"/>
      <c r="H311" s="126"/>
      <c r="I311" s="126"/>
      <c r="J311" s="126"/>
      <c r="K311" s="126"/>
      <c r="L311" s="126"/>
      <c r="M311" s="126"/>
      <c r="N311" s="129"/>
      <c r="O311" s="125"/>
      <c r="P311" s="129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spans="1:26" ht="14.25" customHeight="1">
      <c r="A312" s="125"/>
      <c r="B312" s="125"/>
      <c r="C312" s="125"/>
      <c r="D312" s="126"/>
      <c r="E312" s="126"/>
      <c r="F312" s="125"/>
      <c r="G312" s="126"/>
      <c r="H312" s="126"/>
      <c r="I312" s="126"/>
      <c r="J312" s="126"/>
      <c r="K312" s="126"/>
      <c r="L312" s="126"/>
      <c r="M312" s="126"/>
      <c r="N312" s="129"/>
      <c r="O312" s="125"/>
      <c r="P312" s="129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spans="1:26" ht="14.25" customHeight="1">
      <c r="A313" s="125"/>
      <c r="B313" s="125"/>
      <c r="C313" s="125"/>
      <c r="D313" s="126"/>
      <c r="E313" s="126"/>
      <c r="F313" s="125"/>
      <c r="G313" s="126"/>
      <c r="H313" s="126"/>
      <c r="I313" s="126"/>
      <c r="J313" s="126"/>
      <c r="K313" s="126"/>
      <c r="L313" s="126"/>
      <c r="M313" s="126"/>
      <c r="N313" s="129"/>
      <c r="O313" s="125"/>
      <c r="P313" s="129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spans="1:26" ht="14.25" customHeight="1">
      <c r="A314" s="125"/>
      <c r="B314" s="125"/>
      <c r="C314" s="125"/>
      <c r="D314" s="126"/>
      <c r="E314" s="126"/>
      <c r="F314" s="125"/>
      <c r="G314" s="126"/>
      <c r="H314" s="126"/>
      <c r="I314" s="126"/>
      <c r="J314" s="126"/>
      <c r="K314" s="126"/>
      <c r="L314" s="126"/>
      <c r="M314" s="126"/>
      <c r="N314" s="129"/>
      <c r="O314" s="125"/>
      <c r="P314" s="129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spans="1:26" ht="14.25" customHeight="1">
      <c r="A315" s="125"/>
      <c r="B315" s="125"/>
      <c r="C315" s="125"/>
      <c r="D315" s="126"/>
      <c r="E315" s="126"/>
      <c r="F315" s="125"/>
      <c r="G315" s="126"/>
      <c r="H315" s="126"/>
      <c r="I315" s="126"/>
      <c r="J315" s="126"/>
      <c r="K315" s="126"/>
      <c r="L315" s="126"/>
      <c r="M315" s="126"/>
      <c r="N315" s="129"/>
      <c r="O315" s="125"/>
      <c r="P315" s="129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spans="1:26" ht="14.25" customHeight="1">
      <c r="A316" s="125"/>
      <c r="B316" s="125"/>
      <c r="C316" s="125"/>
      <c r="D316" s="126"/>
      <c r="E316" s="126"/>
      <c r="F316" s="125"/>
      <c r="G316" s="126"/>
      <c r="H316" s="126"/>
      <c r="I316" s="126"/>
      <c r="J316" s="126"/>
      <c r="K316" s="126"/>
      <c r="L316" s="126"/>
      <c r="M316" s="126"/>
      <c r="N316" s="129"/>
      <c r="O316" s="125"/>
      <c r="P316" s="129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spans="1:26" ht="14.25" customHeight="1">
      <c r="A317" s="125"/>
      <c r="B317" s="125"/>
      <c r="C317" s="125"/>
      <c r="D317" s="126"/>
      <c r="E317" s="126"/>
      <c r="F317" s="125"/>
      <c r="G317" s="126"/>
      <c r="H317" s="126"/>
      <c r="I317" s="126"/>
      <c r="J317" s="126"/>
      <c r="K317" s="126"/>
      <c r="L317" s="126"/>
      <c r="M317" s="126"/>
      <c r="N317" s="129"/>
      <c r="O317" s="125"/>
      <c r="P317" s="129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spans="1:26" ht="14.25" customHeight="1">
      <c r="A318" s="125"/>
      <c r="B318" s="125"/>
      <c r="C318" s="125"/>
      <c r="D318" s="126"/>
      <c r="E318" s="126"/>
      <c r="F318" s="125"/>
      <c r="G318" s="126"/>
      <c r="H318" s="126"/>
      <c r="I318" s="126"/>
      <c r="J318" s="126"/>
      <c r="K318" s="126"/>
      <c r="L318" s="126"/>
      <c r="M318" s="126"/>
      <c r="N318" s="129"/>
      <c r="O318" s="125"/>
      <c r="P318" s="129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spans="1:26" ht="14.25" customHeight="1">
      <c r="A319" s="125"/>
      <c r="B319" s="125"/>
      <c r="C319" s="125"/>
      <c r="D319" s="126"/>
      <c r="E319" s="126"/>
      <c r="F319" s="125"/>
      <c r="G319" s="126"/>
      <c r="H319" s="126"/>
      <c r="I319" s="126"/>
      <c r="J319" s="126"/>
      <c r="K319" s="126"/>
      <c r="L319" s="126"/>
      <c r="M319" s="126"/>
      <c r="N319" s="129"/>
      <c r="O319" s="125"/>
      <c r="P319" s="129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spans="1:26" ht="14.25" customHeight="1">
      <c r="A320" s="125"/>
      <c r="B320" s="125"/>
      <c r="C320" s="125"/>
      <c r="D320" s="126"/>
      <c r="E320" s="126"/>
      <c r="F320" s="125"/>
      <c r="G320" s="126"/>
      <c r="H320" s="126"/>
      <c r="I320" s="126"/>
      <c r="J320" s="126"/>
      <c r="K320" s="126"/>
      <c r="L320" s="126"/>
      <c r="M320" s="126"/>
      <c r="N320" s="129"/>
      <c r="O320" s="125"/>
      <c r="P320" s="129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spans="1:26" ht="14.25" customHeight="1">
      <c r="A321" s="125"/>
      <c r="B321" s="125"/>
      <c r="C321" s="125"/>
      <c r="D321" s="126"/>
      <c r="E321" s="126"/>
      <c r="F321" s="125"/>
      <c r="G321" s="126"/>
      <c r="H321" s="126"/>
      <c r="I321" s="126"/>
      <c r="J321" s="126"/>
      <c r="K321" s="126"/>
      <c r="L321" s="126"/>
      <c r="M321" s="126"/>
      <c r="N321" s="129"/>
      <c r="O321" s="125"/>
      <c r="P321" s="129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spans="1:26" ht="14.25" customHeight="1">
      <c r="A322" s="125"/>
      <c r="B322" s="125"/>
      <c r="C322" s="125"/>
      <c r="D322" s="126"/>
      <c r="E322" s="126"/>
      <c r="F322" s="125"/>
      <c r="G322" s="126"/>
      <c r="H322" s="126"/>
      <c r="I322" s="126"/>
      <c r="J322" s="126"/>
      <c r="K322" s="126"/>
      <c r="L322" s="126"/>
      <c r="M322" s="126"/>
      <c r="N322" s="129"/>
      <c r="O322" s="125"/>
      <c r="P322" s="129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spans="1:26" ht="14.25" customHeight="1">
      <c r="A323" s="125"/>
      <c r="B323" s="125"/>
      <c r="C323" s="125"/>
      <c r="D323" s="126"/>
      <c r="E323" s="126"/>
      <c r="F323" s="125"/>
      <c r="G323" s="126"/>
      <c r="H323" s="126"/>
      <c r="I323" s="126"/>
      <c r="J323" s="126"/>
      <c r="K323" s="126"/>
      <c r="L323" s="126"/>
      <c r="M323" s="126"/>
      <c r="N323" s="129"/>
      <c r="O323" s="125"/>
      <c r="P323" s="129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spans="1:26" ht="14.25" customHeight="1">
      <c r="A324" s="125"/>
      <c r="B324" s="125"/>
      <c r="C324" s="125"/>
      <c r="D324" s="126"/>
      <c r="E324" s="126"/>
      <c r="F324" s="125"/>
      <c r="G324" s="126"/>
      <c r="H324" s="126"/>
      <c r="I324" s="126"/>
      <c r="J324" s="126"/>
      <c r="K324" s="126"/>
      <c r="L324" s="126"/>
      <c r="M324" s="126"/>
      <c r="N324" s="129"/>
      <c r="O324" s="125"/>
      <c r="P324" s="129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spans="1:26" ht="14.25" customHeight="1">
      <c r="A325" s="125"/>
      <c r="B325" s="125"/>
      <c r="C325" s="125"/>
      <c r="D325" s="126"/>
      <c r="E325" s="126"/>
      <c r="F325" s="125"/>
      <c r="G325" s="126"/>
      <c r="H325" s="126"/>
      <c r="I325" s="126"/>
      <c r="J325" s="126"/>
      <c r="K325" s="126"/>
      <c r="L325" s="126"/>
      <c r="M325" s="126"/>
      <c r="N325" s="129"/>
      <c r="O325" s="125"/>
      <c r="P325" s="129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spans="1:26" ht="14.25" customHeight="1">
      <c r="A326" s="125"/>
      <c r="B326" s="125"/>
      <c r="C326" s="125"/>
      <c r="D326" s="126"/>
      <c r="E326" s="126"/>
      <c r="F326" s="125"/>
      <c r="G326" s="126"/>
      <c r="H326" s="126"/>
      <c r="I326" s="126"/>
      <c r="J326" s="126"/>
      <c r="K326" s="126"/>
      <c r="L326" s="126"/>
      <c r="M326" s="126"/>
      <c r="N326" s="129"/>
      <c r="O326" s="125"/>
      <c r="P326" s="129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spans="1:26" ht="14.25" customHeight="1">
      <c r="A327" s="125"/>
      <c r="B327" s="125"/>
      <c r="C327" s="125"/>
      <c r="D327" s="126"/>
      <c r="E327" s="126"/>
      <c r="F327" s="125"/>
      <c r="G327" s="126"/>
      <c r="H327" s="126"/>
      <c r="I327" s="126"/>
      <c r="J327" s="126"/>
      <c r="K327" s="126"/>
      <c r="L327" s="126"/>
      <c r="M327" s="126"/>
      <c r="N327" s="129"/>
      <c r="O327" s="125"/>
      <c r="P327" s="129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spans="1:26" ht="14.25" customHeight="1">
      <c r="A328" s="125"/>
      <c r="B328" s="125"/>
      <c r="C328" s="125"/>
      <c r="D328" s="126"/>
      <c r="E328" s="126"/>
      <c r="F328" s="125"/>
      <c r="G328" s="126"/>
      <c r="H328" s="126"/>
      <c r="I328" s="126"/>
      <c r="J328" s="126"/>
      <c r="K328" s="126"/>
      <c r="L328" s="126"/>
      <c r="M328" s="126"/>
      <c r="N328" s="129"/>
      <c r="O328" s="125"/>
      <c r="P328" s="129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spans="1:26" ht="14.25" customHeight="1">
      <c r="A329" s="125"/>
      <c r="B329" s="125"/>
      <c r="C329" s="125"/>
      <c r="D329" s="126"/>
      <c r="E329" s="126"/>
      <c r="F329" s="125"/>
      <c r="G329" s="126"/>
      <c r="H329" s="126"/>
      <c r="I329" s="126"/>
      <c r="J329" s="126"/>
      <c r="K329" s="126"/>
      <c r="L329" s="126"/>
      <c r="M329" s="126"/>
      <c r="N329" s="129"/>
      <c r="O329" s="125"/>
      <c r="P329" s="129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spans="1:26" ht="14.25" customHeight="1">
      <c r="A330" s="125"/>
      <c r="B330" s="125"/>
      <c r="C330" s="125"/>
      <c r="D330" s="126"/>
      <c r="E330" s="126"/>
      <c r="F330" s="125"/>
      <c r="G330" s="126"/>
      <c r="H330" s="126"/>
      <c r="I330" s="126"/>
      <c r="J330" s="126"/>
      <c r="K330" s="126"/>
      <c r="L330" s="126"/>
      <c r="M330" s="126"/>
      <c r="N330" s="129"/>
      <c r="O330" s="125"/>
      <c r="P330" s="129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spans="1:26" ht="14.25" customHeight="1">
      <c r="A331" s="125"/>
      <c r="B331" s="125"/>
      <c r="C331" s="125"/>
      <c r="D331" s="126"/>
      <c r="E331" s="126"/>
      <c r="F331" s="125"/>
      <c r="G331" s="126"/>
      <c r="H331" s="126"/>
      <c r="I331" s="126"/>
      <c r="J331" s="126"/>
      <c r="K331" s="126"/>
      <c r="L331" s="126"/>
      <c r="M331" s="126"/>
      <c r="N331" s="129"/>
      <c r="O331" s="125"/>
      <c r="P331" s="129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spans="1:26" ht="14.25" customHeight="1">
      <c r="A332" s="125"/>
      <c r="B332" s="125"/>
      <c r="C332" s="125"/>
      <c r="D332" s="126"/>
      <c r="E332" s="126"/>
      <c r="F332" s="125"/>
      <c r="G332" s="126"/>
      <c r="H332" s="126"/>
      <c r="I332" s="126"/>
      <c r="J332" s="126"/>
      <c r="K332" s="126"/>
      <c r="L332" s="126"/>
      <c r="M332" s="126"/>
      <c r="N332" s="129"/>
      <c r="O332" s="125"/>
      <c r="P332" s="129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spans="1:26" ht="14.25" customHeight="1">
      <c r="A333" s="125"/>
      <c r="B333" s="125"/>
      <c r="C333" s="125"/>
      <c r="D333" s="126"/>
      <c r="E333" s="126"/>
      <c r="F333" s="125"/>
      <c r="G333" s="126"/>
      <c r="H333" s="126"/>
      <c r="I333" s="126"/>
      <c r="J333" s="126"/>
      <c r="K333" s="126"/>
      <c r="L333" s="126"/>
      <c r="M333" s="126"/>
      <c r="N333" s="129"/>
      <c r="O333" s="125"/>
      <c r="P333" s="129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spans="1:26" ht="14.25" customHeight="1">
      <c r="A334" s="125"/>
      <c r="B334" s="125"/>
      <c r="C334" s="125"/>
      <c r="D334" s="126"/>
      <c r="E334" s="126"/>
      <c r="F334" s="125"/>
      <c r="G334" s="126"/>
      <c r="H334" s="126"/>
      <c r="I334" s="126"/>
      <c r="J334" s="126"/>
      <c r="K334" s="126"/>
      <c r="L334" s="126"/>
      <c r="M334" s="126"/>
      <c r="N334" s="129"/>
      <c r="O334" s="125"/>
      <c r="P334" s="129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spans="1:26" ht="14.25" customHeight="1">
      <c r="A335" s="125"/>
      <c r="B335" s="125"/>
      <c r="C335" s="125"/>
      <c r="D335" s="126"/>
      <c r="E335" s="126"/>
      <c r="F335" s="125"/>
      <c r="G335" s="126"/>
      <c r="H335" s="126"/>
      <c r="I335" s="126"/>
      <c r="J335" s="126"/>
      <c r="K335" s="126"/>
      <c r="L335" s="126"/>
      <c r="M335" s="126"/>
      <c r="N335" s="129"/>
      <c r="O335" s="125"/>
      <c r="P335" s="129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spans="1:26" ht="14.25" customHeight="1">
      <c r="A336" s="125"/>
      <c r="B336" s="125"/>
      <c r="C336" s="125"/>
      <c r="D336" s="126"/>
      <c r="E336" s="126"/>
      <c r="F336" s="125"/>
      <c r="G336" s="126"/>
      <c r="H336" s="126"/>
      <c r="I336" s="126"/>
      <c r="J336" s="126"/>
      <c r="K336" s="126"/>
      <c r="L336" s="126"/>
      <c r="M336" s="126"/>
      <c r="N336" s="129"/>
      <c r="O336" s="125"/>
      <c r="P336" s="129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spans="1:26" ht="14.25" customHeight="1">
      <c r="A337" s="125"/>
      <c r="B337" s="125"/>
      <c r="C337" s="125"/>
      <c r="D337" s="126"/>
      <c r="E337" s="126"/>
      <c r="F337" s="125"/>
      <c r="G337" s="126"/>
      <c r="H337" s="126"/>
      <c r="I337" s="126"/>
      <c r="J337" s="126"/>
      <c r="K337" s="126"/>
      <c r="L337" s="126"/>
      <c r="M337" s="126"/>
      <c r="N337" s="129"/>
      <c r="O337" s="125"/>
      <c r="P337" s="129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spans="1:26" ht="14.25" customHeight="1">
      <c r="A338" s="125"/>
      <c r="B338" s="125"/>
      <c r="C338" s="125"/>
      <c r="D338" s="126"/>
      <c r="E338" s="126"/>
      <c r="F338" s="125"/>
      <c r="G338" s="126"/>
      <c r="H338" s="126"/>
      <c r="I338" s="126"/>
      <c r="J338" s="126"/>
      <c r="K338" s="126"/>
      <c r="L338" s="126"/>
      <c r="M338" s="126"/>
      <c r="N338" s="129"/>
      <c r="O338" s="125"/>
      <c r="P338" s="129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spans="1:26" ht="14.25" customHeight="1">
      <c r="A339" s="125"/>
      <c r="B339" s="125"/>
      <c r="C339" s="125"/>
      <c r="D339" s="126"/>
      <c r="E339" s="126"/>
      <c r="F339" s="125"/>
      <c r="G339" s="126"/>
      <c r="H339" s="126"/>
      <c r="I339" s="126"/>
      <c r="J339" s="126"/>
      <c r="K339" s="126"/>
      <c r="L339" s="126"/>
      <c r="M339" s="126"/>
      <c r="N339" s="129"/>
      <c r="O339" s="125"/>
      <c r="P339" s="129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spans="1:26" ht="14.25" customHeight="1">
      <c r="A340" s="125"/>
      <c r="B340" s="125"/>
      <c r="C340" s="125"/>
      <c r="D340" s="126"/>
      <c r="E340" s="126"/>
      <c r="F340" s="125"/>
      <c r="G340" s="126"/>
      <c r="H340" s="126"/>
      <c r="I340" s="126"/>
      <c r="J340" s="126"/>
      <c r="K340" s="126"/>
      <c r="L340" s="126"/>
      <c r="M340" s="126"/>
      <c r="N340" s="129"/>
      <c r="O340" s="125"/>
      <c r="P340" s="129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spans="1:26" ht="14.25" customHeight="1">
      <c r="A341" s="125"/>
      <c r="B341" s="125"/>
      <c r="C341" s="125"/>
      <c r="D341" s="126"/>
      <c r="E341" s="126"/>
      <c r="F341" s="125"/>
      <c r="G341" s="126"/>
      <c r="H341" s="126"/>
      <c r="I341" s="126"/>
      <c r="J341" s="126"/>
      <c r="K341" s="126"/>
      <c r="L341" s="126"/>
      <c r="M341" s="126"/>
      <c r="N341" s="129"/>
      <c r="O341" s="125"/>
      <c r="P341" s="129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spans="1:26" ht="14.25" customHeight="1">
      <c r="A342" s="125"/>
      <c r="B342" s="125"/>
      <c r="C342" s="125"/>
      <c r="D342" s="126"/>
      <c r="E342" s="126"/>
      <c r="F342" s="125"/>
      <c r="G342" s="126"/>
      <c r="H342" s="126"/>
      <c r="I342" s="126"/>
      <c r="J342" s="126"/>
      <c r="K342" s="126"/>
      <c r="L342" s="126"/>
      <c r="M342" s="126"/>
      <c r="N342" s="129"/>
      <c r="O342" s="125"/>
      <c r="P342" s="129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spans="1:26" ht="14.25" customHeight="1">
      <c r="A343" s="125"/>
      <c r="B343" s="125"/>
      <c r="C343" s="125"/>
      <c r="D343" s="126"/>
      <c r="E343" s="126"/>
      <c r="F343" s="125"/>
      <c r="G343" s="126"/>
      <c r="H343" s="126"/>
      <c r="I343" s="126"/>
      <c r="J343" s="126"/>
      <c r="K343" s="126"/>
      <c r="L343" s="126"/>
      <c r="M343" s="126"/>
      <c r="N343" s="129"/>
      <c r="O343" s="125"/>
      <c r="P343" s="129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spans="1:26" ht="14.25" customHeight="1">
      <c r="A344" s="125"/>
      <c r="B344" s="125"/>
      <c r="C344" s="125"/>
      <c r="D344" s="126"/>
      <c r="E344" s="126"/>
      <c r="F344" s="125"/>
      <c r="G344" s="126"/>
      <c r="H344" s="126"/>
      <c r="I344" s="126"/>
      <c r="J344" s="126"/>
      <c r="K344" s="126"/>
      <c r="L344" s="126"/>
      <c r="M344" s="126"/>
      <c r="N344" s="129"/>
      <c r="O344" s="125"/>
      <c r="P344" s="129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spans="1:26" ht="14.25" customHeight="1">
      <c r="A345" s="125"/>
      <c r="B345" s="125"/>
      <c r="C345" s="125"/>
      <c r="D345" s="126"/>
      <c r="E345" s="126"/>
      <c r="F345" s="125"/>
      <c r="G345" s="126"/>
      <c r="H345" s="126"/>
      <c r="I345" s="126"/>
      <c r="J345" s="126"/>
      <c r="K345" s="126"/>
      <c r="L345" s="126"/>
      <c r="M345" s="126"/>
      <c r="N345" s="129"/>
      <c r="O345" s="125"/>
      <c r="P345" s="129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spans="1:26" ht="14.25" customHeight="1">
      <c r="A346" s="125"/>
      <c r="B346" s="125"/>
      <c r="C346" s="125"/>
      <c r="D346" s="126"/>
      <c r="E346" s="126"/>
      <c r="F346" s="125"/>
      <c r="G346" s="126"/>
      <c r="H346" s="126"/>
      <c r="I346" s="126"/>
      <c r="J346" s="126"/>
      <c r="K346" s="126"/>
      <c r="L346" s="126"/>
      <c r="M346" s="126"/>
      <c r="N346" s="129"/>
      <c r="O346" s="125"/>
      <c r="P346" s="129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spans="1:26" ht="14.25" customHeight="1">
      <c r="A347" s="125"/>
      <c r="B347" s="125"/>
      <c r="C347" s="125"/>
      <c r="D347" s="126"/>
      <c r="E347" s="126"/>
      <c r="F347" s="125"/>
      <c r="G347" s="126"/>
      <c r="H347" s="126"/>
      <c r="I347" s="126"/>
      <c r="J347" s="126"/>
      <c r="K347" s="126"/>
      <c r="L347" s="126"/>
      <c r="M347" s="126"/>
      <c r="N347" s="129"/>
      <c r="O347" s="125"/>
      <c r="P347" s="129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spans="1:26" ht="14.25" customHeight="1">
      <c r="A348" s="125"/>
      <c r="B348" s="125"/>
      <c r="C348" s="125"/>
      <c r="D348" s="126"/>
      <c r="E348" s="126"/>
      <c r="F348" s="125"/>
      <c r="G348" s="126"/>
      <c r="H348" s="126"/>
      <c r="I348" s="126"/>
      <c r="J348" s="126"/>
      <c r="K348" s="126"/>
      <c r="L348" s="126"/>
      <c r="M348" s="126"/>
      <c r="N348" s="129"/>
      <c r="O348" s="125"/>
      <c r="P348" s="129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spans="1:26" ht="14.25" customHeight="1">
      <c r="A349" s="125"/>
      <c r="B349" s="125"/>
      <c r="C349" s="125"/>
      <c r="D349" s="126"/>
      <c r="E349" s="126"/>
      <c r="F349" s="125"/>
      <c r="G349" s="126"/>
      <c r="H349" s="126"/>
      <c r="I349" s="126"/>
      <c r="J349" s="126"/>
      <c r="K349" s="126"/>
      <c r="L349" s="126"/>
      <c r="M349" s="126"/>
      <c r="N349" s="129"/>
      <c r="O349" s="125"/>
      <c r="P349" s="129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spans="1:26" ht="14.25" customHeight="1">
      <c r="A350" s="125"/>
      <c r="B350" s="125"/>
      <c r="C350" s="125"/>
      <c r="D350" s="126"/>
      <c r="E350" s="126"/>
      <c r="F350" s="125"/>
      <c r="G350" s="126"/>
      <c r="H350" s="126"/>
      <c r="I350" s="126"/>
      <c r="J350" s="126"/>
      <c r="K350" s="126"/>
      <c r="L350" s="126"/>
      <c r="M350" s="126"/>
      <c r="N350" s="129"/>
      <c r="O350" s="125"/>
      <c r="P350" s="129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spans="1:26" ht="14.25" customHeight="1">
      <c r="A351" s="125"/>
      <c r="B351" s="125"/>
      <c r="C351" s="125"/>
      <c r="D351" s="126"/>
      <c r="E351" s="126"/>
      <c r="F351" s="125"/>
      <c r="G351" s="126"/>
      <c r="H351" s="126"/>
      <c r="I351" s="126"/>
      <c r="J351" s="126"/>
      <c r="K351" s="126"/>
      <c r="L351" s="126"/>
      <c r="M351" s="126"/>
      <c r="N351" s="129"/>
      <c r="O351" s="125"/>
      <c r="P351" s="129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spans="1:26" ht="14.25" customHeight="1">
      <c r="A352" s="125"/>
      <c r="B352" s="125"/>
      <c r="C352" s="125"/>
      <c r="D352" s="126"/>
      <c r="E352" s="126"/>
      <c r="F352" s="125"/>
      <c r="G352" s="126"/>
      <c r="H352" s="126"/>
      <c r="I352" s="126"/>
      <c r="J352" s="126"/>
      <c r="K352" s="126"/>
      <c r="L352" s="126"/>
      <c r="M352" s="126"/>
      <c r="N352" s="129"/>
      <c r="O352" s="125"/>
      <c r="P352" s="129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spans="1:26" ht="14.25" customHeight="1">
      <c r="A353" s="125"/>
      <c r="B353" s="125"/>
      <c r="C353" s="125"/>
      <c r="D353" s="126"/>
      <c r="E353" s="126"/>
      <c r="F353" s="125"/>
      <c r="G353" s="126"/>
      <c r="H353" s="126"/>
      <c r="I353" s="126"/>
      <c r="J353" s="126"/>
      <c r="K353" s="126"/>
      <c r="L353" s="126"/>
      <c r="M353" s="126"/>
      <c r="N353" s="129"/>
      <c r="O353" s="125"/>
      <c r="P353" s="129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spans="1:26" ht="14.25" customHeight="1">
      <c r="A354" s="125"/>
      <c r="B354" s="125"/>
      <c r="C354" s="125"/>
      <c r="D354" s="126"/>
      <c r="E354" s="126"/>
      <c r="F354" s="125"/>
      <c r="G354" s="126"/>
      <c r="H354" s="126"/>
      <c r="I354" s="126"/>
      <c r="J354" s="126"/>
      <c r="K354" s="126"/>
      <c r="L354" s="126"/>
      <c r="M354" s="126"/>
      <c r="N354" s="129"/>
      <c r="O354" s="125"/>
      <c r="P354" s="129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spans="1:26" ht="14.25" customHeight="1">
      <c r="A355" s="125"/>
      <c r="B355" s="125"/>
      <c r="C355" s="125"/>
      <c r="D355" s="126"/>
      <c r="E355" s="126"/>
      <c r="F355" s="125"/>
      <c r="G355" s="126"/>
      <c r="H355" s="126"/>
      <c r="I355" s="126"/>
      <c r="J355" s="126"/>
      <c r="K355" s="126"/>
      <c r="L355" s="126"/>
      <c r="M355" s="126"/>
      <c r="N355" s="129"/>
      <c r="O355" s="125"/>
      <c r="P355" s="129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spans="1:26" ht="14.25" customHeight="1">
      <c r="A356" s="125"/>
      <c r="B356" s="125"/>
      <c r="C356" s="125"/>
      <c r="D356" s="126"/>
      <c r="E356" s="126"/>
      <c r="F356" s="125"/>
      <c r="G356" s="126"/>
      <c r="H356" s="126"/>
      <c r="I356" s="126"/>
      <c r="J356" s="126"/>
      <c r="K356" s="126"/>
      <c r="L356" s="126"/>
      <c r="M356" s="126"/>
      <c r="N356" s="129"/>
      <c r="O356" s="125"/>
      <c r="P356" s="129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spans="1:26" ht="14.25" customHeight="1">
      <c r="A357" s="125"/>
      <c r="B357" s="125"/>
      <c r="C357" s="125"/>
      <c r="D357" s="126"/>
      <c r="E357" s="126"/>
      <c r="F357" s="125"/>
      <c r="G357" s="126"/>
      <c r="H357" s="126"/>
      <c r="I357" s="126"/>
      <c r="J357" s="126"/>
      <c r="K357" s="126"/>
      <c r="L357" s="126"/>
      <c r="M357" s="126"/>
      <c r="N357" s="129"/>
      <c r="O357" s="125"/>
      <c r="P357" s="129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spans="1:26" ht="14.25" customHeight="1">
      <c r="A358" s="125"/>
      <c r="B358" s="125"/>
      <c r="C358" s="125"/>
      <c r="D358" s="126"/>
      <c r="E358" s="126"/>
      <c r="F358" s="125"/>
      <c r="G358" s="126"/>
      <c r="H358" s="126"/>
      <c r="I358" s="126"/>
      <c r="J358" s="126"/>
      <c r="K358" s="126"/>
      <c r="L358" s="126"/>
      <c r="M358" s="126"/>
      <c r="N358" s="129"/>
      <c r="O358" s="125"/>
      <c r="P358" s="129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spans="1:26" ht="14.25" customHeight="1">
      <c r="A359" s="125"/>
      <c r="B359" s="125"/>
      <c r="C359" s="125"/>
      <c r="D359" s="126"/>
      <c r="E359" s="126"/>
      <c r="F359" s="125"/>
      <c r="G359" s="126"/>
      <c r="H359" s="126"/>
      <c r="I359" s="126"/>
      <c r="J359" s="126"/>
      <c r="K359" s="126"/>
      <c r="L359" s="126"/>
      <c r="M359" s="126"/>
      <c r="N359" s="129"/>
      <c r="O359" s="125"/>
      <c r="P359" s="129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spans="1:26" ht="14.25" customHeight="1">
      <c r="A360" s="125"/>
      <c r="B360" s="125"/>
      <c r="C360" s="125"/>
      <c r="D360" s="126"/>
      <c r="E360" s="126"/>
      <c r="F360" s="125"/>
      <c r="G360" s="126"/>
      <c r="H360" s="126"/>
      <c r="I360" s="126"/>
      <c r="J360" s="126"/>
      <c r="K360" s="126"/>
      <c r="L360" s="126"/>
      <c r="M360" s="126"/>
      <c r="N360" s="129"/>
      <c r="O360" s="125"/>
      <c r="P360" s="129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spans="1:26" ht="14.25" customHeight="1">
      <c r="A361" s="125"/>
      <c r="B361" s="125"/>
      <c r="C361" s="125"/>
      <c r="D361" s="126"/>
      <c r="E361" s="126"/>
      <c r="F361" s="125"/>
      <c r="G361" s="126"/>
      <c r="H361" s="126"/>
      <c r="I361" s="126"/>
      <c r="J361" s="126"/>
      <c r="K361" s="126"/>
      <c r="L361" s="126"/>
      <c r="M361" s="126"/>
      <c r="N361" s="129"/>
      <c r="O361" s="125"/>
      <c r="P361" s="129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spans="1:26" ht="14.25" customHeight="1">
      <c r="A362" s="125"/>
      <c r="B362" s="125"/>
      <c r="C362" s="125"/>
      <c r="D362" s="126"/>
      <c r="E362" s="126"/>
      <c r="F362" s="125"/>
      <c r="G362" s="126"/>
      <c r="H362" s="126"/>
      <c r="I362" s="126"/>
      <c r="J362" s="126"/>
      <c r="K362" s="126"/>
      <c r="L362" s="126"/>
      <c r="M362" s="126"/>
      <c r="N362" s="129"/>
      <c r="O362" s="125"/>
      <c r="P362" s="129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spans="1:26" ht="14.25" customHeight="1">
      <c r="A363" s="125"/>
      <c r="B363" s="125"/>
      <c r="C363" s="125"/>
      <c r="D363" s="126"/>
      <c r="E363" s="126"/>
      <c r="F363" s="125"/>
      <c r="G363" s="126"/>
      <c r="H363" s="126"/>
      <c r="I363" s="126"/>
      <c r="J363" s="126"/>
      <c r="K363" s="126"/>
      <c r="L363" s="126"/>
      <c r="M363" s="126"/>
      <c r="N363" s="129"/>
      <c r="O363" s="125"/>
      <c r="P363" s="129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spans="1:26" ht="14.25" customHeight="1">
      <c r="A364" s="125"/>
      <c r="B364" s="125"/>
      <c r="C364" s="125"/>
      <c r="D364" s="126"/>
      <c r="E364" s="126"/>
      <c r="F364" s="125"/>
      <c r="G364" s="126"/>
      <c r="H364" s="126"/>
      <c r="I364" s="126"/>
      <c r="J364" s="126"/>
      <c r="K364" s="126"/>
      <c r="L364" s="126"/>
      <c r="M364" s="126"/>
      <c r="N364" s="129"/>
      <c r="O364" s="125"/>
      <c r="P364" s="129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spans="1:26" ht="14.25" customHeight="1">
      <c r="A365" s="125"/>
      <c r="B365" s="125"/>
      <c r="C365" s="125"/>
      <c r="D365" s="126"/>
      <c r="E365" s="126"/>
      <c r="F365" s="125"/>
      <c r="G365" s="126"/>
      <c r="H365" s="126"/>
      <c r="I365" s="126"/>
      <c r="J365" s="126"/>
      <c r="K365" s="126"/>
      <c r="L365" s="126"/>
      <c r="M365" s="126"/>
      <c r="N365" s="129"/>
      <c r="O365" s="125"/>
      <c r="P365" s="129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spans="1:26" ht="14.25" customHeight="1">
      <c r="A366" s="125"/>
      <c r="B366" s="125"/>
      <c r="C366" s="125"/>
      <c r="D366" s="126"/>
      <c r="E366" s="126"/>
      <c r="F366" s="125"/>
      <c r="G366" s="126"/>
      <c r="H366" s="126"/>
      <c r="I366" s="126"/>
      <c r="J366" s="126"/>
      <c r="K366" s="126"/>
      <c r="L366" s="126"/>
      <c r="M366" s="126"/>
      <c r="N366" s="129"/>
      <c r="O366" s="125"/>
      <c r="P366" s="129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6" ht="14.25" customHeight="1">
      <c r="A367" s="125"/>
      <c r="B367" s="125"/>
      <c r="C367" s="125"/>
      <c r="D367" s="126"/>
      <c r="E367" s="126"/>
      <c r="F367" s="125"/>
      <c r="G367" s="126"/>
      <c r="H367" s="126"/>
      <c r="I367" s="126"/>
      <c r="J367" s="126"/>
      <c r="K367" s="126"/>
      <c r="L367" s="126"/>
      <c r="M367" s="126"/>
      <c r="N367" s="129"/>
      <c r="O367" s="125"/>
      <c r="P367" s="129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spans="1:26" ht="14.25" customHeight="1">
      <c r="A368" s="125"/>
      <c r="B368" s="125"/>
      <c r="C368" s="125"/>
      <c r="D368" s="126"/>
      <c r="E368" s="126"/>
      <c r="F368" s="125"/>
      <c r="G368" s="126"/>
      <c r="H368" s="126"/>
      <c r="I368" s="126"/>
      <c r="J368" s="126"/>
      <c r="K368" s="126"/>
      <c r="L368" s="126"/>
      <c r="M368" s="126"/>
      <c r="N368" s="129"/>
      <c r="O368" s="125"/>
      <c r="P368" s="129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spans="1:26" ht="14.25" customHeight="1">
      <c r="A369" s="125"/>
      <c r="B369" s="125"/>
      <c r="C369" s="125"/>
      <c r="D369" s="126"/>
      <c r="E369" s="126"/>
      <c r="F369" s="125"/>
      <c r="G369" s="126"/>
      <c r="H369" s="126"/>
      <c r="I369" s="126"/>
      <c r="J369" s="126"/>
      <c r="K369" s="126"/>
      <c r="L369" s="126"/>
      <c r="M369" s="126"/>
      <c r="N369" s="129"/>
      <c r="O369" s="125"/>
      <c r="P369" s="129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spans="1:26" ht="14.25" customHeight="1">
      <c r="A370" s="125"/>
      <c r="B370" s="125"/>
      <c r="C370" s="125"/>
      <c r="D370" s="126"/>
      <c r="E370" s="126"/>
      <c r="F370" s="125"/>
      <c r="G370" s="126"/>
      <c r="H370" s="126"/>
      <c r="I370" s="126"/>
      <c r="J370" s="126"/>
      <c r="K370" s="126"/>
      <c r="L370" s="126"/>
      <c r="M370" s="126"/>
      <c r="N370" s="129"/>
      <c r="O370" s="125"/>
      <c r="P370" s="129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spans="1:26" ht="14.25" customHeight="1">
      <c r="A371" s="125"/>
      <c r="B371" s="125"/>
      <c r="C371" s="125"/>
      <c r="D371" s="126"/>
      <c r="E371" s="126"/>
      <c r="F371" s="125"/>
      <c r="G371" s="126"/>
      <c r="H371" s="126"/>
      <c r="I371" s="126"/>
      <c r="J371" s="126"/>
      <c r="K371" s="126"/>
      <c r="L371" s="126"/>
      <c r="M371" s="126"/>
      <c r="N371" s="129"/>
      <c r="O371" s="125"/>
      <c r="P371" s="129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spans="1:26" ht="14.25" customHeight="1">
      <c r="A372" s="125"/>
      <c r="B372" s="125"/>
      <c r="C372" s="125"/>
      <c r="D372" s="126"/>
      <c r="E372" s="126"/>
      <c r="F372" s="125"/>
      <c r="G372" s="126"/>
      <c r="H372" s="126"/>
      <c r="I372" s="126"/>
      <c r="J372" s="126"/>
      <c r="K372" s="126"/>
      <c r="L372" s="126"/>
      <c r="M372" s="126"/>
      <c r="N372" s="129"/>
      <c r="O372" s="125"/>
      <c r="P372" s="129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spans="1:26" ht="14.25" customHeight="1">
      <c r="A373" s="125"/>
      <c r="B373" s="125"/>
      <c r="C373" s="125"/>
      <c r="D373" s="126"/>
      <c r="E373" s="126"/>
      <c r="F373" s="125"/>
      <c r="G373" s="126"/>
      <c r="H373" s="126"/>
      <c r="I373" s="126"/>
      <c r="J373" s="126"/>
      <c r="K373" s="126"/>
      <c r="L373" s="126"/>
      <c r="M373" s="126"/>
      <c r="N373" s="129"/>
      <c r="O373" s="125"/>
      <c r="P373" s="129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spans="1:26" ht="14.25" customHeight="1">
      <c r="A374" s="125"/>
      <c r="B374" s="125"/>
      <c r="C374" s="125"/>
      <c r="D374" s="126"/>
      <c r="E374" s="126"/>
      <c r="F374" s="125"/>
      <c r="G374" s="126"/>
      <c r="H374" s="126"/>
      <c r="I374" s="126"/>
      <c r="J374" s="126"/>
      <c r="K374" s="126"/>
      <c r="L374" s="126"/>
      <c r="M374" s="126"/>
      <c r="N374" s="129"/>
      <c r="O374" s="125"/>
      <c r="P374" s="129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spans="1:26" ht="14.25" customHeight="1">
      <c r="A375" s="125"/>
      <c r="B375" s="125"/>
      <c r="C375" s="125"/>
      <c r="D375" s="126"/>
      <c r="E375" s="126"/>
      <c r="F375" s="125"/>
      <c r="G375" s="126"/>
      <c r="H375" s="126"/>
      <c r="I375" s="126"/>
      <c r="J375" s="126"/>
      <c r="K375" s="126"/>
      <c r="L375" s="126"/>
      <c r="M375" s="126"/>
      <c r="N375" s="129"/>
      <c r="O375" s="125"/>
      <c r="P375" s="129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spans="1:26" ht="14.25" customHeight="1">
      <c r="A376" s="125"/>
      <c r="B376" s="125"/>
      <c r="C376" s="125"/>
      <c r="D376" s="126"/>
      <c r="E376" s="126"/>
      <c r="F376" s="125"/>
      <c r="G376" s="126"/>
      <c r="H376" s="126"/>
      <c r="I376" s="126"/>
      <c r="J376" s="126"/>
      <c r="K376" s="126"/>
      <c r="L376" s="126"/>
      <c r="M376" s="126"/>
      <c r="N376" s="129"/>
      <c r="O376" s="125"/>
      <c r="P376" s="129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spans="1:26" ht="14.25" customHeight="1">
      <c r="A377" s="125"/>
      <c r="B377" s="125"/>
      <c r="C377" s="125"/>
      <c r="D377" s="126"/>
      <c r="E377" s="126"/>
      <c r="F377" s="125"/>
      <c r="G377" s="126"/>
      <c r="H377" s="126"/>
      <c r="I377" s="126"/>
      <c r="J377" s="126"/>
      <c r="K377" s="126"/>
      <c r="L377" s="126"/>
      <c r="M377" s="126"/>
      <c r="N377" s="129"/>
      <c r="O377" s="125"/>
      <c r="P377" s="129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spans="1:26" ht="14.25" customHeight="1">
      <c r="A378" s="125"/>
      <c r="B378" s="125"/>
      <c r="C378" s="125"/>
      <c r="D378" s="126"/>
      <c r="E378" s="126"/>
      <c r="F378" s="125"/>
      <c r="G378" s="126"/>
      <c r="H378" s="126"/>
      <c r="I378" s="126"/>
      <c r="J378" s="126"/>
      <c r="K378" s="126"/>
      <c r="L378" s="126"/>
      <c r="M378" s="126"/>
      <c r="N378" s="129"/>
      <c r="O378" s="125"/>
      <c r="P378" s="129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spans="1:26" ht="14.25" customHeight="1">
      <c r="A379" s="125"/>
      <c r="B379" s="125"/>
      <c r="C379" s="125"/>
      <c r="D379" s="126"/>
      <c r="E379" s="126"/>
      <c r="F379" s="125"/>
      <c r="G379" s="126"/>
      <c r="H379" s="126"/>
      <c r="I379" s="126"/>
      <c r="J379" s="126"/>
      <c r="K379" s="126"/>
      <c r="L379" s="126"/>
      <c r="M379" s="126"/>
      <c r="N379" s="129"/>
      <c r="O379" s="125"/>
      <c r="P379" s="129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spans="1:26" ht="14.25" customHeight="1">
      <c r="A380" s="125"/>
      <c r="B380" s="125"/>
      <c r="C380" s="125"/>
      <c r="D380" s="126"/>
      <c r="E380" s="126"/>
      <c r="F380" s="125"/>
      <c r="G380" s="126"/>
      <c r="H380" s="126"/>
      <c r="I380" s="126"/>
      <c r="J380" s="126"/>
      <c r="K380" s="126"/>
      <c r="L380" s="126"/>
      <c r="M380" s="126"/>
      <c r="N380" s="129"/>
      <c r="O380" s="125"/>
      <c r="P380" s="129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spans="1:26" ht="14.25" customHeight="1">
      <c r="A381" s="125"/>
      <c r="B381" s="125"/>
      <c r="C381" s="125"/>
      <c r="D381" s="126"/>
      <c r="E381" s="126"/>
      <c r="F381" s="125"/>
      <c r="G381" s="126"/>
      <c r="H381" s="126"/>
      <c r="I381" s="126"/>
      <c r="J381" s="126"/>
      <c r="K381" s="126"/>
      <c r="L381" s="126"/>
      <c r="M381" s="126"/>
      <c r="N381" s="129"/>
      <c r="O381" s="125"/>
      <c r="P381" s="129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spans="1:26" ht="14.25" customHeight="1">
      <c r="A382" s="125"/>
      <c r="B382" s="125"/>
      <c r="C382" s="125"/>
      <c r="D382" s="126"/>
      <c r="E382" s="126"/>
      <c r="F382" s="125"/>
      <c r="G382" s="126"/>
      <c r="H382" s="126"/>
      <c r="I382" s="126"/>
      <c r="J382" s="126"/>
      <c r="K382" s="126"/>
      <c r="L382" s="126"/>
      <c r="M382" s="126"/>
      <c r="N382" s="129"/>
      <c r="O382" s="125"/>
      <c r="P382" s="129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spans="1:26" ht="14.25" customHeight="1">
      <c r="A383" s="125"/>
      <c r="B383" s="125"/>
      <c r="C383" s="125"/>
      <c r="D383" s="126"/>
      <c r="E383" s="126"/>
      <c r="F383" s="125"/>
      <c r="G383" s="126"/>
      <c r="H383" s="126"/>
      <c r="I383" s="126"/>
      <c r="J383" s="126"/>
      <c r="K383" s="126"/>
      <c r="L383" s="126"/>
      <c r="M383" s="126"/>
      <c r="N383" s="129"/>
      <c r="O383" s="125"/>
      <c r="P383" s="129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spans="1:26" ht="14.25" customHeight="1">
      <c r="A384" s="125"/>
      <c r="B384" s="125"/>
      <c r="C384" s="125"/>
      <c r="D384" s="126"/>
      <c r="E384" s="126"/>
      <c r="F384" s="125"/>
      <c r="G384" s="126"/>
      <c r="H384" s="126"/>
      <c r="I384" s="126"/>
      <c r="J384" s="126"/>
      <c r="K384" s="126"/>
      <c r="L384" s="126"/>
      <c r="M384" s="126"/>
      <c r="N384" s="129"/>
      <c r="O384" s="125"/>
      <c r="P384" s="129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spans="1:26" ht="14.25" customHeight="1">
      <c r="A385" s="125"/>
      <c r="B385" s="125"/>
      <c r="C385" s="125"/>
      <c r="D385" s="126"/>
      <c r="E385" s="126"/>
      <c r="F385" s="125"/>
      <c r="G385" s="126"/>
      <c r="H385" s="126"/>
      <c r="I385" s="126"/>
      <c r="J385" s="126"/>
      <c r="K385" s="126"/>
      <c r="L385" s="126"/>
      <c r="M385" s="126"/>
      <c r="N385" s="129"/>
      <c r="O385" s="125"/>
      <c r="P385" s="129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spans="1:26" ht="14.25" customHeight="1">
      <c r="A386" s="125"/>
      <c r="B386" s="125"/>
      <c r="C386" s="125"/>
      <c r="D386" s="126"/>
      <c r="E386" s="126"/>
      <c r="F386" s="125"/>
      <c r="G386" s="126"/>
      <c r="H386" s="126"/>
      <c r="I386" s="126"/>
      <c r="J386" s="126"/>
      <c r="K386" s="126"/>
      <c r="L386" s="126"/>
      <c r="M386" s="126"/>
      <c r="N386" s="129"/>
      <c r="O386" s="125"/>
      <c r="P386" s="129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spans="1:26" ht="14.25" customHeight="1">
      <c r="A387" s="125"/>
      <c r="B387" s="125"/>
      <c r="C387" s="125"/>
      <c r="D387" s="126"/>
      <c r="E387" s="126"/>
      <c r="F387" s="125"/>
      <c r="G387" s="126"/>
      <c r="H387" s="126"/>
      <c r="I387" s="126"/>
      <c r="J387" s="126"/>
      <c r="K387" s="126"/>
      <c r="L387" s="126"/>
      <c r="M387" s="126"/>
      <c r="N387" s="129"/>
      <c r="O387" s="125"/>
      <c r="P387" s="129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spans="1:26" ht="14.25" customHeight="1">
      <c r="A388" s="125"/>
      <c r="B388" s="125"/>
      <c r="C388" s="125"/>
      <c r="D388" s="126"/>
      <c r="E388" s="126"/>
      <c r="F388" s="125"/>
      <c r="G388" s="126"/>
      <c r="H388" s="126"/>
      <c r="I388" s="126"/>
      <c r="J388" s="126"/>
      <c r="K388" s="126"/>
      <c r="L388" s="126"/>
      <c r="M388" s="126"/>
      <c r="N388" s="129"/>
      <c r="O388" s="125"/>
      <c r="P388" s="129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spans="1:26" ht="14.25" customHeight="1">
      <c r="A389" s="125"/>
      <c r="B389" s="125"/>
      <c r="C389" s="125"/>
      <c r="D389" s="126"/>
      <c r="E389" s="126"/>
      <c r="F389" s="125"/>
      <c r="G389" s="126"/>
      <c r="H389" s="126"/>
      <c r="I389" s="126"/>
      <c r="J389" s="126"/>
      <c r="K389" s="126"/>
      <c r="L389" s="126"/>
      <c r="M389" s="126"/>
      <c r="N389" s="129"/>
      <c r="O389" s="125"/>
      <c r="P389" s="129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spans="1:26" ht="14.25" customHeight="1">
      <c r="A390" s="125"/>
      <c r="B390" s="125"/>
      <c r="C390" s="125"/>
      <c r="D390" s="126"/>
      <c r="E390" s="126"/>
      <c r="F390" s="125"/>
      <c r="G390" s="126"/>
      <c r="H390" s="126"/>
      <c r="I390" s="126"/>
      <c r="J390" s="126"/>
      <c r="K390" s="126"/>
      <c r="L390" s="126"/>
      <c r="M390" s="126"/>
      <c r="N390" s="129"/>
      <c r="O390" s="125"/>
      <c r="P390" s="129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spans="1:26" ht="14.25" customHeight="1">
      <c r="A391" s="125"/>
      <c r="B391" s="125"/>
      <c r="C391" s="125"/>
      <c r="D391" s="126"/>
      <c r="E391" s="126"/>
      <c r="F391" s="125"/>
      <c r="G391" s="126"/>
      <c r="H391" s="126"/>
      <c r="I391" s="126"/>
      <c r="J391" s="126"/>
      <c r="K391" s="126"/>
      <c r="L391" s="126"/>
      <c r="M391" s="126"/>
      <c r="N391" s="129"/>
      <c r="O391" s="125"/>
      <c r="P391" s="129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spans="1:26" ht="14.25" customHeight="1">
      <c r="A392" s="125"/>
      <c r="B392" s="125"/>
      <c r="C392" s="125"/>
      <c r="D392" s="126"/>
      <c r="E392" s="126"/>
      <c r="F392" s="125"/>
      <c r="G392" s="126"/>
      <c r="H392" s="126"/>
      <c r="I392" s="126"/>
      <c r="J392" s="126"/>
      <c r="K392" s="126"/>
      <c r="L392" s="126"/>
      <c r="M392" s="126"/>
      <c r="N392" s="129"/>
      <c r="O392" s="125"/>
      <c r="P392" s="129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spans="1:26" ht="14.25" customHeight="1">
      <c r="A393" s="125"/>
      <c r="B393" s="125"/>
      <c r="C393" s="125"/>
      <c r="D393" s="126"/>
      <c r="E393" s="126"/>
      <c r="F393" s="125"/>
      <c r="G393" s="126"/>
      <c r="H393" s="126"/>
      <c r="I393" s="126"/>
      <c r="J393" s="126"/>
      <c r="K393" s="126"/>
      <c r="L393" s="126"/>
      <c r="M393" s="126"/>
      <c r="N393" s="129"/>
      <c r="O393" s="125"/>
      <c r="P393" s="129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spans="1:26" ht="14.25" customHeight="1">
      <c r="A394" s="125"/>
      <c r="B394" s="125"/>
      <c r="C394" s="125"/>
      <c r="D394" s="126"/>
      <c r="E394" s="126"/>
      <c r="F394" s="125"/>
      <c r="G394" s="126"/>
      <c r="H394" s="126"/>
      <c r="I394" s="126"/>
      <c r="J394" s="126"/>
      <c r="K394" s="126"/>
      <c r="L394" s="126"/>
      <c r="M394" s="126"/>
      <c r="N394" s="129"/>
      <c r="O394" s="125"/>
      <c r="P394" s="129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spans="1:26" ht="14.25" customHeight="1">
      <c r="A395" s="125"/>
      <c r="B395" s="125"/>
      <c r="C395" s="125"/>
      <c r="D395" s="126"/>
      <c r="E395" s="126"/>
      <c r="F395" s="125"/>
      <c r="G395" s="126"/>
      <c r="H395" s="126"/>
      <c r="I395" s="126"/>
      <c r="J395" s="126"/>
      <c r="K395" s="126"/>
      <c r="L395" s="126"/>
      <c r="M395" s="126"/>
      <c r="N395" s="129"/>
      <c r="O395" s="125"/>
      <c r="P395" s="129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spans="1:26" ht="14.25" customHeight="1">
      <c r="A396" s="125"/>
      <c r="B396" s="125"/>
      <c r="C396" s="125"/>
      <c r="D396" s="126"/>
      <c r="E396" s="126"/>
      <c r="F396" s="125"/>
      <c r="G396" s="126"/>
      <c r="H396" s="126"/>
      <c r="I396" s="126"/>
      <c r="J396" s="126"/>
      <c r="K396" s="126"/>
      <c r="L396" s="126"/>
      <c r="M396" s="126"/>
      <c r="N396" s="129"/>
      <c r="O396" s="125"/>
      <c r="P396" s="129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spans="1:26" ht="14.25" customHeight="1">
      <c r="A397" s="125"/>
      <c r="B397" s="125"/>
      <c r="C397" s="125"/>
      <c r="D397" s="126"/>
      <c r="E397" s="126"/>
      <c r="F397" s="125"/>
      <c r="G397" s="126"/>
      <c r="H397" s="126"/>
      <c r="I397" s="126"/>
      <c r="J397" s="126"/>
      <c r="K397" s="126"/>
      <c r="L397" s="126"/>
      <c r="M397" s="126"/>
      <c r="N397" s="129"/>
      <c r="O397" s="125"/>
      <c r="P397" s="129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spans="1:26" ht="14.25" customHeight="1">
      <c r="A398" s="125"/>
      <c r="B398" s="125"/>
      <c r="C398" s="125"/>
      <c r="D398" s="126"/>
      <c r="E398" s="126"/>
      <c r="F398" s="125"/>
      <c r="G398" s="126"/>
      <c r="H398" s="126"/>
      <c r="I398" s="126"/>
      <c r="J398" s="126"/>
      <c r="K398" s="126"/>
      <c r="L398" s="126"/>
      <c r="M398" s="126"/>
      <c r="N398" s="129"/>
      <c r="O398" s="125"/>
      <c r="P398" s="129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spans="1:26" ht="14.25" customHeight="1">
      <c r="A399" s="125"/>
      <c r="B399" s="125"/>
      <c r="C399" s="125"/>
      <c r="D399" s="126"/>
      <c r="E399" s="126"/>
      <c r="F399" s="125"/>
      <c r="G399" s="126"/>
      <c r="H399" s="126"/>
      <c r="I399" s="126"/>
      <c r="J399" s="126"/>
      <c r="K399" s="126"/>
      <c r="L399" s="126"/>
      <c r="M399" s="126"/>
      <c r="N399" s="129"/>
      <c r="O399" s="125"/>
      <c r="P399" s="129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spans="1:26" ht="14.25" customHeight="1">
      <c r="A400" s="125"/>
      <c r="B400" s="125"/>
      <c r="C400" s="125"/>
      <c r="D400" s="126"/>
      <c r="E400" s="126"/>
      <c r="F400" s="125"/>
      <c r="G400" s="126"/>
      <c r="H400" s="126"/>
      <c r="I400" s="126"/>
      <c r="J400" s="126"/>
      <c r="K400" s="126"/>
      <c r="L400" s="126"/>
      <c r="M400" s="126"/>
      <c r="N400" s="129"/>
      <c r="O400" s="125"/>
      <c r="P400" s="129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spans="1:26" ht="14.25" customHeight="1">
      <c r="A401" s="125"/>
      <c r="B401" s="125"/>
      <c r="C401" s="125"/>
      <c r="D401" s="126"/>
      <c r="E401" s="126"/>
      <c r="F401" s="125"/>
      <c r="G401" s="126"/>
      <c r="H401" s="126"/>
      <c r="I401" s="126"/>
      <c r="J401" s="126"/>
      <c r="K401" s="126"/>
      <c r="L401" s="126"/>
      <c r="M401" s="126"/>
      <c r="N401" s="129"/>
      <c r="O401" s="125"/>
      <c r="P401" s="129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spans="1:26" ht="14.25" customHeight="1">
      <c r="A402" s="125"/>
      <c r="B402" s="125"/>
      <c r="C402" s="125"/>
      <c r="D402" s="126"/>
      <c r="E402" s="126"/>
      <c r="F402" s="125"/>
      <c r="G402" s="126"/>
      <c r="H402" s="126"/>
      <c r="I402" s="126"/>
      <c r="J402" s="126"/>
      <c r="K402" s="126"/>
      <c r="L402" s="126"/>
      <c r="M402" s="126"/>
      <c r="N402" s="129"/>
      <c r="O402" s="125"/>
      <c r="P402" s="129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spans="1:26" ht="14.25" customHeight="1">
      <c r="A403" s="125"/>
      <c r="B403" s="125"/>
      <c r="C403" s="125"/>
      <c r="D403" s="126"/>
      <c r="E403" s="126"/>
      <c r="F403" s="125"/>
      <c r="G403" s="126"/>
      <c r="H403" s="126"/>
      <c r="I403" s="126"/>
      <c r="J403" s="126"/>
      <c r="K403" s="126"/>
      <c r="L403" s="126"/>
      <c r="M403" s="126"/>
      <c r="N403" s="129"/>
      <c r="O403" s="125"/>
      <c r="P403" s="129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spans="1:26" ht="14.25" customHeight="1">
      <c r="A404" s="125"/>
      <c r="B404" s="125"/>
      <c r="C404" s="125"/>
      <c r="D404" s="126"/>
      <c r="E404" s="126"/>
      <c r="F404" s="125"/>
      <c r="G404" s="126"/>
      <c r="H404" s="126"/>
      <c r="I404" s="126"/>
      <c r="J404" s="126"/>
      <c r="K404" s="126"/>
      <c r="L404" s="126"/>
      <c r="M404" s="126"/>
      <c r="N404" s="129"/>
      <c r="O404" s="125"/>
      <c r="P404" s="129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spans="1:26" ht="14.25" customHeight="1">
      <c r="A405" s="125"/>
      <c r="B405" s="125"/>
      <c r="C405" s="125"/>
      <c r="D405" s="126"/>
      <c r="E405" s="126"/>
      <c r="F405" s="125"/>
      <c r="G405" s="126"/>
      <c r="H405" s="126"/>
      <c r="I405" s="126"/>
      <c r="J405" s="126"/>
      <c r="K405" s="126"/>
      <c r="L405" s="126"/>
      <c r="M405" s="126"/>
      <c r="N405" s="129"/>
      <c r="O405" s="125"/>
      <c r="P405" s="129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spans="1:26" ht="14.25" customHeight="1">
      <c r="A406" s="125"/>
      <c r="B406" s="125"/>
      <c r="C406" s="125"/>
      <c r="D406" s="126"/>
      <c r="E406" s="126"/>
      <c r="F406" s="125"/>
      <c r="G406" s="126"/>
      <c r="H406" s="126"/>
      <c r="I406" s="126"/>
      <c r="J406" s="126"/>
      <c r="K406" s="126"/>
      <c r="L406" s="126"/>
      <c r="M406" s="126"/>
      <c r="N406" s="129"/>
      <c r="O406" s="125"/>
      <c r="P406" s="129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spans="1:26" ht="14.25" customHeight="1">
      <c r="A407" s="125"/>
      <c r="B407" s="125"/>
      <c r="C407" s="125"/>
      <c r="D407" s="126"/>
      <c r="E407" s="126"/>
      <c r="F407" s="125"/>
      <c r="G407" s="126"/>
      <c r="H407" s="126"/>
      <c r="I407" s="126"/>
      <c r="J407" s="126"/>
      <c r="K407" s="126"/>
      <c r="L407" s="126"/>
      <c r="M407" s="126"/>
      <c r="N407" s="129"/>
      <c r="O407" s="125"/>
      <c r="P407" s="129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spans="1:26" ht="14.25" customHeight="1">
      <c r="A408" s="125"/>
      <c r="B408" s="125"/>
      <c r="C408" s="125"/>
      <c r="D408" s="126"/>
      <c r="E408" s="126"/>
      <c r="F408" s="125"/>
      <c r="G408" s="126"/>
      <c r="H408" s="126"/>
      <c r="I408" s="126"/>
      <c r="J408" s="126"/>
      <c r="K408" s="126"/>
      <c r="L408" s="126"/>
      <c r="M408" s="126"/>
      <c r="N408" s="129"/>
      <c r="O408" s="125"/>
      <c r="P408" s="129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spans="1:26" ht="14.25" customHeight="1">
      <c r="A409" s="125"/>
      <c r="B409" s="125"/>
      <c r="C409" s="125"/>
      <c r="D409" s="126"/>
      <c r="E409" s="126"/>
      <c r="F409" s="125"/>
      <c r="G409" s="126"/>
      <c r="H409" s="126"/>
      <c r="I409" s="126"/>
      <c r="J409" s="126"/>
      <c r="K409" s="126"/>
      <c r="L409" s="126"/>
      <c r="M409" s="126"/>
      <c r="N409" s="129"/>
      <c r="O409" s="125"/>
      <c r="P409" s="129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spans="1:26" ht="14.25" customHeight="1">
      <c r="A410" s="125"/>
      <c r="B410" s="125"/>
      <c r="C410" s="125"/>
      <c r="D410" s="126"/>
      <c r="E410" s="126"/>
      <c r="F410" s="125"/>
      <c r="G410" s="126"/>
      <c r="H410" s="126"/>
      <c r="I410" s="126"/>
      <c r="J410" s="126"/>
      <c r="K410" s="126"/>
      <c r="L410" s="126"/>
      <c r="M410" s="126"/>
      <c r="N410" s="129"/>
      <c r="O410" s="125"/>
      <c r="P410" s="129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spans="1:26" ht="14.25" customHeight="1">
      <c r="A411" s="125"/>
      <c r="B411" s="125"/>
      <c r="C411" s="125"/>
      <c r="D411" s="126"/>
      <c r="E411" s="126"/>
      <c r="F411" s="125"/>
      <c r="G411" s="126"/>
      <c r="H411" s="126"/>
      <c r="I411" s="126"/>
      <c r="J411" s="126"/>
      <c r="K411" s="126"/>
      <c r="L411" s="126"/>
      <c r="M411" s="126"/>
      <c r="N411" s="129"/>
      <c r="O411" s="125"/>
      <c r="P411" s="129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spans="1:26" ht="14.25" customHeight="1">
      <c r="A412" s="125"/>
      <c r="B412" s="125"/>
      <c r="C412" s="125"/>
      <c r="D412" s="126"/>
      <c r="E412" s="126"/>
      <c r="F412" s="125"/>
      <c r="G412" s="126"/>
      <c r="H412" s="126"/>
      <c r="I412" s="126"/>
      <c r="J412" s="126"/>
      <c r="K412" s="126"/>
      <c r="L412" s="126"/>
      <c r="M412" s="126"/>
      <c r="N412" s="129"/>
      <c r="O412" s="125"/>
      <c r="P412" s="129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spans="1:26" ht="14.25" customHeight="1">
      <c r="A413" s="125"/>
      <c r="B413" s="125"/>
      <c r="C413" s="125"/>
      <c r="D413" s="126"/>
      <c r="E413" s="126"/>
      <c r="F413" s="125"/>
      <c r="G413" s="126"/>
      <c r="H413" s="126"/>
      <c r="I413" s="126"/>
      <c r="J413" s="126"/>
      <c r="K413" s="126"/>
      <c r="L413" s="126"/>
      <c r="M413" s="126"/>
      <c r="N413" s="129"/>
      <c r="O413" s="125"/>
      <c r="P413" s="129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spans="1:26" ht="14.25" customHeight="1">
      <c r="A414" s="125"/>
      <c r="B414" s="125"/>
      <c r="C414" s="125"/>
      <c r="D414" s="126"/>
      <c r="E414" s="126"/>
      <c r="F414" s="125"/>
      <c r="G414" s="126"/>
      <c r="H414" s="126"/>
      <c r="I414" s="126"/>
      <c r="J414" s="126"/>
      <c r="K414" s="126"/>
      <c r="L414" s="126"/>
      <c r="M414" s="126"/>
      <c r="N414" s="129"/>
      <c r="O414" s="125"/>
      <c r="P414" s="129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spans="1:26" ht="14.25" customHeight="1">
      <c r="A415" s="125"/>
      <c r="B415" s="125"/>
      <c r="C415" s="125"/>
      <c r="D415" s="126"/>
      <c r="E415" s="126"/>
      <c r="F415" s="125"/>
      <c r="G415" s="126"/>
      <c r="H415" s="126"/>
      <c r="I415" s="126"/>
      <c r="J415" s="126"/>
      <c r="K415" s="126"/>
      <c r="L415" s="126"/>
      <c r="M415" s="126"/>
      <c r="N415" s="129"/>
      <c r="O415" s="125"/>
      <c r="P415" s="129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spans="1:26" ht="14.25" customHeight="1">
      <c r="A416" s="125"/>
      <c r="B416" s="125"/>
      <c r="C416" s="125"/>
      <c r="D416" s="126"/>
      <c r="E416" s="126"/>
      <c r="F416" s="125"/>
      <c r="G416" s="126"/>
      <c r="H416" s="126"/>
      <c r="I416" s="126"/>
      <c r="J416" s="126"/>
      <c r="K416" s="126"/>
      <c r="L416" s="126"/>
      <c r="M416" s="126"/>
      <c r="N416" s="129"/>
      <c r="O416" s="125"/>
      <c r="P416" s="129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spans="1:26" ht="14.25" customHeight="1">
      <c r="A417" s="125"/>
      <c r="B417" s="125"/>
      <c r="C417" s="125"/>
      <c r="D417" s="126"/>
      <c r="E417" s="126"/>
      <c r="F417" s="125"/>
      <c r="G417" s="126"/>
      <c r="H417" s="126"/>
      <c r="I417" s="126"/>
      <c r="J417" s="126"/>
      <c r="K417" s="126"/>
      <c r="L417" s="126"/>
      <c r="M417" s="126"/>
      <c r="N417" s="129"/>
      <c r="O417" s="125"/>
      <c r="P417" s="129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spans="1:26" ht="14.25" customHeight="1">
      <c r="A418" s="125"/>
      <c r="B418" s="125"/>
      <c r="C418" s="125"/>
      <c r="D418" s="126"/>
      <c r="E418" s="126"/>
      <c r="F418" s="125"/>
      <c r="G418" s="126"/>
      <c r="H418" s="126"/>
      <c r="I418" s="126"/>
      <c r="J418" s="126"/>
      <c r="K418" s="126"/>
      <c r="L418" s="126"/>
      <c r="M418" s="126"/>
      <c r="N418" s="129"/>
      <c r="O418" s="125"/>
      <c r="P418" s="129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spans="1:26" ht="14.25" customHeight="1">
      <c r="A419" s="125"/>
      <c r="B419" s="125"/>
      <c r="C419" s="125"/>
      <c r="D419" s="126"/>
      <c r="E419" s="126"/>
      <c r="F419" s="125"/>
      <c r="G419" s="126"/>
      <c r="H419" s="126"/>
      <c r="I419" s="126"/>
      <c r="J419" s="126"/>
      <c r="K419" s="126"/>
      <c r="L419" s="126"/>
      <c r="M419" s="126"/>
      <c r="N419" s="129"/>
      <c r="O419" s="125"/>
      <c r="P419" s="129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spans="1:26" ht="14.25" customHeight="1">
      <c r="A420" s="125"/>
      <c r="B420" s="125"/>
      <c r="C420" s="125"/>
      <c r="D420" s="126"/>
      <c r="E420" s="126"/>
      <c r="F420" s="125"/>
      <c r="G420" s="126"/>
      <c r="H420" s="126"/>
      <c r="I420" s="126"/>
      <c r="J420" s="126"/>
      <c r="K420" s="126"/>
      <c r="L420" s="126"/>
      <c r="M420" s="126"/>
      <c r="N420" s="129"/>
      <c r="O420" s="125"/>
      <c r="P420" s="129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spans="1:26" ht="14.25" customHeight="1">
      <c r="A421" s="125"/>
      <c r="B421" s="125"/>
      <c r="C421" s="125"/>
      <c r="D421" s="126"/>
      <c r="E421" s="126"/>
      <c r="F421" s="125"/>
      <c r="G421" s="126"/>
      <c r="H421" s="126"/>
      <c r="I421" s="126"/>
      <c r="J421" s="126"/>
      <c r="K421" s="126"/>
      <c r="L421" s="126"/>
      <c r="M421" s="126"/>
      <c r="N421" s="129"/>
      <c r="O421" s="125"/>
      <c r="P421" s="129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spans="1:26" ht="14.25" customHeight="1">
      <c r="A422" s="125"/>
      <c r="B422" s="125"/>
      <c r="C422" s="125"/>
      <c r="D422" s="126"/>
      <c r="E422" s="126"/>
      <c r="F422" s="125"/>
      <c r="G422" s="126"/>
      <c r="H422" s="126"/>
      <c r="I422" s="126"/>
      <c r="J422" s="126"/>
      <c r="K422" s="126"/>
      <c r="L422" s="126"/>
      <c r="M422" s="126"/>
      <c r="N422" s="129"/>
      <c r="O422" s="125"/>
      <c r="P422" s="129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spans="1:26" ht="14.25" customHeight="1">
      <c r="A423" s="125"/>
      <c r="B423" s="125"/>
      <c r="C423" s="125"/>
      <c r="D423" s="126"/>
      <c r="E423" s="126"/>
      <c r="F423" s="125"/>
      <c r="G423" s="126"/>
      <c r="H423" s="126"/>
      <c r="I423" s="126"/>
      <c r="J423" s="126"/>
      <c r="K423" s="126"/>
      <c r="L423" s="126"/>
      <c r="M423" s="126"/>
      <c r="N423" s="129"/>
      <c r="O423" s="125"/>
      <c r="P423" s="129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spans="1:26" ht="14.25" customHeight="1">
      <c r="A424" s="125"/>
      <c r="B424" s="125"/>
      <c r="C424" s="125"/>
      <c r="D424" s="126"/>
      <c r="E424" s="126"/>
      <c r="F424" s="125"/>
      <c r="G424" s="126"/>
      <c r="H424" s="126"/>
      <c r="I424" s="126"/>
      <c r="J424" s="126"/>
      <c r="K424" s="126"/>
      <c r="L424" s="126"/>
      <c r="M424" s="126"/>
      <c r="N424" s="129"/>
      <c r="O424" s="125"/>
      <c r="P424" s="129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spans="1:26" ht="14.25" customHeight="1">
      <c r="A425" s="125"/>
      <c r="B425" s="125"/>
      <c r="C425" s="125"/>
      <c r="D425" s="126"/>
      <c r="E425" s="126"/>
      <c r="F425" s="125"/>
      <c r="G425" s="126"/>
      <c r="H425" s="126"/>
      <c r="I425" s="126"/>
      <c r="J425" s="126"/>
      <c r="K425" s="126"/>
      <c r="L425" s="126"/>
      <c r="M425" s="126"/>
      <c r="N425" s="129"/>
      <c r="O425" s="125"/>
      <c r="P425" s="129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spans="1:26" ht="14.25" customHeight="1">
      <c r="A426" s="125"/>
      <c r="B426" s="125"/>
      <c r="C426" s="125"/>
      <c r="D426" s="126"/>
      <c r="E426" s="126"/>
      <c r="F426" s="125"/>
      <c r="G426" s="126"/>
      <c r="H426" s="126"/>
      <c r="I426" s="126"/>
      <c r="J426" s="126"/>
      <c r="K426" s="126"/>
      <c r="L426" s="126"/>
      <c r="M426" s="126"/>
      <c r="N426" s="129"/>
      <c r="O426" s="125"/>
      <c r="P426" s="129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spans="1:26" ht="14.25" customHeight="1">
      <c r="A427" s="125"/>
      <c r="B427" s="125"/>
      <c r="C427" s="125"/>
      <c r="D427" s="126"/>
      <c r="E427" s="126"/>
      <c r="F427" s="125"/>
      <c r="G427" s="126"/>
      <c r="H427" s="126"/>
      <c r="I427" s="126"/>
      <c r="J427" s="126"/>
      <c r="K427" s="126"/>
      <c r="L427" s="126"/>
      <c r="M427" s="126"/>
      <c r="N427" s="129"/>
      <c r="O427" s="125"/>
      <c r="P427" s="129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spans="1:26" ht="14.25" customHeight="1">
      <c r="A428" s="125"/>
      <c r="B428" s="125"/>
      <c r="C428" s="125"/>
      <c r="D428" s="126"/>
      <c r="E428" s="126"/>
      <c r="F428" s="125"/>
      <c r="G428" s="126"/>
      <c r="H428" s="126"/>
      <c r="I428" s="126"/>
      <c r="J428" s="126"/>
      <c r="K428" s="126"/>
      <c r="L428" s="126"/>
      <c r="M428" s="126"/>
      <c r="N428" s="129"/>
      <c r="O428" s="125"/>
      <c r="P428" s="129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spans="1:26" ht="14.25" customHeight="1">
      <c r="A429" s="125"/>
      <c r="B429" s="125"/>
      <c r="C429" s="125"/>
      <c r="D429" s="126"/>
      <c r="E429" s="126"/>
      <c r="F429" s="125"/>
      <c r="G429" s="126"/>
      <c r="H429" s="126"/>
      <c r="I429" s="126"/>
      <c r="J429" s="126"/>
      <c r="K429" s="126"/>
      <c r="L429" s="126"/>
      <c r="M429" s="126"/>
      <c r="N429" s="129"/>
      <c r="O429" s="125"/>
      <c r="P429" s="129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spans="1:26" ht="14.25" customHeight="1">
      <c r="A430" s="125"/>
      <c r="B430" s="125"/>
      <c r="C430" s="125"/>
      <c r="D430" s="126"/>
      <c r="E430" s="126"/>
      <c r="F430" s="125"/>
      <c r="G430" s="126"/>
      <c r="H430" s="126"/>
      <c r="I430" s="126"/>
      <c r="J430" s="126"/>
      <c r="K430" s="126"/>
      <c r="L430" s="126"/>
      <c r="M430" s="126"/>
      <c r="N430" s="129"/>
      <c r="O430" s="125"/>
      <c r="P430" s="129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spans="1:26" ht="14.25" customHeight="1">
      <c r="A431" s="125"/>
      <c r="B431" s="125"/>
      <c r="C431" s="125"/>
      <c r="D431" s="126"/>
      <c r="E431" s="126"/>
      <c r="F431" s="125"/>
      <c r="G431" s="126"/>
      <c r="H431" s="126"/>
      <c r="I431" s="126"/>
      <c r="J431" s="126"/>
      <c r="K431" s="126"/>
      <c r="L431" s="126"/>
      <c r="M431" s="126"/>
      <c r="N431" s="129"/>
      <c r="O431" s="125"/>
      <c r="P431" s="129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spans="1:26" ht="14.25" customHeight="1">
      <c r="A432" s="125"/>
      <c r="B432" s="125"/>
      <c r="C432" s="125"/>
      <c r="D432" s="126"/>
      <c r="E432" s="126"/>
      <c r="F432" s="125"/>
      <c r="G432" s="126"/>
      <c r="H432" s="126"/>
      <c r="I432" s="126"/>
      <c r="J432" s="126"/>
      <c r="K432" s="126"/>
      <c r="L432" s="126"/>
      <c r="M432" s="126"/>
      <c r="N432" s="129"/>
      <c r="O432" s="125"/>
      <c r="P432" s="129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spans="1:26" ht="14.25" customHeight="1">
      <c r="A433" s="125"/>
      <c r="B433" s="125"/>
      <c r="C433" s="125"/>
      <c r="D433" s="126"/>
      <c r="E433" s="126"/>
      <c r="F433" s="125"/>
      <c r="G433" s="126"/>
      <c r="H433" s="126"/>
      <c r="I433" s="126"/>
      <c r="J433" s="126"/>
      <c r="K433" s="126"/>
      <c r="L433" s="126"/>
      <c r="M433" s="126"/>
      <c r="N433" s="129"/>
      <c r="O433" s="125"/>
      <c r="P433" s="129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spans="1:26" ht="14.25" customHeight="1">
      <c r="A434" s="125"/>
      <c r="B434" s="125"/>
      <c r="C434" s="125"/>
      <c r="D434" s="126"/>
      <c r="E434" s="126"/>
      <c r="F434" s="125"/>
      <c r="G434" s="126"/>
      <c r="H434" s="126"/>
      <c r="I434" s="126"/>
      <c r="J434" s="126"/>
      <c r="K434" s="126"/>
      <c r="L434" s="126"/>
      <c r="M434" s="126"/>
      <c r="N434" s="129"/>
      <c r="O434" s="125"/>
      <c r="P434" s="129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spans="1:26" ht="14.25" customHeight="1">
      <c r="A435" s="125"/>
      <c r="B435" s="125"/>
      <c r="C435" s="125"/>
      <c r="D435" s="126"/>
      <c r="E435" s="126"/>
      <c r="F435" s="125"/>
      <c r="G435" s="126"/>
      <c r="H435" s="126"/>
      <c r="I435" s="126"/>
      <c r="J435" s="126"/>
      <c r="K435" s="126"/>
      <c r="L435" s="126"/>
      <c r="M435" s="126"/>
      <c r="N435" s="129"/>
      <c r="O435" s="125"/>
      <c r="P435" s="129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spans="1:26" ht="14.25" customHeight="1">
      <c r="A436" s="125"/>
      <c r="B436" s="125"/>
      <c r="C436" s="125"/>
      <c r="D436" s="126"/>
      <c r="E436" s="126"/>
      <c r="F436" s="125"/>
      <c r="G436" s="126"/>
      <c r="H436" s="126"/>
      <c r="I436" s="126"/>
      <c r="J436" s="126"/>
      <c r="K436" s="126"/>
      <c r="L436" s="126"/>
      <c r="M436" s="126"/>
      <c r="N436" s="129"/>
      <c r="O436" s="125"/>
      <c r="P436" s="129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spans="1:26" ht="14.25" customHeight="1">
      <c r="A437" s="125"/>
      <c r="B437" s="125"/>
      <c r="C437" s="125"/>
      <c r="D437" s="126"/>
      <c r="E437" s="126"/>
      <c r="F437" s="125"/>
      <c r="G437" s="126"/>
      <c r="H437" s="126"/>
      <c r="I437" s="126"/>
      <c r="J437" s="126"/>
      <c r="K437" s="126"/>
      <c r="L437" s="126"/>
      <c r="M437" s="126"/>
      <c r="N437" s="129"/>
      <c r="O437" s="125"/>
      <c r="P437" s="129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spans="1:26" ht="14.25" customHeight="1">
      <c r="A438" s="125"/>
      <c r="B438" s="125"/>
      <c r="C438" s="125"/>
      <c r="D438" s="126"/>
      <c r="E438" s="126"/>
      <c r="F438" s="125"/>
      <c r="G438" s="126"/>
      <c r="H438" s="126"/>
      <c r="I438" s="126"/>
      <c r="J438" s="126"/>
      <c r="K438" s="126"/>
      <c r="L438" s="126"/>
      <c r="M438" s="126"/>
      <c r="N438" s="129"/>
      <c r="O438" s="125"/>
      <c r="P438" s="129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spans="1:26" ht="14.25" customHeight="1">
      <c r="A439" s="125"/>
      <c r="B439" s="125"/>
      <c r="C439" s="125"/>
      <c r="D439" s="126"/>
      <c r="E439" s="126"/>
      <c r="F439" s="125"/>
      <c r="G439" s="126"/>
      <c r="H439" s="126"/>
      <c r="I439" s="126"/>
      <c r="J439" s="126"/>
      <c r="K439" s="126"/>
      <c r="L439" s="126"/>
      <c r="M439" s="126"/>
      <c r="N439" s="129"/>
      <c r="O439" s="125"/>
      <c r="P439" s="129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spans="1:26" ht="14.25" customHeight="1">
      <c r="A440" s="125"/>
      <c r="B440" s="125"/>
      <c r="C440" s="125"/>
      <c r="D440" s="126"/>
      <c r="E440" s="126"/>
      <c r="F440" s="125"/>
      <c r="G440" s="126"/>
      <c r="H440" s="126"/>
      <c r="I440" s="126"/>
      <c r="J440" s="126"/>
      <c r="K440" s="126"/>
      <c r="L440" s="126"/>
      <c r="M440" s="126"/>
      <c r="N440" s="129"/>
      <c r="O440" s="125"/>
      <c r="P440" s="129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spans="1:26" ht="14.25" customHeight="1">
      <c r="A441" s="125"/>
      <c r="B441" s="125"/>
      <c r="C441" s="125"/>
      <c r="D441" s="126"/>
      <c r="E441" s="126"/>
      <c r="F441" s="125"/>
      <c r="G441" s="126"/>
      <c r="H441" s="126"/>
      <c r="I441" s="126"/>
      <c r="J441" s="126"/>
      <c r="K441" s="126"/>
      <c r="L441" s="126"/>
      <c r="M441" s="126"/>
      <c r="N441" s="129"/>
      <c r="O441" s="125"/>
      <c r="P441" s="129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spans="1:26" ht="14.25" customHeight="1">
      <c r="A442" s="125"/>
      <c r="B442" s="125"/>
      <c r="C442" s="125"/>
      <c r="D442" s="126"/>
      <c r="E442" s="126"/>
      <c r="F442" s="125"/>
      <c r="G442" s="126"/>
      <c r="H442" s="126"/>
      <c r="I442" s="126"/>
      <c r="J442" s="126"/>
      <c r="K442" s="126"/>
      <c r="L442" s="126"/>
      <c r="M442" s="126"/>
      <c r="N442" s="129"/>
      <c r="O442" s="125"/>
      <c r="P442" s="129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spans="1:26" ht="14.25" customHeight="1">
      <c r="A443" s="125"/>
      <c r="B443" s="125"/>
      <c r="C443" s="125"/>
      <c r="D443" s="126"/>
      <c r="E443" s="126"/>
      <c r="F443" s="125"/>
      <c r="G443" s="126"/>
      <c r="H443" s="126"/>
      <c r="I443" s="126"/>
      <c r="J443" s="126"/>
      <c r="K443" s="126"/>
      <c r="L443" s="126"/>
      <c r="M443" s="126"/>
      <c r="N443" s="129"/>
      <c r="O443" s="125"/>
      <c r="P443" s="129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spans="1:26" ht="14.25" customHeight="1">
      <c r="A444" s="125"/>
      <c r="B444" s="125"/>
      <c r="C444" s="125"/>
      <c r="D444" s="126"/>
      <c r="E444" s="126"/>
      <c r="F444" s="125"/>
      <c r="G444" s="126"/>
      <c r="H444" s="126"/>
      <c r="I444" s="126"/>
      <c r="J444" s="126"/>
      <c r="K444" s="126"/>
      <c r="L444" s="126"/>
      <c r="M444" s="126"/>
      <c r="N444" s="129"/>
      <c r="O444" s="125"/>
      <c r="P444" s="129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spans="1:26" ht="14.25" customHeight="1">
      <c r="A445" s="125"/>
      <c r="B445" s="125"/>
      <c r="C445" s="125"/>
      <c r="D445" s="126"/>
      <c r="E445" s="126"/>
      <c r="F445" s="125"/>
      <c r="G445" s="126"/>
      <c r="H445" s="126"/>
      <c r="I445" s="126"/>
      <c r="J445" s="126"/>
      <c r="K445" s="126"/>
      <c r="L445" s="126"/>
      <c r="M445" s="126"/>
      <c r="N445" s="129"/>
      <c r="O445" s="125"/>
      <c r="P445" s="129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spans="1:26" ht="14.25" customHeight="1">
      <c r="A446" s="125"/>
      <c r="B446" s="125"/>
      <c r="C446" s="125"/>
      <c r="D446" s="126"/>
      <c r="E446" s="126"/>
      <c r="F446" s="125"/>
      <c r="G446" s="126"/>
      <c r="H446" s="126"/>
      <c r="I446" s="126"/>
      <c r="J446" s="126"/>
      <c r="K446" s="126"/>
      <c r="L446" s="126"/>
      <c r="M446" s="126"/>
      <c r="N446" s="129"/>
      <c r="O446" s="125"/>
      <c r="P446" s="129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spans="1:26" ht="14.25" customHeight="1">
      <c r="A447" s="125"/>
      <c r="B447" s="125"/>
      <c r="C447" s="125"/>
      <c r="D447" s="126"/>
      <c r="E447" s="126"/>
      <c r="F447" s="125"/>
      <c r="G447" s="126"/>
      <c r="H447" s="126"/>
      <c r="I447" s="126"/>
      <c r="J447" s="126"/>
      <c r="K447" s="126"/>
      <c r="L447" s="126"/>
      <c r="M447" s="126"/>
      <c r="N447" s="129"/>
      <c r="O447" s="125"/>
      <c r="P447" s="129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spans="1:26" ht="14.25" customHeight="1">
      <c r="A448" s="125"/>
      <c r="B448" s="125"/>
      <c r="C448" s="125"/>
      <c r="D448" s="126"/>
      <c r="E448" s="126"/>
      <c r="F448" s="125"/>
      <c r="G448" s="126"/>
      <c r="H448" s="126"/>
      <c r="I448" s="126"/>
      <c r="J448" s="126"/>
      <c r="K448" s="126"/>
      <c r="L448" s="126"/>
      <c r="M448" s="126"/>
      <c r="N448" s="129"/>
      <c r="O448" s="125"/>
      <c r="P448" s="129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spans="1:26" ht="14.25" customHeight="1">
      <c r="A449" s="125"/>
      <c r="B449" s="125"/>
      <c r="C449" s="125"/>
      <c r="D449" s="126"/>
      <c r="E449" s="126"/>
      <c r="F449" s="125"/>
      <c r="G449" s="126"/>
      <c r="H449" s="126"/>
      <c r="I449" s="126"/>
      <c r="J449" s="126"/>
      <c r="K449" s="126"/>
      <c r="L449" s="126"/>
      <c r="M449" s="126"/>
      <c r="N449" s="129"/>
      <c r="O449" s="125"/>
      <c r="P449" s="129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spans="1:26" ht="14.25" customHeight="1">
      <c r="A450" s="125"/>
      <c r="B450" s="125"/>
      <c r="C450" s="125"/>
      <c r="D450" s="126"/>
      <c r="E450" s="126"/>
      <c r="F450" s="125"/>
      <c r="G450" s="126"/>
      <c r="H450" s="126"/>
      <c r="I450" s="126"/>
      <c r="J450" s="126"/>
      <c r="K450" s="126"/>
      <c r="L450" s="126"/>
      <c r="M450" s="126"/>
      <c r="N450" s="129"/>
      <c r="O450" s="125"/>
      <c r="P450" s="129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spans="1:26" ht="14.25" customHeight="1">
      <c r="A451" s="125"/>
      <c r="B451" s="125"/>
      <c r="C451" s="125"/>
      <c r="D451" s="126"/>
      <c r="E451" s="126"/>
      <c r="F451" s="125"/>
      <c r="G451" s="126"/>
      <c r="H451" s="126"/>
      <c r="I451" s="126"/>
      <c r="J451" s="126"/>
      <c r="K451" s="126"/>
      <c r="L451" s="126"/>
      <c r="M451" s="126"/>
      <c r="N451" s="129"/>
      <c r="O451" s="125"/>
      <c r="P451" s="129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spans="1:26" ht="14.25" customHeight="1">
      <c r="A452" s="125"/>
      <c r="B452" s="125"/>
      <c r="C452" s="125"/>
      <c r="D452" s="126"/>
      <c r="E452" s="126"/>
      <c r="F452" s="125"/>
      <c r="G452" s="126"/>
      <c r="H452" s="126"/>
      <c r="I452" s="126"/>
      <c r="J452" s="126"/>
      <c r="K452" s="126"/>
      <c r="L452" s="126"/>
      <c r="M452" s="126"/>
      <c r="N452" s="129"/>
      <c r="O452" s="125"/>
      <c r="P452" s="129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spans="1:26" ht="14.25" customHeight="1">
      <c r="A453" s="125"/>
      <c r="B453" s="125"/>
      <c r="C453" s="125"/>
      <c r="D453" s="126"/>
      <c r="E453" s="126"/>
      <c r="F453" s="125"/>
      <c r="G453" s="126"/>
      <c r="H453" s="126"/>
      <c r="I453" s="126"/>
      <c r="J453" s="126"/>
      <c r="K453" s="126"/>
      <c r="L453" s="126"/>
      <c r="M453" s="126"/>
      <c r="N453" s="129"/>
      <c r="O453" s="125"/>
      <c r="P453" s="129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spans="1:26" ht="14.25" customHeight="1">
      <c r="A454" s="125"/>
      <c r="B454" s="125"/>
      <c r="C454" s="125"/>
      <c r="D454" s="126"/>
      <c r="E454" s="126"/>
      <c r="F454" s="125"/>
      <c r="G454" s="126"/>
      <c r="H454" s="126"/>
      <c r="I454" s="126"/>
      <c r="J454" s="126"/>
      <c r="K454" s="126"/>
      <c r="L454" s="126"/>
      <c r="M454" s="126"/>
      <c r="N454" s="129"/>
      <c r="O454" s="125"/>
      <c r="P454" s="129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spans="1:26" ht="14.25" customHeight="1">
      <c r="A455" s="125"/>
      <c r="B455" s="125"/>
      <c r="C455" s="125"/>
      <c r="D455" s="126"/>
      <c r="E455" s="126"/>
      <c r="F455" s="125"/>
      <c r="G455" s="126"/>
      <c r="H455" s="126"/>
      <c r="I455" s="126"/>
      <c r="J455" s="126"/>
      <c r="K455" s="126"/>
      <c r="L455" s="126"/>
      <c r="M455" s="126"/>
      <c r="N455" s="129"/>
      <c r="O455" s="125"/>
      <c r="P455" s="129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spans="1:26" ht="14.25" customHeight="1">
      <c r="A456" s="125"/>
      <c r="B456" s="125"/>
      <c r="C456" s="125"/>
      <c r="D456" s="126"/>
      <c r="E456" s="126"/>
      <c r="F456" s="125"/>
      <c r="G456" s="126"/>
      <c r="H456" s="126"/>
      <c r="I456" s="126"/>
      <c r="J456" s="126"/>
      <c r="K456" s="126"/>
      <c r="L456" s="126"/>
      <c r="M456" s="126"/>
      <c r="N456" s="129"/>
      <c r="O456" s="125"/>
      <c r="P456" s="129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spans="1:26" ht="14.25" customHeight="1">
      <c r="A457" s="125"/>
      <c r="B457" s="125"/>
      <c r="C457" s="125"/>
      <c r="D457" s="126"/>
      <c r="E457" s="126"/>
      <c r="F457" s="125"/>
      <c r="G457" s="126"/>
      <c r="H457" s="126"/>
      <c r="I457" s="126"/>
      <c r="J457" s="126"/>
      <c r="K457" s="126"/>
      <c r="L457" s="126"/>
      <c r="M457" s="126"/>
      <c r="N457" s="129"/>
      <c r="O457" s="125"/>
      <c r="P457" s="129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spans="1:26" ht="14.25" customHeight="1">
      <c r="A458" s="125"/>
      <c r="B458" s="125"/>
      <c r="C458" s="125"/>
      <c r="D458" s="126"/>
      <c r="E458" s="126"/>
      <c r="F458" s="125"/>
      <c r="G458" s="126"/>
      <c r="H458" s="126"/>
      <c r="I458" s="126"/>
      <c r="J458" s="126"/>
      <c r="K458" s="126"/>
      <c r="L458" s="126"/>
      <c r="M458" s="126"/>
      <c r="N458" s="129"/>
      <c r="O458" s="125"/>
      <c r="P458" s="129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spans="1:26" ht="14.25" customHeight="1">
      <c r="A459" s="125"/>
      <c r="B459" s="125"/>
      <c r="C459" s="125"/>
      <c r="D459" s="126"/>
      <c r="E459" s="126"/>
      <c r="F459" s="125"/>
      <c r="G459" s="126"/>
      <c r="H459" s="126"/>
      <c r="I459" s="126"/>
      <c r="J459" s="126"/>
      <c r="K459" s="126"/>
      <c r="L459" s="126"/>
      <c r="M459" s="126"/>
      <c r="N459" s="129"/>
      <c r="O459" s="125"/>
      <c r="P459" s="129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6" ht="14.25" customHeight="1">
      <c r="A460" s="125"/>
      <c r="B460" s="125"/>
      <c r="C460" s="125"/>
      <c r="D460" s="126"/>
      <c r="E460" s="126"/>
      <c r="F460" s="125"/>
      <c r="G460" s="126"/>
      <c r="H460" s="126"/>
      <c r="I460" s="126"/>
      <c r="J460" s="126"/>
      <c r="K460" s="126"/>
      <c r="L460" s="126"/>
      <c r="M460" s="126"/>
      <c r="N460" s="129"/>
      <c r="O460" s="125"/>
      <c r="P460" s="129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spans="1:26" ht="14.25" customHeight="1">
      <c r="A461" s="125"/>
      <c r="B461" s="125"/>
      <c r="C461" s="125"/>
      <c r="D461" s="126"/>
      <c r="E461" s="126"/>
      <c r="F461" s="125"/>
      <c r="G461" s="126"/>
      <c r="H461" s="126"/>
      <c r="I461" s="126"/>
      <c r="J461" s="126"/>
      <c r="K461" s="126"/>
      <c r="L461" s="126"/>
      <c r="M461" s="126"/>
      <c r="N461" s="129"/>
      <c r="O461" s="125"/>
      <c r="P461" s="129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spans="1:26" ht="14.25" customHeight="1">
      <c r="A462" s="125"/>
      <c r="B462" s="125"/>
      <c r="C462" s="125"/>
      <c r="D462" s="126"/>
      <c r="E462" s="126"/>
      <c r="F462" s="125"/>
      <c r="G462" s="126"/>
      <c r="H462" s="126"/>
      <c r="I462" s="126"/>
      <c r="J462" s="126"/>
      <c r="K462" s="126"/>
      <c r="L462" s="126"/>
      <c r="M462" s="126"/>
      <c r="N462" s="129"/>
      <c r="O462" s="125"/>
      <c r="P462" s="129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spans="1:26" ht="14.25" customHeight="1">
      <c r="A463" s="125"/>
      <c r="B463" s="125"/>
      <c r="C463" s="125"/>
      <c r="D463" s="126"/>
      <c r="E463" s="126"/>
      <c r="F463" s="125"/>
      <c r="G463" s="126"/>
      <c r="H463" s="126"/>
      <c r="I463" s="126"/>
      <c r="J463" s="126"/>
      <c r="K463" s="126"/>
      <c r="L463" s="126"/>
      <c r="M463" s="126"/>
      <c r="N463" s="129"/>
      <c r="O463" s="125"/>
      <c r="P463" s="129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spans="1:26" ht="14.25" customHeight="1">
      <c r="A464" s="125"/>
      <c r="B464" s="125"/>
      <c r="C464" s="125"/>
      <c r="D464" s="126"/>
      <c r="E464" s="126"/>
      <c r="F464" s="125"/>
      <c r="G464" s="126"/>
      <c r="H464" s="126"/>
      <c r="I464" s="126"/>
      <c r="J464" s="126"/>
      <c r="K464" s="126"/>
      <c r="L464" s="126"/>
      <c r="M464" s="126"/>
      <c r="N464" s="129"/>
      <c r="O464" s="125"/>
      <c r="P464" s="129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spans="1:26" ht="14.25" customHeight="1">
      <c r="A465" s="125"/>
      <c r="B465" s="125"/>
      <c r="C465" s="125"/>
      <c r="D465" s="126"/>
      <c r="E465" s="126"/>
      <c r="F465" s="125"/>
      <c r="G465" s="126"/>
      <c r="H465" s="126"/>
      <c r="I465" s="126"/>
      <c r="J465" s="126"/>
      <c r="K465" s="126"/>
      <c r="L465" s="126"/>
      <c r="M465" s="126"/>
      <c r="N465" s="129"/>
      <c r="O465" s="125"/>
      <c r="P465" s="129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spans="1:26" ht="14.25" customHeight="1">
      <c r="A466" s="125"/>
      <c r="B466" s="125"/>
      <c r="C466" s="125"/>
      <c r="D466" s="126"/>
      <c r="E466" s="126"/>
      <c r="F466" s="125"/>
      <c r="G466" s="126"/>
      <c r="H466" s="126"/>
      <c r="I466" s="126"/>
      <c r="J466" s="126"/>
      <c r="K466" s="126"/>
      <c r="L466" s="126"/>
      <c r="M466" s="126"/>
      <c r="N466" s="129"/>
      <c r="O466" s="125"/>
      <c r="P466" s="129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spans="1:26" ht="14.25" customHeight="1">
      <c r="A467" s="125"/>
      <c r="B467" s="125"/>
      <c r="C467" s="125"/>
      <c r="D467" s="126"/>
      <c r="E467" s="126"/>
      <c r="F467" s="125"/>
      <c r="G467" s="126"/>
      <c r="H467" s="126"/>
      <c r="I467" s="126"/>
      <c r="J467" s="126"/>
      <c r="K467" s="126"/>
      <c r="L467" s="126"/>
      <c r="M467" s="126"/>
      <c r="N467" s="129"/>
      <c r="O467" s="125"/>
      <c r="P467" s="129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spans="1:26" ht="14.25" customHeight="1">
      <c r="A468" s="125"/>
      <c r="B468" s="125"/>
      <c r="C468" s="125"/>
      <c r="D468" s="126"/>
      <c r="E468" s="126"/>
      <c r="F468" s="125"/>
      <c r="G468" s="126"/>
      <c r="H468" s="126"/>
      <c r="I468" s="126"/>
      <c r="J468" s="126"/>
      <c r="K468" s="126"/>
      <c r="L468" s="126"/>
      <c r="M468" s="126"/>
      <c r="N468" s="129"/>
      <c r="O468" s="125"/>
      <c r="P468" s="129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spans="1:26" ht="14.25" customHeight="1">
      <c r="A469" s="125"/>
      <c r="B469" s="125"/>
      <c r="C469" s="125"/>
      <c r="D469" s="126"/>
      <c r="E469" s="126"/>
      <c r="F469" s="125"/>
      <c r="G469" s="126"/>
      <c r="H469" s="126"/>
      <c r="I469" s="126"/>
      <c r="J469" s="126"/>
      <c r="K469" s="126"/>
      <c r="L469" s="126"/>
      <c r="M469" s="126"/>
      <c r="N469" s="129"/>
      <c r="O469" s="125"/>
      <c r="P469" s="129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spans="1:26" ht="14.25" customHeight="1">
      <c r="A470" s="125"/>
      <c r="B470" s="125"/>
      <c r="C470" s="125"/>
      <c r="D470" s="126"/>
      <c r="E470" s="126"/>
      <c r="F470" s="125"/>
      <c r="G470" s="126"/>
      <c r="H470" s="126"/>
      <c r="I470" s="126"/>
      <c r="J470" s="126"/>
      <c r="K470" s="126"/>
      <c r="L470" s="126"/>
      <c r="M470" s="126"/>
      <c r="N470" s="129"/>
      <c r="O470" s="125"/>
      <c r="P470" s="129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spans="1:26" ht="14.25" customHeight="1">
      <c r="A471" s="125"/>
      <c r="B471" s="125"/>
      <c r="C471" s="125"/>
      <c r="D471" s="126"/>
      <c r="E471" s="126"/>
      <c r="F471" s="125"/>
      <c r="G471" s="126"/>
      <c r="H471" s="126"/>
      <c r="I471" s="126"/>
      <c r="J471" s="126"/>
      <c r="K471" s="126"/>
      <c r="L471" s="126"/>
      <c r="M471" s="126"/>
      <c r="N471" s="129"/>
      <c r="O471" s="125"/>
      <c r="P471" s="129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spans="1:26" ht="14.25" customHeight="1">
      <c r="A472" s="125"/>
      <c r="B472" s="125"/>
      <c r="C472" s="125"/>
      <c r="D472" s="126"/>
      <c r="E472" s="126"/>
      <c r="F472" s="125"/>
      <c r="G472" s="126"/>
      <c r="H472" s="126"/>
      <c r="I472" s="126"/>
      <c r="J472" s="126"/>
      <c r="K472" s="126"/>
      <c r="L472" s="126"/>
      <c r="M472" s="126"/>
      <c r="N472" s="129"/>
      <c r="O472" s="125"/>
      <c r="P472" s="129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spans="1:26" ht="14.25" customHeight="1">
      <c r="A473" s="125"/>
      <c r="B473" s="125"/>
      <c r="C473" s="125"/>
      <c r="D473" s="126"/>
      <c r="E473" s="126"/>
      <c r="F473" s="125"/>
      <c r="G473" s="126"/>
      <c r="H473" s="126"/>
      <c r="I473" s="126"/>
      <c r="J473" s="126"/>
      <c r="K473" s="126"/>
      <c r="L473" s="126"/>
      <c r="M473" s="126"/>
      <c r="N473" s="129"/>
      <c r="O473" s="125"/>
      <c r="P473" s="129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spans="1:26" ht="14.25" customHeight="1">
      <c r="A474" s="125"/>
      <c r="B474" s="125"/>
      <c r="C474" s="125"/>
      <c r="D474" s="126"/>
      <c r="E474" s="126"/>
      <c r="F474" s="125"/>
      <c r="G474" s="126"/>
      <c r="H474" s="126"/>
      <c r="I474" s="126"/>
      <c r="J474" s="126"/>
      <c r="K474" s="126"/>
      <c r="L474" s="126"/>
      <c r="M474" s="126"/>
      <c r="N474" s="129"/>
      <c r="O474" s="125"/>
      <c r="P474" s="129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spans="1:26" ht="14.25" customHeight="1">
      <c r="A475" s="125"/>
      <c r="B475" s="125"/>
      <c r="C475" s="125"/>
      <c r="D475" s="126"/>
      <c r="E475" s="126"/>
      <c r="F475" s="125"/>
      <c r="G475" s="126"/>
      <c r="H475" s="126"/>
      <c r="I475" s="126"/>
      <c r="J475" s="126"/>
      <c r="K475" s="126"/>
      <c r="L475" s="126"/>
      <c r="M475" s="126"/>
      <c r="N475" s="129"/>
      <c r="O475" s="125"/>
      <c r="P475" s="129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spans="1:26" ht="14.25" customHeight="1">
      <c r="A476" s="125"/>
      <c r="B476" s="125"/>
      <c r="C476" s="125"/>
      <c r="D476" s="126"/>
      <c r="E476" s="126"/>
      <c r="F476" s="125"/>
      <c r="G476" s="126"/>
      <c r="H476" s="126"/>
      <c r="I476" s="126"/>
      <c r="J476" s="126"/>
      <c r="K476" s="126"/>
      <c r="L476" s="126"/>
      <c r="M476" s="126"/>
      <c r="N476" s="129"/>
      <c r="O476" s="125"/>
      <c r="P476" s="129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spans="1:26" ht="14.25" customHeight="1">
      <c r="A477" s="125"/>
      <c r="B477" s="125"/>
      <c r="C477" s="125"/>
      <c r="D477" s="126"/>
      <c r="E477" s="126"/>
      <c r="F477" s="125"/>
      <c r="G477" s="126"/>
      <c r="H477" s="126"/>
      <c r="I477" s="126"/>
      <c r="J477" s="126"/>
      <c r="K477" s="126"/>
      <c r="L477" s="126"/>
      <c r="M477" s="126"/>
      <c r="N477" s="129"/>
      <c r="O477" s="125"/>
      <c r="P477" s="129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spans="1:26" ht="14.25" customHeight="1">
      <c r="A478" s="125"/>
      <c r="B478" s="125"/>
      <c r="C478" s="125"/>
      <c r="D478" s="126"/>
      <c r="E478" s="126"/>
      <c r="F478" s="125"/>
      <c r="G478" s="126"/>
      <c r="H478" s="126"/>
      <c r="I478" s="126"/>
      <c r="J478" s="126"/>
      <c r="K478" s="126"/>
      <c r="L478" s="126"/>
      <c r="M478" s="126"/>
      <c r="N478" s="129"/>
      <c r="O478" s="125"/>
      <c r="P478" s="129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spans="1:26" ht="14.25" customHeight="1">
      <c r="A479" s="125"/>
      <c r="B479" s="125"/>
      <c r="C479" s="125"/>
      <c r="D479" s="126"/>
      <c r="E479" s="126"/>
      <c r="F479" s="125"/>
      <c r="G479" s="126"/>
      <c r="H479" s="126"/>
      <c r="I479" s="126"/>
      <c r="J479" s="126"/>
      <c r="K479" s="126"/>
      <c r="L479" s="126"/>
      <c r="M479" s="126"/>
      <c r="N479" s="129"/>
      <c r="O479" s="125"/>
      <c r="P479" s="129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spans="1:26" ht="14.25" customHeight="1">
      <c r="A480" s="125"/>
      <c r="B480" s="125"/>
      <c r="C480" s="125"/>
      <c r="D480" s="126"/>
      <c r="E480" s="126"/>
      <c r="F480" s="125"/>
      <c r="G480" s="126"/>
      <c r="H480" s="126"/>
      <c r="I480" s="126"/>
      <c r="J480" s="126"/>
      <c r="K480" s="126"/>
      <c r="L480" s="126"/>
      <c r="M480" s="126"/>
      <c r="N480" s="129"/>
      <c r="O480" s="125"/>
      <c r="P480" s="129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spans="1:26" ht="14.25" customHeight="1">
      <c r="A481" s="125"/>
      <c r="B481" s="125"/>
      <c r="C481" s="125"/>
      <c r="D481" s="126"/>
      <c r="E481" s="126"/>
      <c r="F481" s="125"/>
      <c r="G481" s="126"/>
      <c r="H481" s="126"/>
      <c r="I481" s="126"/>
      <c r="J481" s="126"/>
      <c r="K481" s="126"/>
      <c r="L481" s="126"/>
      <c r="M481" s="126"/>
      <c r="N481" s="129"/>
      <c r="O481" s="125"/>
      <c r="P481" s="129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spans="1:26" ht="14.25" customHeight="1">
      <c r="A482" s="125"/>
      <c r="B482" s="125"/>
      <c r="C482" s="125"/>
      <c r="D482" s="126"/>
      <c r="E482" s="126"/>
      <c r="F482" s="125"/>
      <c r="G482" s="126"/>
      <c r="H482" s="126"/>
      <c r="I482" s="126"/>
      <c r="J482" s="126"/>
      <c r="K482" s="126"/>
      <c r="L482" s="126"/>
      <c r="M482" s="126"/>
      <c r="N482" s="129"/>
      <c r="O482" s="125"/>
      <c r="P482" s="129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spans="1:26" ht="14.25" customHeight="1">
      <c r="A483" s="125"/>
      <c r="B483" s="125"/>
      <c r="C483" s="125"/>
      <c r="D483" s="126"/>
      <c r="E483" s="126"/>
      <c r="F483" s="125"/>
      <c r="G483" s="126"/>
      <c r="H483" s="126"/>
      <c r="I483" s="126"/>
      <c r="J483" s="126"/>
      <c r="K483" s="126"/>
      <c r="L483" s="126"/>
      <c r="M483" s="126"/>
      <c r="N483" s="129"/>
      <c r="O483" s="125"/>
      <c r="P483" s="129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spans="1:26" ht="14.25" customHeight="1">
      <c r="A484" s="125"/>
      <c r="B484" s="125"/>
      <c r="C484" s="125"/>
      <c r="D484" s="126"/>
      <c r="E484" s="126"/>
      <c r="F484" s="125"/>
      <c r="G484" s="126"/>
      <c r="H484" s="126"/>
      <c r="I484" s="126"/>
      <c r="J484" s="126"/>
      <c r="K484" s="126"/>
      <c r="L484" s="126"/>
      <c r="M484" s="126"/>
      <c r="N484" s="129"/>
      <c r="O484" s="125"/>
      <c r="P484" s="129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spans="1:26" ht="14.25" customHeight="1">
      <c r="A485" s="125"/>
      <c r="B485" s="125"/>
      <c r="C485" s="125"/>
      <c r="D485" s="126"/>
      <c r="E485" s="126"/>
      <c r="F485" s="125"/>
      <c r="G485" s="126"/>
      <c r="H485" s="126"/>
      <c r="I485" s="126"/>
      <c r="J485" s="126"/>
      <c r="K485" s="126"/>
      <c r="L485" s="126"/>
      <c r="M485" s="126"/>
      <c r="N485" s="129"/>
      <c r="O485" s="125"/>
      <c r="P485" s="129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spans="1:26" ht="14.25" customHeight="1">
      <c r="A486" s="125"/>
      <c r="B486" s="125"/>
      <c r="C486" s="125"/>
      <c r="D486" s="126"/>
      <c r="E486" s="126"/>
      <c r="F486" s="125"/>
      <c r="G486" s="126"/>
      <c r="H486" s="126"/>
      <c r="I486" s="126"/>
      <c r="J486" s="126"/>
      <c r="K486" s="126"/>
      <c r="L486" s="126"/>
      <c r="M486" s="126"/>
      <c r="N486" s="129"/>
      <c r="O486" s="125"/>
      <c r="P486" s="129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spans="1:26" ht="14.25" customHeight="1">
      <c r="A487" s="125"/>
      <c r="B487" s="125"/>
      <c r="C487" s="125"/>
      <c r="D487" s="126"/>
      <c r="E487" s="126"/>
      <c r="F487" s="125"/>
      <c r="G487" s="126"/>
      <c r="H487" s="126"/>
      <c r="I487" s="126"/>
      <c r="J487" s="126"/>
      <c r="K487" s="126"/>
      <c r="L487" s="126"/>
      <c r="M487" s="126"/>
      <c r="N487" s="129"/>
      <c r="O487" s="125"/>
      <c r="P487" s="129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spans="1:26" ht="14.25" customHeight="1">
      <c r="A488" s="125"/>
      <c r="B488" s="125"/>
      <c r="C488" s="125"/>
      <c r="D488" s="126"/>
      <c r="E488" s="126"/>
      <c r="F488" s="125"/>
      <c r="G488" s="126"/>
      <c r="H488" s="126"/>
      <c r="I488" s="126"/>
      <c r="J488" s="126"/>
      <c r="K488" s="126"/>
      <c r="L488" s="126"/>
      <c r="M488" s="126"/>
      <c r="N488" s="129"/>
      <c r="O488" s="125"/>
      <c r="P488" s="129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spans="1:26" ht="14.25" customHeight="1">
      <c r="A489" s="125"/>
      <c r="B489" s="125"/>
      <c r="C489" s="125"/>
      <c r="D489" s="126"/>
      <c r="E489" s="126"/>
      <c r="F489" s="125"/>
      <c r="G489" s="126"/>
      <c r="H489" s="126"/>
      <c r="I489" s="126"/>
      <c r="J489" s="126"/>
      <c r="K489" s="126"/>
      <c r="L489" s="126"/>
      <c r="M489" s="126"/>
      <c r="N489" s="129"/>
      <c r="O489" s="125"/>
      <c r="P489" s="129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spans="1:26" ht="14.25" customHeight="1">
      <c r="A490" s="125"/>
      <c r="B490" s="125"/>
      <c r="C490" s="125"/>
      <c r="D490" s="126"/>
      <c r="E490" s="126"/>
      <c r="F490" s="125"/>
      <c r="G490" s="126"/>
      <c r="H490" s="126"/>
      <c r="I490" s="126"/>
      <c r="J490" s="126"/>
      <c r="K490" s="126"/>
      <c r="L490" s="126"/>
      <c r="M490" s="126"/>
      <c r="N490" s="129"/>
      <c r="O490" s="125"/>
      <c r="P490" s="129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spans="1:26" ht="14.25" customHeight="1">
      <c r="A491" s="125"/>
      <c r="B491" s="125"/>
      <c r="C491" s="125"/>
      <c r="D491" s="126"/>
      <c r="E491" s="126"/>
      <c r="F491" s="125"/>
      <c r="G491" s="126"/>
      <c r="H491" s="126"/>
      <c r="I491" s="126"/>
      <c r="J491" s="126"/>
      <c r="K491" s="126"/>
      <c r="L491" s="126"/>
      <c r="M491" s="126"/>
      <c r="N491" s="129"/>
      <c r="O491" s="125"/>
      <c r="P491" s="129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spans="1:26" ht="14.25" customHeight="1">
      <c r="A492" s="125"/>
      <c r="B492" s="125"/>
      <c r="C492" s="125"/>
      <c r="D492" s="126"/>
      <c r="E492" s="126"/>
      <c r="F492" s="125"/>
      <c r="G492" s="126"/>
      <c r="H492" s="126"/>
      <c r="I492" s="126"/>
      <c r="J492" s="126"/>
      <c r="K492" s="126"/>
      <c r="L492" s="126"/>
      <c r="M492" s="126"/>
      <c r="N492" s="129"/>
      <c r="O492" s="125"/>
      <c r="P492" s="129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spans="1:26" ht="14.25" customHeight="1">
      <c r="A493" s="125"/>
      <c r="B493" s="125"/>
      <c r="C493" s="125"/>
      <c r="D493" s="126"/>
      <c r="E493" s="126"/>
      <c r="F493" s="125"/>
      <c r="G493" s="126"/>
      <c r="H493" s="126"/>
      <c r="I493" s="126"/>
      <c r="J493" s="126"/>
      <c r="K493" s="126"/>
      <c r="L493" s="126"/>
      <c r="M493" s="126"/>
      <c r="N493" s="129"/>
      <c r="O493" s="125"/>
      <c r="P493" s="129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spans="1:26" ht="14.25" customHeight="1">
      <c r="A494" s="125"/>
      <c r="B494" s="125"/>
      <c r="C494" s="125"/>
      <c r="D494" s="126"/>
      <c r="E494" s="126"/>
      <c r="F494" s="125"/>
      <c r="G494" s="126"/>
      <c r="H494" s="126"/>
      <c r="I494" s="126"/>
      <c r="J494" s="126"/>
      <c r="K494" s="126"/>
      <c r="L494" s="126"/>
      <c r="M494" s="126"/>
      <c r="N494" s="129"/>
      <c r="O494" s="125"/>
      <c r="P494" s="129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spans="1:26" ht="14.25" customHeight="1">
      <c r="A495" s="125"/>
      <c r="B495" s="125"/>
      <c r="C495" s="125"/>
      <c r="D495" s="126"/>
      <c r="E495" s="126"/>
      <c r="F495" s="125"/>
      <c r="G495" s="126"/>
      <c r="H495" s="126"/>
      <c r="I495" s="126"/>
      <c r="J495" s="126"/>
      <c r="K495" s="126"/>
      <c r="L495" s="126"/>
      <c r="M495" s="126"/>
      <c r="N495" s="129"/>
      <c r="O495" s="125"/>
      <c r="P495" s="129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spans="1:26" ht="14.25" customHeight="1">
      <c r="A496" s="125"/>
      <c r="B496" s="125"/>
      <c r="C496" s="125"/>
      <c r="D496" s="126"/>
      <c r="E496" s="126"/>
      <c r="F496" s="125"/>
      <c r="G496" s="126"/>
      <c r="H496" s="126"/>
      <c r="I496" s="126"/>
      <c r="J496" s="126"/>
      <c r="K496" s="126"/>
      <c r="L496" s="126"/>
      <c r="M496" s="126"/>
      <c r="N496" s="129"/>
      <c r="O496" s="125"/>
      <c r="P496" s="129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spans="1:26" ht="14.25" customHeight="1">
      <c r="A497" s="125"/>
      <c r="B497" s="125"/>
      <c r="C497" s="125"/>
      <c r="D497" s="126"/>
      <c r="E497" s="126"/>
      <c r="F497" s="125"/>
      <c r="G497" s="126"/>
      <c r="H497" s="126"/>
      <c r="I497" s="126"/>
      <c r="J497" s="126"/>
      <c r="K497" s="126"/>
      <c r="L497" s="126"/>
      <c r="M497" s="126"/>
      <c r="N497" s="129"/>
      <c r="O497" s="125"/>
      <c r="P497" s="129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spans="1:26" ht="14.25" customHeight="1">
      <c r="A498" s="125"/>
      <c r="B498" s="125"/>
      <c r="C498" s="125"/>
      <c r="D498" s="126"/>
      <c r="E498" s="126"/>
      <c r="F498" s="125"/>
      <c r="G498" s="126"/>
      <c r="H498" s="126"/>
      <c r="I498" s="126"/>
      <c r="J498" s="126"/>
      <c r="K498" s="126"/>
      <c r="L498" s="126"/>
      <c r="M498" s="126"/>
      <c r="N498" s="129"/>
      <c r="O498" s="125"/>
      <c r="P498" s="129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spans="1:26" ht="14.25" customHeight="1">
      <c r="A499" s="125"/>
      <c r="B499" s="125"/>
      <c r="C499" s="125"/>
      <c r="D499" s="126"/>
      <c r="E499" s="126"/>
      <c r="F499" s="125"/>
      <c r="G499" s="126"/>
      <c r="H499" s="126"/>
      <c r="I499" s="126"/>
      <c r="J499" s="126"/>
      <c r="K499" s="126"/>
      <c r="L499" s="126"/>
      <c r="M499" s="126"/>
      <c r="N499" s="129"/>
      <c r="O499" s="125"/>
      <c r="P499" s="129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spans="1:26" ht="14.25" customHeight="1">
      <c r="A500" s="125"/>
      <c r="B500" s="125"/>
      <c r="C500" s="125"/>
      <c r="D500" s="126"/>
      <c r="E500" s="126"/>
      <c r="F500" s="125"/>
      <c r="G500" s="126"/>
      <c r="H500" s="126"/>
      <c r="I500" s="126"/>
      <c r="J500" s="126"/>
      <c r="K500" s="126"/>
      <c r="L500" s="126"/>
      <c r="M500" s="126"/>
      <c r="N500" s="129"/>
      <c r="O500" s="125"/>
      <c r="P500" s="129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spans="1:26" ht="14.25" customHeight="1">
      <c r="A501" s="125"/>
      <c r="B501" s="125"/>
      <c r="C501" s="125"/>
      <c r="D501" s="126"/>
      <c r="E501" s="126"/>
      <c r="F501" s="125"/>
      <c r="G501" s="126"/>
      <c r="H501" s="126"/>
      <c r="I501" s="126"/>
      <c r="J501" s="126"/>
      <c r="K501" s="126"/>
      <c r="L501" s="126"/>
      <c r="M501" s="126"/>
      <c r="N501" s="129"/>
      <c r="O501" s="125"/>
      <c r="P501" s="129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spans="1:26" ht="14.25" customHeight="1">
      <c r="A502" s="125"/>
      <c r="B502" s="125"/>
      <c r="C502" s="125"/>
      <c r="D502" s="126"/>
      <c r="E502" s="126"/>
      <c r="F502" s="125"/>
      <c r="G502" s="126"/>
      <c r="H502" s="126"/>
      <c r="I502" s="126"/>
      <c r="J502" s="126"/>
      <c r="K502" s="126"/>
      <c r="L502" s="126"/>
      <c r="M502" s="126"/>
      <c r="N502" s="129"/>
      <c r="O502" s="125"/>
      <c r="P502" s="129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spans="1:26" ht="14.25" customHeight="1">
      <c r="A503" s="125"/>
      <c r="B503" s="125"/>
      <c r="C503" s="125"/>
      <c r="D503" s="126"/>
      <c r="E503" s="126"/>
      <c r="F503" s="125"/>
      <c r="G503" s="126"/>
      <c r="H503" s="126"/>
      <c r="I503" s="126"/>
      <c r="J503" s="126"/>
      <c r="K503" s="126"/>
      <c r="L503" s="126"/>
      <c r="M503" s="126"/>
      <c r="N503" s="129"/>
      <c r="O503" s="125"/>
      <c r="P503" s="129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spans="1:26" ht="14.25" customHeight="1">
      <c r="A504" s="125"/>
      <c r="B504" s="125"/>
      <c r="C504" s="125"/>
      <c r="D504" s="126"/>
      <c r="E504" s="126"/>
      <c r="F504" s="125"/>
      <c r="G504" s="126"/>
      <c r="H504" s="126"/>
      <c r="I504" s="126"/>
      <c r="J504" s="126"/>
      <c r="K504" s="126"/>
      <c r="L504" s="126"/>
      <c r="M504" s="126"/>
      <c r="N504" s="129"/>
      <c r="O504" s="125"/>
      <c r="P504" s="129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spans="1:26" ht="14.25" customHeight="1">
      <c r="A505" s="125"/>
      <c r="B505" s="125"/>
      <c r="C505" s="125"/>
      <c r="D505" s="126"/>
      <c r="E505" s="126"/>
      <c r="F505" s="125"/>
      <c r="G505" s="126"/>
      <c r="H505" s="126"/>
      <c r="I505" s="126"/>
      <c r="J505" s="126"/>
      <c r="K505" s="126"/>
      <c r="L505" s="126"/>
      <c r="M505" s="126"/>
      <c r="N505" s="129"/>
      <c r="O505" s="125"/>
      <c r="P505" s="129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spans="1:26" ht="14.25" customHeight="1">
      <c r="A506" s="125"/>
      <c r="B506" s="125"/>
      <c r="C506" s="125"/>
      <c r="D506" s="126"/>
      <c r="E506" s="126"/>
      <c r="F506" s="125"/>
      <c r="G506" s="126"/>
      <c r="H506" s="126"/>
      <c r="I506" s="126"/>
      <c r="J506" s="126"/>
      <c r="K506" s="126"/>
      <c r="L506" s="126"/>
      <c r="M506" s="126"/>
      <c r="N506" s="129"/>
      <c r="O506" s="125"/>
      <c r="P506" s="129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spans="1:26" ht="14.25" customHeight="1">
      <c r="A507" s="125"/>
      <c r="B507" s="125"/>
      <c r="C507" s="125"/>
      <c r="D507" s="126"/>
      <c r="E507" s="126"/>
      <c r="F507" s="125"/>
      <c r="G507" s="126"/>
      <c r="H507" s="126"/>
      <c r="I507" s="126"/>
      <c r="J507" s="126"/>
      <c r="K507" s="126"/>
      <c r="L507" s="126"/>
      <c r="M507" s="126"/>
      <c r="N507" s="129"/>
      <c r="O507" s="125"/>
      <c r="P507" s="129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spans="1:26" ht="14.25" customHeight="1">
      <c r="A508" s="125"/>
      <c r="B508" s="125"/>
      <c r="C508" s="125"/>
      <c r="D508" s="126"/>
      <c r="E508" s="126"/>
      <c r="F508" s="125"/>
      <c r="G508" s="126"/>
      <c r="H508" s="126"/>
      <c r="I508" s="126"/>
      <c r="J508" s="126"/>
      <c r="K508" s="126"/>
      <c r="L508" s="126"/>
      <c r="M508" s="126"/>
      <c r="N508" s="129"/>
      <c r="O508" s="125"/>
      <c r="P508" s="129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spans="1:26" ht="14.25" customHeight="1">
      <c r="A509" s="125"/>
      <c r="B509" s="125"/>
      <c r="C509" s="125"/>
      <c r="D509" s="126"/>
      <c r="E509" s="126"/>
      <c r="F509" s="125"/>
      <c r="G509" s="126"/>
      <c r="H509" s="126"/>
      <c r="I509" s="126"/>
      <c r="J509" s="126"/>
      <c r="K509" s="126"/>
      <c r="L509" s="126"/>
      <c r="M509" s="126"/>
      <c r="N509" s="129"/>
      <c r="O509" s="125"/>
      <c r="P509" s="129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spans="1:26" ht="14.25" customHeight="1">
      <c r="A510" s="125"/>
      <c r="B510" s="125"/>
      <c r="C510" s="125"/>
      <c r="D510" s="126"/>
      <c r="E510" s="126"/>
      <c r="F510" s="125"/>
      <c r="G510" s="126"/>
      <c r="H510" s="126"/>
      <c r="I510" s="126"/>
      <c r="J510" s="126"/>
      <c r="K510" s="126"/>
      <c r="L510" s="126"/>
      <c r="M510" s="126"/>
      <c r="N510" s="129"/>
      <c r="O510" s="125"/>
      <c r="P510" s="129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spans="1:26" ht="14.25" customHeight="1">
      <c r="A511" s="125"/>
      <c r="B511" s="125"/>
      <c r="C511" s="125"/>
      <c r="D511" s="126"/>
      <c r="E511" s="126"/>
      <c r="F511" s="125"/>
      <c r="G511" s="126"/>
      <c r="H511" s="126"/>
      <c r="I511" s="126"/>
      <c r="J511" s="126"/>
      <c r="K511" s="126"/>
      <c r="L511" s="126"/>
      <c r="M511" s="126"/>
      <c r="N511" s="129"/>
      <c r="O511" s="125"/>
      <c r="P511" s="129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spans="1:26" ht="14.25" customHeight="1">
      <c r="A512" s="125"/>
      <c r="B512" s="125"/>
      <c r="C512" s="125"/>
      <c r="D512" s="126"/>
      <c r="E512" s="126"/>
      <c r="F512" s="125"/>
      <c r="G512" s="126"/>
      <c r="H512" s="126"/>
      <c r="I512" s="126"/>
      <c r="J512" s="126"/>
      <c r="K512" s="126"/>
      <c r="L512" s="126"/>
      <c r="M512" s="126"/>
      <c r="N512" s="129"/>
      <c r="O512" s="125"/>
      <c r="P512" s="129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spans="1:26" ht="14.25" customHeight="1">
      <c r="A513" s="125"/>
      <c r="B513" s="125"/>
      <c r="C513" s="125"/>
      <c r="D513" s="126"/>
      <c r="E513" s="126"/>
      <c r="F513" s="125"/>
      <c r="G513" s="126"/>
      <c r="H513" s="126"/>
      <c r="I513" s="126"/>
      <c r="J513" s="126"/>
      <c r="K513" s="126"/>
      <c r="L513" s="126"/>
      <c r="M513" s="126"/>
      <c r="N513" s="129"/>
      <c r="O513" s="125"/>
      <c r="P513" s="129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spans="1:26" ht="14.25" customHeight="1">
      <c r="A514" s="125"/>
      <c r="B514" s="125"/>
      <c r="C514" s="125"/>
      <c r="D514" s="126"/>
      <c r="E514" s="126"/>
      <c r="F514" s="125"/>
      <c r="G514" s="126"/>
      <c r="H514" s="126"/>
      <c r="I514" s="126"/>
      <c r="J514" s="126"/>
      <c r="K514" s="126"/>
      <c r="L514" s="126"/>
      <c r="M514" s="126"/>
      <c r="N514" s="129"/>
      <c r="O514" s="125"/>
      <c r="P514" s="129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spans="1:26" ht="14.25" customHeight="1">
      <c r="A515" s="125"/>
      <c r="B515" s="125"/>
      <c r="C515" s="125"/>
      <c r="D515" s="126"/>
      <c r="E515" s="126"/>
      <c r="F515" s="125"/>
      <c r="G515" s="126"/>
      <c r="H515" s="126"/>
      <c r="I515" s="126"/>
      <c r="J515" s="126"/>
      <c r="K515" s="126"/>
      <c r="L515" s="126"/>
      <c r="M515" s="126"/>
      <c r="N515" s="129"/>
      <c r="O515" s="125"/>
      <c r="P515" s="129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spans="1:26" ht="14.25" customHeight="1">
      <c r="A516" s="125"/>
      <c r="B516" s="125"/>
      <c r="C516" s="125"/>
      <c r="D516" s="126"/>
      <c r="E516" s="126"/>
      <c r="F516" s="125"/>
      <c r="G516" s="126"/>
      <c r="H516" s="126"/>
      <c r="I516" s="126"/>
      <c r="J516" s="126"/>
      <c r="K516" s="126"/>
      <c r="L516" s="126"/>
      <c r="M516" s="126"/>
      <c r="N516" s="129"/>
      <c r="O516" s="125"/>
      <c r="P516" s="129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spans="1:26" ht="14.25" customHeight="1">
      <c r="A517" s="125"/>
      <c r="B517" s="125"/>
      <c r="C517" s="125"/>
      <c r="D517" s="126"/>
      <c r="E517" s="126"/>
      <c r="F517" s="125"/>
      <c r="G517" s="126"/>
      <c r="H517" s="126"/>
      <c r="I517" s="126"/>
      <c r="J517" s="126"/>
      <c r="K517" s="126"/>
      <c r="L517" s="126"/>
      <c r="M517" s="126"/>
      <c r="N517" s="129"/>
      <c r="O517" s="125"/>
      <c r="P517" s="129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spans="1:26" ht="14.25" customHeight="1">
      <c r="A518" s="125"/>
      <c r="B518" s="125"/>
      <c r="C518" s="125"/>
      <c r="D518" s="126"/>
      <c r="E518" s="126"/>
      <c r="F518" s="125"/>
      <c r="G518" s="126"/>
      <c r="H518" s="126"/>
      <c r="I518" s="126"/>
      <c r="J518" s="126"/>
      <c r="K518" s="126"/>
      <c r="L518" s="126"/>
      <c r="M518" s="126"/>
      <c r="N518" s="129"/>
      <c r="O518" s="125"/>
      <c r="P518" s="129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spans="1:26" ht="14.25" customHeight="1">
      <c r="A519" s="125"/>
      <c r="B519" s="125"/>
      <c r="C519" s="125"/>
      <c r="D519" s="126"/>
      <c r="E519" s="126"/>
      <c r="F519" s="125"/>
      <c r="G519" s="126"/>
      <c r="H519" s="126"/>
      <c r="I519" s="126"/>
      <c r="J519" s="126"/>
      <c r="K519" s="126"/>
      <c r="L519" s="126"/>
      <c r="M519" s="126"/>
      <c r="N519" s="129"/>
      <c r="O519" s="125"/>
      <c r="P519" s="129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spans="1:26" ht="14.25" customHeight="1">
      <c r="A520" s="125"/>
      <c r="B520" s="125"/>
      <c r="C520" s="125"/>
      <c r="D520" s="126"/>
      <c r="E520" s="126"/>
      <c r="F520" s="125"/>
      <c r="G520" s="126"/>
      <c r="H520" s="126"/>
      <c r="I520" s="126"/>
      <c r="J520" s="126"/>
      <c r="K520" s="126"/>
      <c r="L520" s="126"/>
      <c r="M520" s="126"/>
      <c r="N520" s="129"/>
      <c r="O520" s="125"/>
      <c r="P520" s="129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spans="1:26" ht="14.25" customHeight="1">
      <c r="A521" s="125"/>
      <c r="B521" s="125"/>
      <c r="C521" s="125"/>
      <c r="D521" s="126"/>
      <c r="E521" s="126"/>
      <c r="F521" s="125"/>
      <c r="G521" s="126"/>
      <c r="H521" s="126"/>
      <c r="I521" s="126"/>
      <c r="J521" s="126"/>
      <c r="K521" s="126"/>
      <c r="L521" s="126"/>
      <c r="M521" s="126"/>
      <c r="N521" s="129"/>
      <c r="O521" s="125"/>
      <c r="P521" s="129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spans="1:26" ht="14.25" customHeight="1">
      <c r="A522" s="125"/>
      <c r="B522" s="125"/>
      <c r="C522" s="125"/>
      <c r="D522" s="126"/>
      <c r="E522" s="126"/>
      <c r="F522" s="125"/>
      <c r="G522" s="126"/>
      <c r="H522" s="126"/>
      <c r="I522" s="126"/>
      <c r="J522" s="126"/>
      <c r="K522" s="126"/>
      <c r="L522" s="126"/>
      <c r="M522" s="126"/>
      <c r="N522" s="129"/>
      <c r="O522" s="125"/>
      <c r="P522" s="129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spans="1:26" ht="14.25" customHeight="1">
      <c r="A523" s="125"/>
      <c r="B523" s="125"/>
      <c r="C523" s="125"/>
      <c r="D523" s="126"/>
      <c r="E523" s="126"/>
      <c r="F523" s="125"/>
      <c r="G523" s="126"/>
      <c r="H523" s="126"/>
      <c r="I523" s="126"/>
      <c r="J523" s="126"/>
      <c r="K523" s="126"/>
      <c r="L523" s="126"/>
      <c r="M523" s="126"/>
      <c r="N523" s="129"/>
      <c r="O523" s="125"/>
      <c r="P523" s="129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spans="1:26" ht="14.25" customHeight="1">
      <c r="A524" s="125"/>
      <c r="B524" s="125"/>
      <c r="C524" s="125"/>
      <c r="D524" s="126"/>
      <c r="E524" s="126"/>
      <c r="F524" s="125"/>
      <c r="G524" s="126"/>
      <c r="H524" s="126"/>
      <c r="I524" s="126"/>
      <c r="J524" s="126"/>
      <c r="K524" s="126"/>
      <c r="L524" s="126"/>
      <c r="M524" s="126"/>
      <c r="N524" s="129"/>
      <c r="O524" s="125"/>
      <c r="P524" s="129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spans="1:26" ht="14.25" customHeight="1">
      <c r="A525" s="125"/>
      <c r="B525" s="125"/>
      <c r="C525" s="125"/>
      <c r="D525" s="126"/>
      <c r="E525" s="126"/>
      <c r="F525" s="125"/>
      <c r="G525" s="126"/>
      <c r="H525" s="126"/>
      <c r="I525" s="126"/>
      <c r="J525" s="126"/>
      <c r="K525" s="126"/>
      <c r="L525" s="126"/>
      <c r="M525" s="126"/>
      <c r="N525" s="129"/>
      <c r="O525" s="125"/>
      <c r="P525" s="129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spans="1:26" ht="14.25" customHeight="1">
      <c r="A526" s="125"/>
      <c r="B526" s="125"/>
      <c r="C526" s="125"/>
      <c r="D526" s="126"/>
      <c r="E526" s="126"/>
      <c r="F526" s="125"/>
      <c r="G526" s="126"/>
      <c r="H526" s="126"/>
      <c r="I526" s="126"/>
      <c r="J526" s="126"/>
      <c r="K526" s="126"/>
      <c r="L526" s="126"/>
      <c r="M526" s="126"/>
      <c r="N526" s="129"/>
      <c r="O526" s="125"/>
      <c r="P526" s="129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spans="1:26" ht="14.25" customHeight="1">
      <c r="A527" s="125"/>
      <c r="B527" s="125"/>
      <c r="C527" s="125"/>
      <c r="D527" s="126"/>
      <c r="E527" s="126"/>
      <c r="F527" s="125"/>
      <c r="G527" s="126"/>
      <c r="H527" s="126"/>
      <c r="I527" s="126"/>
      <c r="J527" s="126"/>
      <c r="K527" s="126"/>
      <c r="L527" s="126"/>
      <c r="M527" s="126"/>
      <c r="N527" s="129"/>
      <c r="O527" s="125"/>
      <c r="P527" s="129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spans="1:26" ht="14.25" customHeight="1">
      <c r="A528" s="125"/>
      <c r="B528" s="125"/>
      <c r="C528" s="125"/>
      <c r="D528" s="126"/>
      <c r="E528" s="126"/>
      <c r="F528" s="125"/>
      <c r="G528" s="126"/>
      <c r="H528" s="126"/>
      <c r="I528" s="126"/>
      <c r="J528" s="126"/>
      <c r="K528" s="126"/>
      <c r="L528" s="126"/>
      <c r="M528" s="126"/>
      <c r="N528" s="129"/>
      <c r="O528" s="125"/>
      <c r="P528" s="129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spans="1:26" ht="14.25" customHeight="1">
      <c r="A529" s="125"/>
      <c r="B529" s="125"/>
      <c r="C529" s="125"/>
      <c r="D529" s="126"/>
      <c r="E529" s="126"/>
      <c r="F529" s="125"/>
      <c r="G529" s="126"/>
      <c r="H529" s="126"/>
      <c r="I529" s="126"/>
      <c r="J529" s="126"/>
      <c r="K529" s="126"/>
      <c r="L529" s="126"/>
      <c r="M529" s="126"/>
      <c r="N529" s="129"/>
      <c r="O529" s="125"/>
      <c r="P529" s="129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spans="1:26" ht="14.25" customHeight="1">
      <c r="A530" s="125"/>
      <c r="B530" s="125"/>
      <c r="C530" s="125"/>
      <c r="D530" s="126"/>
      <c r="E530" s="126"/>
      <c r="F530" s="125"/>
      <c r="G530" s="126"/>
      <c r="H530" s="126"/>
      <c r="I530" s="126"/>
      <c r="J530" s="126"/>
      <c r="K530" s="126"/>
      <c r="L530" s="126"/>
      <c r="M530" s="126"/>
      <c r="N530" s="129"/>
      <c r="O530" s="125"/>
      <c r="P530" s="129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spans="1:26" ht="14.25" customHeight="1">
      <c r="A531" s="125"/>
      <c r="B531" s="125"/>
      <c r="C531" s="125"/>
      <c r="D531" s="126"/>
      <c r="E531" s="126"/>
      <c r="F531" s="125"/>
      <c r="G531" s="126"/>
      <c r="H531" s="126"/>
      <c r="I531" s="126"/>
      <c r="J531" s="126"/>
      <c r="K531" s="126"/>
      <c r="L531" s="126"/>
      <c r="M531" s="126"/>
      <c r="N531" s="129"/>
      <c r="O531" s="125"/>
      <c r="P531" s="129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spans="1:26" ht="14.25" customHeight="1">
      <c r="A532" s="125"/>
      <c r="B532" s="125"/>
      <c r="C532" s="125"/>
      <c r="D532" s="126"/>
      <c r="E532" s="126"/>
      <c r="F532" s="125"/>
      <c r="G532" s="126"/>
      <c r="H532" s="126"/>
      <c r="I532" s="126"/>
      <c r="J532" s="126"/>
      <c r="K532" s="126"/>
      <c r="L532" s="126"/>
      <c r="M532" s="126"/>
      <c r="N532" s="129"/>
      <c r="O532" s="125"/>
      <c r="P532" s="129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spans="1:26" ht="14.25" customHeight="1">
      <c r="A533" s="125"/>
      <c r="B533" s="125"/>
      <c r="C533" s="125"/>
      <c r="D533" s="126"/>
      <c r="E533" s="126"/>
      <c r="F533" s="125"/>
      <c r="G533" s="126"/>
      <c r="H533" s="126"/>
      <c r="I533" s="126"/>
      <c r="J533" s="126"/>
      <c r="K533" s="126"/>
      <c r="L533" s="126"/>
      <c r="M533" s="126"/>
      <c r="N533" s="129"/>
      <c r="O533" s="125"/>
      <c r="P533" s="129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spans="1:26" ht="14.25" customHeight="1">
      <c r="A534" s="125"/>
      <c r="B534" s="125"/>
      <c r="C534" s="125"/>
      <c r="D534" s="126"/>
      <c r="E534" s="126"/>
      <c r="F534" s="125"/>
      <c r="G534" s="126"/>
      <c r="H534" s="126"/>
      <c r="I534" s="126"/>
      <c r="J534" s="126"/>
      <c r="K534" s="126"/>
      <c r="L534" s="126"/>
      <c r="M534" s="126"/>
      <c r="N534" s="129"/>
      <c r="O534" s="125"/>
      <c r="P534" s="129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spans="1:26" ht="14.25" customHeight="1">
      <c r="A535" s="125"/>
      <c r="B535" s="125"/>
      <c r="C535" s="125"/>
      <c r="D535" s="126"/>
      <c r="E535" s="126"/>
      <c r="F535" s="125"/>
      <c r="G535" s="126"/>
      <c r="H535" s="126"/>
      <c r="I535" s="126"/>
      <c r="J535" s="126"/>
      <c r="K535" s="126"/>
      <c r="L535" s="126"/>
      <c r="M535" s="126"/>
      <c r="N535" s="129"/>
      <c r="O535" s="125"/>
      <c r="P535" s="129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spans="1:26" ht="14.25" customHeight="1">
      <c r="A536" s="125"/>
      <c r="B536" s="125"/>
      <c r="C536" s="125"/>
      <c r="D536" s="126"/>
      <c r="E536" s="126"/>
      <c r="F536" s="125"/>
      <c r="G536" s="126"/>
      <c r="H536" s="126"/>
      <c r="I536" s="126"/>
      <c r="J536" s="126"/>
      <c r="K536" s="126"/>
      <c r="L536" s="126"/>
      <c r="M536" s="126"/>
      <c r="N536" s="129"/>
      <c r="O536" s="125"/>
      <c r="P536" s="129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spans="1:26" ht="14.25" customHeight="1">
      <c r="A537" s="125"/>
      <c r="B537" s="125"/>
      <c r="C537" s="125"/>
      <c r="D537" s="126"/>
      <c r="E537" s="126"/>
      <c r="F537" s="125"/>
      <c r="G537" s="126"/>
      <c r="H537" s="126"/>
      <c r="I537" s="126"/>
      <c r="J537" s="126"/>
      <c r="K537" s="126"/>
      <c r="L537" s="126"/>
      <c r="M537" s="126"/>
      <c r="N537" s="129"/>
      <c r="O537" s="125"/>
      <c r="P537" s="129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spans="1:26" ht="14.25" customHeight="1">
      <c r="A538" s="125"/>
      <c r="B538" s="125"/>
      <c r="C538" s="125"/>
      <c r="D538" s="126"/>
      <c r="E538" s="126"/>
      <c r="F538" s="125"/>
      <c r="G538" s="126"/>
      <c r="H538" s="126"/>
      <c r="I538" s="126"/>
      <c r="J538" s="126"/>
      <c r="K538" s="126"/>
      <c r="L538" s="126"/>
      <c r="M538" s="126"/>
      <c r="N538" s="129"/>
      <c r="O538" s="125"/>
      <c r="P538" s="129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spans="1:26" ht="14.25" customHeight="1">
      <c r="A539" s="125"/>
      <c r="B539" s="125"/>
      <c r="C539" s="125"/>
      <c r="D539" s="126"/>
      <c r="E539" s="126"/>
      <c r="F539" s="125"/>
      <c r="G539" s="126"/>
      <c r="H539" s="126"/>
      <c r="I539" s="126"/>
      <c r="J539" s="126"/>
      <c r="K539" s="126"/>
      <c r="L539" s="126"/>
      <c r="M539" s="126"/>
      <c r="N539" s="129"/>
      <c r="O539" s="125"/>
      <c r="P539" s="129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spans="1:26" ht="14.25" customHeight="1">
      <c r="A540" s="125"/>
      <c r="B540" s="125"/>
      <c r="C540" s="125"/>
      <c r="D540" s="126"/>
      <c r="E540" s="126"/>
      <c r="F540" s="125"/>
      <c r="G540" s="126"/>
      <c r="H540" s="126"/>
      <c r="I540" s="126"/>
      <c r="J540" s="126"/>
      <c r="K540" s="126"/>
      <c r="L540" s="126"/>
      <c r="M540" s="126"/>
      <c r="N540" s="129"/>
      <c r="O540" s="125"/>
      <c r="P540" s="129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spans="1:26" ht="14.25" customHeight="1">
      <c r="A541" s="125"/>
      <c r="B541" s="125"/>
      <c r="C541" s="125"/>
      <c r="D541" s="126"/>
      <c r="E541" s="126"/>
      <c r="F541" s="125"/>
      <c r="G541" s="126"/>
      <c r="H541" s="126"/>
      <c r="I541" s="126"/>
      <c r="J541" s="126"/>
      <c r="K541" s="126"/>
      <c r="L541" s="126"/>
      <c r="M541" s="126"/>
      <c r="N541" s="129"/>
      <c r="O541" s="125"/>
      <c r="P541" s="129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spans="1:26" ht="14.25" customHeight="1">
      <c r="A542" s="125"/>
      <c r="B542" s="125"/>
      <c r="C542" s="125"/>
      <c r="D542" s="126"/>
      <c r="E542" s="126"/>
      <c r="F542" s="125"/>
      <c r="G542" s="126"/>
      <c r="H542" s="126"/>
      <c r="I542" s="126"/>
      <c r="J542" s="126"/>
      <c r="K542" s="126"/>
      <c r="L542" s="126"/>
      <c r="M542" s="126"/>
      <c r="N542" s="129"/>
      <c r="O542" s="125"/>
      <c r="P542" s="129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spans="1:26" ht="14.25" customHeight="1">
      <c r="A543" s="125"/>
      <c r="B543" s="125"/>
      <c r="C543" s="125"/>
      <c r="D543" s="126"/>
      <c r="E543" s="126"/>
      <c r="F543" s="125"/>
      <c r="G543" s="126"/>
      <c r="H543" s="126"/>
      <c r="I543" s="126"/>
      <c r="J543" s="126"/>
      <c r="K543" s="126"/>
      <c r="L543" s="126"/>
      <c r="M543" s="126"/>
      <c r="N543" s="129"/>
      <c r="O543" s="125"/>
      <c r="P543" s="129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spans="1:26" ht="14.25" customHeight="1">
      <c r="A544" s="125"/>
      <c r="B544" s="125"/>
      <c r="C544" s="125"/>
      <c r="D544" s="126"/>
      <c r="E544" s="126"/>
      <c r="F544" s="125"/>
      <c r="G544" s="126"/>
      <c r="H544" s="126"/>
      <c r="I544" s="126"/>
      <c r="J544" s="126"/>
      <c r="K544" s="126"/>
      <c r="L544" s="126"/>
      <c r="M544" s="126"/>
      <c r="N544" s="129"/>
      <c r="O544" s="125"/>
      <c r="P544" s="129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spans="1:26" ht="14.25" customHeight="1">
      <c r="A545" s="125"/>
      <c r="B545" s="125"/>
      <c r="C545" s="125"/>
      <c r="D545" s="126"/>
      <c r="E545" s="126"/>
      <c r="F545" s="125"/>
      <c r="G545" s="126"/>
      <c r="H545" s="126"/>
      <c r="I545" s="126"/>
      <c r="J545" s="126"/>
      <c r="K545" s="126"/>
      <c r="L545" s="126"/>
      <c r="M545" s="126"/>
      <c r="N545" s="129"/>
      <c r="O545" s="125"/>
      <c r="P545" s="129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spans="1:26" ht="14.25" customHeight="1">
      <c r="A546" s="125"/>
      <c r="B546" s="125"/>
      <c r="C546" s="125"/>
      <c r="D546" s="126"/>
      <c r="E546" s="126"/>
      <c r="F546" s="125"/>
      <c r="G546" s="126"/>
      <c r="H546" s="126"/>
      <c r="I546" s="126"/>
      <c r="J546" s="126"/>
      <c r="K546" s="126"/>
      <c r="L546" s="126"/>
      <c r="M546" s="126"/>
      <c r="N546" s="129"/>
      <c r="O546" s="125"/>
      <c r="P546" s="129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spans="1:26" ht="14.25" customHeight="1">
      <c r="A547" s="125"/>
      <c r="B547" s="125"/>
      <c r="C547" s="125"/>
      <c r="D547" s="126"/>
      <c r="E547" s="126"/>
      <c r="F547" s="125"/>
      <c r="G547" s="126"/>
      <c r="H547" s="126"/>
      <c r="I547" s="126"/>
      <c r="J547" s="126"/>
      <c r="K547" s="126"/>
      <c r="L547" s="126"/>
      <c r="M547" s="126"/>
      <c r="N547" s="129"/>
      <c r="O547" s="125"/>
      <c r="P547" s="129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spans="1:26" ht="14.25" customHeight="1">
      <c r="A548" s="125"/>
      <c r="B548" s="125"/>
      <c r="C548" s="125"/>
      <c r="D548" s="126"/>
      <c r="E548" s="126"/>
      <c r="F548" s="125"/>
      <c r="G548" s="126"/>
      <c r="H548" s="126"/>
      <c r="I548" s="126"/>
      <c r="J548" s="126"/>
      <c r="K548" s="126"/>
      <c r="L548" s="126"/>
      <c r="M548" s="126"/>
      <c r="N548" s="129"/>
      <c r="O548" s="125"/>
      <c r="P548" s="129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spans="1:26" ht="14.25" customHeight="1">
      <c r="A549" s="125"/>
      <c r="B549" s="125"/>
      <c r="C549" s="125"/>
      <c r="D549" s="126"/>
      <c r="E549" s="126"/>
      <c r="F549" s="125"/>
      <c r="G549" s="126"/>
      <c r="H549" s="126"/>
      <c r="I549" s="126"/>
      <c r="J549" s="126"/>
      <c r="K549" s="126"/>
      <c r="L549" s="126"/>
      <c r="M549" s="126"/>
      <c r="N549" s="129"/>
      <c r="O549" s="125"/>
      <c r="P549" s="129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spans="1:26" ht="14.25" customHeight="1">
      <c r="A550" s="125"/>
      <c r="B550" s="125"/>
      <c r="C550" s="125"/>
      <c r="D550" s="126"/>
      <c r="E550" s="126"/>
      <c r="F550" s="125"/>
      <c r="G550" s="126"/>
      <c r="H550" s="126"/>
      <c r="I550" s="126"/>
      <c r="J550" s="126"/>
      <c r="K550" s="126"/>
      <c r="L550" s="126"/>
      <c r="M550" s="126"/>
      <c r="N550" s="129"/>
      <c r="O550" s="125"/>
      <c r="P550" s="129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spans="1:26" ht="14.25" customHeight="1">
      <c r="A551" s="125"/>
      <c r="B551" s="125"/>
      <c r="C551" s="125"/>
      <c r="D551" s="126"/>
      <c r="E551" s="126"/>
      <c r="F551" s="125"/>
      <c r="G551" s="126"/>
      <c r="H551" s="126"/>
      <c r="I551" s="126"/>
      <c r="J551" s="126"/>
      <c r="K551" s="126"/>
      <c r="L551" s="126"/>
      <c r="M551" s="126"/>
      <c r="N551" s="129"/>
      <c r="O551" s="125"/>
      <c r="P551" s="129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spans="1:26" ht="14.25" customHeight="1">
      <c r="A552" s="125"/>
      <c r="B552" s="125"/>
      <c r="C552" s="125"/>
      <c r="D552" s="126"/>
      <c r="E552" s="126"/>
      <c r="F552" s="125"/>
      <c r="G552" s="126"/>
      <c r="H552" s="126"/>
      <c r="I552" s="126"/>
      <c r="J552" s="126"/>
      <c r="K552" s="126"/>
      <c r="L552" s="126"/>
      <c r="M552" s="126"/>
      <c r="N552" s="129"/>
      <c r="O552" s="125"/>
      <c r="P552" s="129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26" ht="14.25" customHeight="1">
      <c r="A553" s="125"/>
      <c r="B553" s="125"/>
      <c r="C553" s="125"/>
      <c r="D553" s="126"/>
      <c r="E553" s="126"/>
      <c r="F553" s="125"/>
      <c r="G553" s="126"/>
      <c r="H553" s="126"/>
      <c r="I553" s="126"/>
      <c r="J553" s="126"/>
      <c r="K553" s="126"/>
      <c r="L553" s="126"/>
      <c r="M553" s="126"/>
      <c r="N553" s="129"/>
      <c r="O553" s="125"/>
      <c r="P553" s="129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spans="1:26" ht="14.25" customHeight="1">
      <c r="A554" s="125"/>
      <c r="B554" s="125"/>
      <c r="C554" s="125"/>
      <c r="D554" s="126"/>
      <c r="E554" s="126"/>
      <c r="F554" s="125"/>
      <c r="G554" s="126"/>
      <c r="H554" s="126"/>
      <c r="I554" s="126"/>
      <c r="J554" s="126"/>
      <c r="K554" s="126"/>
      <c r="L554" s="126"/>
      <c r="M554" s="126"/>
      <c r="N554" s="129"/>
      <c r="O554" s="125"/>
      <c r="P554" s="129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spans="1:26" ht="14.25" customHeight="1">
      <c r="A555" s="125"/>
      <c r="B555" s="125"/>
      <c r="C555" s="125"/>
      <c r="D555" s="126"/>
      <c r="E555" s="126"/>
      <c r="F555" s="125"/>
      <c r="G555" s="126"/>
      <c r="H555" s="126"/>
      <c r="I555" s="126"/>
      <c r="J555" s="126"/>
      <c r="K555" s="126"/>
      <c r="L555" s="126"/>
      <c r="M555" s="126"/>
      <c r="N555" s="129"/>
      <c r="O555" s="125"/>
      <c r="P555" s="129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spans="1:26" ht="14.25" customHeight="1">
      <c r="A556" s="125"/>
      <c r="B556" s="125"/>
      <c r="C556" s="125"/>
      <c r="D556" s="126"/>
      <c r="E556" s="126"/>
      <c r="F556" s="125"/>
      <c r="G556" s="126"/>
      <c r="H556" s="126"/>
      <c r="I556" s="126"/>
      <c r="J556" s="126"/>
      <c r="K556" s="126"/>
      <c r="L556" s="126"/>
      <c r="M556" s="126"/>
      <c r="N556" s="129"/>
      <c r="O556" s="125"/>
      <c r="P556" s="129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spans="1:26" ht="14.25" customHeight="1">
      <c r="A557" s="125"/>
      <c r="B557" s="125"/>
      <c r="C557" s="125"/>
      <c r="D557" s="126"/>
      <c r="E557" s="126"/>
      <c r="F557" s="125"/>
      <c r="G557" s="126"/>
      <c r="H557" s="126"/>
      <c r="I557" s="126"/>
      <c r="J557" s="126"/>
      <c r="K557" s="126"/>
      <c r="L557" s="126"/>
      <c r="M557" s="126"/>
      <c r="N557" s="129"/>
      <c r="O557" s="125"/>
      <c r="P557" s="129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spans="1:26" ht="14.25" customHeight="1">
      <c r="A558" s="125"/>
      <c r="B558" s="125"/>
      <c r="C558" s="125"/>
      <c r="D558" s="126"/>
      <c r="E558" s="126"/>
      <c r="F558" s="125"/>
      <c r="G558" s="126"/>
      <c r="H558" s="126"/>
      <c r="I558" s="126"/>
      <c r="J558" s="126"/>
      <c r="K558" s="126"/>
      <c r="L558" s="126"/>
      <c r="M558" s="126"/>
      <c r="N558" s="129"/>
      <c r="O558" s="125"/>
      <c r="P558" s="129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spans="1:26" ht="14.25" customHeight="1">
      <c r="A559" s="125"/>
      <c r="B559" s="125"/>
      <c r="C559" s="125"/>
      <c r="D559" s="126"/>
      <c r="E559" s="126"/>
      <c r="F559" s="125"/>
      <c r="G559" s="126"/>
      <c r="H559" s="126"/>
      <c r="I559" s="126"/>
      <c r="J559" s="126"/>
      <c r="K559" s="126"/>
      <c r="L559" s="126"/>
      <c r="M559" s="126"/>
      <c r="N559" s="129"/>
      <c r="O559" s="125"/>
      <c r="P559" s="129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spans="1:26" ht="14.25" customHeight="1">
      <c r="A560" s="125"/>
      <c r="B560" s="125"/>
      <c r="C560" s="125"/>
      <c r="D560" s="126"/>
      <c r="E560" s="126"/>
      <c r="F560" s="125"/>
      <c r="G560" s="126"/>
      <c r="H560" s="126"/>
      <c r="I560" s="126"/>
      <c r="J560" s="126"/>
      <c r="K560" s="126"/>
      <c r="L560" s="126"/>
      <c r="M560" s="126"/>
      <c r="N560" s="129"/>
      <c r="O560" s="125"/>
      <c r="P560" s="129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spans="1:26" ht="14.25" customHeight="1">
      <c r="A561" s="125"/>
      <c r="B561" s="125"/>
      <c r="C561" s="125"/>
      <c r="D561" s="126"/>
      <c r="E561" s="126"/>
      <c r="F561" s="125"/>
      <c r="G561" s="126"/>
      <c r="H561" s="126"/>
      <c r="I561" s="126"/>
      <c r="J561" s="126"/>
      <c r="K561" s="126"/>
      <c r="L561" s="126"/>
      <c r="M561" s="126"/>
      <c r="N561" s="129"/>
      <c r="O561" s="125"/>
      <c r="P561" s="129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spans="1:26" ht="14.25" customHeight="1">
      <c r="A562" s="125"/>
      <c r="B562" s="125"/>
      <c r="C562" s="125"/>
      <c r="D562" s="126"/>
      <c r="E562" s="126"/>
      <c r="F562" s="125"/>
      <c r="G562" s="126"/>
      <c r="H562" s="126"/>
      <c r="I562" s="126"/>
      <c r="J562" s="126"/>
      <c r="K562" s="126"/>
      <c r="L562" s="126"/>
      <c r="M562" s="126"/>
      <c r="N562" s="129"/>
      <c r="O562" s="125"/>
      <c r="P562" s="129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spans="1:26" ht="14.25" customHeight="1">
      <c r="A563" s="125"/>
      <c r="B563" s="125"/>
      <c r="C563" s="125"/>
      <c r="D563" s="126"/>
      <c r="E563" s="126"/>
      <c r="F563" s="125"/>
      <c r="G563" s="126"/>
      <c r="H563" s="126"/>
      <c r="I563" s="126"/>
      <c r="J563" s="126"/>
      <c r="K563" s="126"/>
      <c r="L563" s="126"/>
      <c r="M563" s="126"/>
      <c r="N563" s="129"/>
      <c r="O563" s="125"/>
      <c r="P563" s="129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spans="1:26" ht="14.25" customHeight="1">
      <c r="A564" s="125"/>
      <c r="B564" s="125"/>
      <c r="C564" s="125"/>
      <c r="D564" s="126"/>
      <c r="E564" s="126"/>
      <c r="F564" s="125"/>
      <c r="G564" s="126"/>
      <c r="H564" s="126"/>
      <c r="I564" s="126"/>
      <c r="J564" s="126"/>
      <c r="K564" s="126"/>
      <c r="L564" s="126"/>
      <c r="M564" s="126"/>
      <c r="N564" s="129"/>
      <c r="O564" s="125"/>
      <c r="P564" s="129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spans="1:26" ht="14.25" customHeight="1">
      <c r="A565" s="125"/>
      <c r="B565" s="125"/>
      <c r="C565" s="125"/>
      <c r="D565" s="126"/>
      <c r="E565" s="126"/>
      <c r="F565" s="125"/>
      <c r="G565" s="126"/>
      <c r="H565" s="126"/>
      <c r="I565" s="126"/>
      <c r="J565" s="126"/>
      <c r="K565" s="126"/>
      <c r="L565" s="126"/>
      <c r="M565" s="126"/>
      <c r="N565" s="129"/>
      <c r="O565" s="125"/>
      <c r="P565" s="129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spans="1:26" ht="14.25" customHeight="1">
      <c r="A566" s="125"/>
      <c r="B566" s="125"/>
      <c r="C566" s="125"/>
      <c r="D566" s="126"/>
      <c r="E566" s="126"/>
      <c r="F566" s="125"/>
      <c r="G566" s="126"/>
      <c r="H566" s="126"/>
      <c r="I566" s="126"/>
      <c r="J566" s="126"/>
      <c r="K566" s="126"/>
      <c r="L566" s="126"/>
      <c r="M566" s="126"/>
      <c r="N566" s="129"/>
      <c r="O566" s="125"/>
      <c r="P566" s="129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spans="1:26" ht="14.25" customHeight="1">
      <c r="A567" s="125"/>
      <c r="B567" s="125"/>
      <c r="C567" s="125"/>
      <c r="D567" s="126"/>
      <c r="E567" s="126"/>
      <c r="F567" s="125"/>
      <c r="G567" s="126"/>
      <c r="H567" s="126"/>
      <c r="I567" s="126"/>
      <c r="J567" s="126"/>
      <c r="K567" s="126"/>
      <c r="L567" s="126"/>
      <c r="M567" s="126"/>
      <c r="N567" s="129"/>
      <c r="O567" s="125"/>
      <c r="P567" s="129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spans="1:26" ht="14.25" customHeight="1">
      <c r="A568" s="125"/>
      <c r="B568" s="125"/>
      <c r="C568" s="125"/>
      <c r="D568" s="126"/>
      <c r="E568" s="126"/>
      <c r="F568" s="125"/>
      <c r="G568" s="126"/>
      <c r="H568" s="126"/>
      <c r="I568" s="126"/>
      <c r="J568" s="126"/>
      <c r="K568" s="126"/>
      <c r="L568" s="126"/>
      <c r="M568" s="126"/>
      <c r="N568" s="129"/>
      <c r="O568" s="125"/>
      <c r="P568" s="129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spans="1:26" ht="14.25" customHeight="1">
      <c r="A569" s="125"/>
      <c r="B569" s="125"/>
      <c r="C569" s="125"/>
      <c r="D569" s="126"/>
      <c r="E569" s="126"/>
      <c r="F569" s="125"/>
      <c r="G569" s="126"/>
      <c r="H569" s="126"/>
      <c r="I569" s="126"/>
      <c r="J569" s="126"/>
      <c r="K569" s="126"/>
      <c r="L569" s="126"/>
      <c r="M569" s="126"/>
      <c r="N569" s="129"/>
      <c r="O569" s="125"/>
      <c r="P569" s="129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spans="1:26" ht="14.25" customHeight="1">
      <c r="A570" s="125"/>
      <c r="B570" s="125"/>
      <c r="C570" s="125"/>
      <c r="D570" s="126"/>
      <c r="E570" s="126"/>
      <c r="F570" s="125"/>
      <c r="G570" s="126"/>
      <c r="H570" s="126"/>
      <c r="I570" s="126"/>
      <c r="J570" s="126"/>
      <c r="K570" s="126"/>
      <c r="L570" s="126"/>
      <c r="M570" s="126"/>
      <c r="N570" s="129"/>
      <c r="O570" s="125"/>
      <c r="P570" s="129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spans="1:26" ht="14.25" customHeight="1">
      <c r="A571" s="125"/>
      <c r="B571" s="125"/>
      <c r="C571" s="125"/>
      <c r="D571" s="126"/>
      <c r="E571" s="126"/>
      <c r="F571" s="125"/>
      <c r="G571" s="126"/>
      <c r="H571" s="126"/>
      <c r="I571" s="126"/>
      <c r="J571" s="126"/>
      <c r="K571" s="126"/>
      <c r="L571" s="126"/>
      <c r="M571" s="126"/>
      <c r="N571" s="129"/>
      <c r="O571" s="125"/>
      <c r="P571" s="129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spans="1:26" ht="14.25" customHeight="1">
      <c r="A572" s="125"/>
      <c r="B572" s="125"/>
      <c r="C572" s="125"/>
      <c r="D572" s="126"/>
      <c r="E572" s="126"/>
      <c r="F572" s="125"/>
      <c r="G572" s="126"/>
      <c r="H572" s="126"/>
      <c r="I572" s="126"/>
      <c r="J572" s="126"/>
      <c r="K572" s="126"/>
      <c r="L572" s="126"/>
      <c r="M572" s="126"/>
      <c r="N572" s="129"/>
      <c r="O572" s="125"/>
      <c r="P572" s="129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spans="1:26" ht="14.25" customHeight="1">
      <c r="A573" s="125"/>
      <c r="B573" s="125"/>
      <c r="C573" s="125"/>
      <c r="D573" s="126"/>
      <c r="E573" s="126"/>
      <c r="F573" s="125"/>
      <c r="G573" s="126"/>
      <c r="H573" s="126"/>
      <c r="I573" s="126"/>
      <c r="J573" s="126"/>
      <c r="K573" s="126"/>
      <c r="L573" s="126"/>
      <c r="M573" s="126"/>
      <c r="N573" s="129"/>
      <c r="O573" s="125"/>
      <c r="P573" s="129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spans="1:26" ht="14.25" customHeight="1">
      <c r="A574" s="125"/>
      <c r="B574" s="125"/>
      <c r="C574" s="125"/>
      <c r="D574" s="126"/>
      <c r="E574" s="126"/>
      <c r="F574" s="125"/>
      <c r="G574" s="126"/>
      <c r="H574" s="126"/>
      <c r="I574" s="126"/>
      <c r="J574" s="126"/>
      <c r="K574" s="126"/>
      <c r="L574" s="126"/>
      <c r="M574" s="126"/>
      <c r="N574" s="129"/>
      <c r="O574" s="125"/>
      <c r="P574" s="129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spans="1:26" ht="14.25" customHeight="1">
      <c r="A575" s="125"/>
      <c r="B575" s="125"/>
      <c r="C575" s="125"/>
      <c r="D575" s="126"/>
      <c r="E575" s="126"/>
      <c r="F575" s="125"/>
      <c r="G575" s="126"/>
      <c r="H575" s="126"/>
      <c r="I575" s="126"/>
      <c r="J575" s="126"/>
      <c r="K575" s="126"/>
      <c r="L575" s="126"/>
      <c r="M575" s="126"/>
      <c r="N575" s="129"/>
      <c r="O575" s="125"/>
      <c r="P575" s="129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spans="1:26" ht="14.25" customHeight="1">
      <c r="A576" s="125"/>
      <c r="B576" s="125"/>
      <c r="C576" s="125"/>
      <c r="D576" s="126"/>
      <c r="E576" s="126"/>
      <c r="F576" s="125"/>
      <c r="G576" s="126"/>
      <c r="H576" s="126"/>
      <c r="I576" s="126"/>
      <c r="J576" s="126"/>
      <c r="K576" s="126"/>
      <c r="L576" s="126"/>
      <c r="M576" s="126"/>
      <c r="N576" s="129"/>
      <c r="O576" s="125"/>
      <c r="P576" s="129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spans="1:26" ht="14.25" customHeight="1">
      <c r="A577" s="125"/>
      <c r="B577" s="125"/>
      <c r="C577" s="125"/>
      <c r="D577" s="126"/>
      <c r="E577" s="126"/>
      <c r="F577" s="125"/>
      <c r="G577" s="126"/>
      <c r="H577" s="126"/>
      <c r="I577" s="126"/>
      <c r="J577" s="126"/>
      <c r="K577" s="126"/>
      <c r="L577" s="126"/>
      <c r="M577" s="126"/>
      <c r="N577" s="129"/>
      <c r="O577" s="125"/>
      <c r="P577" s="129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spans="1:26" ht="14.25" customHeight="1">
      <c r="A578" s="125"/>
      <c r="B578" s="125"/>
      <c r="C578" s="125"/>
      <c r="D578" s="126"/>
      <c r="E578" s="126"/>
      <c r="F578" s="125"/>
      <c r="G578" s="126"/>
      <c r="H578" s="126"/>
      <c r="I578" s="126"/>
      <c r="J578" s="126"/>
      <c r="K578" s="126"/>
      <c r="L578" s="126"/>
      <c r="M578" s="126"/>
      <c r="N578" s="129"/>
      <c r="O578" s="125"/>
      <c r="P578" s="129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spans="1:26" ht="14.25" customHeight="1">
      <c r="A579" s="125"/>
      <c r="B579" s="125"/>
      <c r="C579" s="125"/>
      <c r="D579" s="126"/>
      <c r="E579" s="126"/>
      <c r="F579" s="125"/>
      <c r="G579" s="126"/>
      <c r="H579" s="126"/>
      <c r="I579" s="126"/>
      <c r="J579" s="126"/>
      <c r="K579" s="126"/>
      <c r="L579" s="126"/>
      <c r="M579" s="126"/>
      <c r="N579" s="129"/>
      <c r="O579" s="125"/>
      <c r="P579" s="129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spans="1:26" ht="14.25" customHeight="1">
      <c r="A580" s="125"/>
      <c r="B580" s="125"/>
      <c r="C580" s="125"/>
      <c r="D580" s="126"/>
      <c r="E580" s="126"/>
      <c r="F580" s="125"/>
      <c r="G580" s="126"/>
      <c r="H580" s="126"/>
      <c r="I580" s="126"/>
      <c r="J580" s="126"/>
      <c r="K580" s="126"/>
      <c r="L580" s="126"/>
      <c r="M580" s="126"/>
      <c r="N580" s="129"/>
      <c r="O580" s="125"/>
      <c r="P580" s="129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spans="1:26" ht="14.25" customHeight="1">
      <c r="A581" s="125"/>
      <c r="B581" s="125"/>
      <c r="C581" s="125"/>
      <c r="D581" s="126"/>
      <c r="E581" s="126"/>
      <c r="F581" s="125"/>
      <c r="G581" s="126"/>
      <c r="H581" s="126"/>
      <c r="I581" s="126"/>
      <c r="J581" s="126"/>
      <c r="K581" s="126"/>
      <c r="L581" s="126"/>
      <c r="M581" s="126"/>
      <c r="N581" s="129"/>
      <c r="O581" s="125"/>
      <c r="P581" s="129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spans="1:26" ht="14.25" customHeight="1">
      <c r="A582" s="125"/>
      <c r="B582" s="125"/>
      <c r="C582" s="125"/>
      <c r="D582" s="126"/>
      <c r="E582" s="126"/>
      <c r="F582" s="125"/>
      <c r="G582" s="126"/>
      <c r="H582" s="126"/>
      <c r="I582" s="126"/>
      <c r="J582" s="126"/>
      <c r="K582" s="126"/>
      <c r="L582" s="126"/>
      <c r="M582" s="126"/>
      <c r="N582" s="129"/>
      <c r="O582" s="125"/>
      <c r="P582" s="129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spans="1:26" ht="14.25" customHeight="1">
      <c r="A583" s="125"/>
      <c r="B583" s="125"/>
      <c r="C583" s="125"/>
      <c r="D583" s="126"/>
      <c r="E583" s="126"/>
      <c r="F583" s="125"/>
      <c r="G583" s="126"/>
      <c r="H583" s="126"/>
      <c r="I583" s="126"/>
      <c r="J583" s="126"/>
      <c r="K583" s="126"/>
      <c r="L583" s="126"/>
      <c r="M583" s="126"/>
      <c r="N583" s="129"/>
      <c r="O583" s="125"/>
      <c r="P583" s="129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spans="1:26" ht="14.25" customHeight="1">
      <c r="A584" s="125"/>
      <c r="B584" s="125"/>
      <c r="C584" s="125"/>
      <c r="D584" s="126"/>
      <c r="E584" s="126"/>
      <c r="F584" s="125"/>
      <c r="G584" s="126"/>
      <c r="H584" s="126"/>
      <c r="I584" s="126"/>
      <c r="J584" s="126"/>
      <c r="K584" s="126"/>
      <c r="L584" s="126"/>
      <c r="M584" s="126"/>
      <c r="N584" s="129"/>
      <c r="O584" s="125"/>
      <c r="P584" s="129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spans="1:26" ht="14.25" customHeight="1">
      <c r="A585" s="125"/>
      <c r="B585" s="125"/>
      <c r="C585" s="125"/>
      <c r="D585" s="126"/>
      <c r="E585" s="126"/>
      <c r="F585" s="125"/>
      <c r="G585" s="126"/>
      <c r="H585" s="126"/>
      <c r="I585" s="126"/>
      <c r="J585" s="126"/>
      <c r="K585" s="126"/>
      <c r="L585" s="126"/>
      <c r="M585" s="126"/>
      <c r="N585" s="129"/>
      <c r="O585" s="125"/>
      <c r="P585" s="129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spans="1:26" ht="14.25" customHeight="1">
      <c r="A586" s="125"/>
      <c r="B586" s="125"/>
      <c r="C586" s="125"/>
      <c r="D586" s="126"/>
      <c r="E586" s="126"/>
      <c r="F586" s="125"/>
      <c r="G586" s="126"/>
      <c r="H586" s="126"/>
      <c r="I586" s="126"/>
      <c r="J586" s="126"/>
      <c r="K586" s="126"/>
      <c r="L586" s="126"/>
      <c r="M586" s="126"/>
      <c r="N586" s="129"/>
      <c r="O586" s="125"/>
      <c r="P586" s="129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spans="1:26" ht="14.25" customHeight="1">
      <c r="A587" s="125"/>
      <c r="B587" s="125"/>
      <c r="C587" s="125"/>
      <c r="D587" s="126"/>
      <c r="E587" s="126"/>
      <c r="F587" s="125"/>
      <c r="G587" s="126"/>
      <c r="H587" s="126"/>
      <c r="I587" s="126"/>
      <c r="J587" s="126"/>
      <c r="K587" s="126"/>
      <c r="L587" s="126"/>
      <c r="M587" s="126"/>
      <c r="N587" s="129"/>
      <c r="O587" s="125"/>
      <c r="P587" s="129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spans="1:26" ht="14.25" customHeight="1">
      <c r="A588" s="125"/>
      <c r="B588" s="125"/>
      <c r="C588" s="125"/>
      <c r="D588" s="126"/>
      <c r="E588" s="126"/>
      <c r="F588" s="125"/>
      <c r="G588" s="126"/>
      <c r="H588" s="126"/>
      <c r="I588" s="126"/>
      <c r="J588" s="126"/>
      <c r="K588" s="126"/>
      <c r="L588" s="126"/>
      <c r="M588" s="126"/>
      <c r="N588" s="129"/>
      <c r="O588" s="125"/>
      <c r="P588" s="129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spans="1:26" ht="14.25" customHeight="1">
      <c r="A589" s="125"/>
      <c r="B589" s="125"/>
      <c r="C589" s="125"/>
      <c r="D589" s="126"/>
      <c r="E589" s="126"/>
      <c r="F589" s="125"/>
      <c r="G589" s="126"/>
      <c r="H589" s="126"/>
      <c r="I589" s="126"/>
      <c r="J589" s="126"/>
      <c r="K589" s="126"/>
      <c r="L589" s="126"/>
      <c r="M589" s="126"/>
      <c r="N589" s="129"/>
      <c r="O589" s="125"/>
      <c r="P589" s="129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spans="1:26" ht="14.25" customHeight="1">
      <c r="A590" s="125"/>
      <c r="B590" s="125"/>
      <c r="C590" s="125"/>
      <c r="D590" s="126"/>
      <c r="E590" s="126"/>
      <c r="F590" s="125"/>
      <c r="G590" s="126"/>
      <c r="H590" s="126"/>
      <c r="I590" s="126"/>
      <c r="J590" s="126"/>
      <c r="K590" s="126"/>
      <c r="L590" s="126"/>
      <c r="M590" s="126"/>
      <c r="N590" s="129"/>
      <c r="O590" s="125"/>
      <c r="P590" s="129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spans="1:26" ht="14.25" customHeight="1">
      <c r="A591" s="125"/>
      <c r="B591" s="125"/>
      <c r="C591" s="125"/>
      <c r="D591" s="126"/>
      <c r="E591" s="126"/>
      <c r="F591" s="125"/>
      <c r="G591" s="126"/>
      <c r="H591" s="126"/>
      <c r="I591" s="126"/>
      <c r="J591" s="126"/>
      <c r="K591" s="126"/>
      <c r="L591" s="126"/>
      <c r="M591" s="126"/>
      <c r="N591" s="129"/>
      <c r="O591" s="125"/>
      <c r="P591" s="129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spans="1:26" ht="14.25" customHeight="1">
      <c r="A592" s="125"/>
      <c r="B592" s="125"/>
      <c r="C592" s="125"/>
      <c r="D592" s="126"/>
      <c r="E592" s="126"/>
      <c r="F592" s="125"/>
      <c r="G592" s="126"/>
      <c r="H592" s="126"/>
      <c r="I592" s="126"/>
      <c r="J592" s="126"/>
      <c r="K592" s="126"/>
      <c r="L592" s="126"/>
      <c r="M592" s="126"/>
      <c r="N592" s="129"/>
      <c r="O592" s="125"/>
      <c r="P592" s="129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spans="1:26" ht="14.25" customHeight="1">
      <c r="A593" s="125"/>
      <c r="B593" s="125"/>
      <c r="C593" s="125"/>
      <c r="D593" s="126"/>
      <c r="E593" s="126"/>
      <c r="F593" s="125"/>
      <c r="G593" s="126"/>
      <c r="H593" s="126"/>
      <c r="I593" s="126"/>
      <c r="J593" s="126"/>
      <c r="K593" s="126"/>
      <c r="L593" s="126"/>
      <c r="M593" s="126"/>
      <c r="N593" s="129"/>
      <c r="O593" s="125"/>
      <c r="P593" s="129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spans="1:26" ht="14.25" customHeight="1">
      <c r="A594" s="125"/>
      <c r="B594" s="125"/>
      <c r="C594" s="125"/>
      <c r="D594" s="126"/>
      <c r="E594" s="126"/>
      <c r="F594" s="125"/>
      <c r="G594" s="126"/>
      <c r="H594" s="126"/>
      <c r="I594" s="126"/>
      <c r="J594" s="126"/>
      <c r="K594" s="126"/>
      <c r="L594" s="126"/>
      <c r="M594" s="126"/>
      <c r="N594" s="129"/>
      <c r="O594" s="125"/>
      <c r="P594" s="129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spans="1:26" ht="14.25" customHeight="1">
      <c r="A595" s="125"/>
      <c r="B595" s="125"/>
      <c r="C595" s="125"/>
      <c r="D595" s="126"/>
      <c r="E595" s="126"/>
      <c r="F595" s="125"/>
      <c r="G595" s="126"/>
      <c r="H595" s="126"/>
      <c r="I595" s="126"/>
      <c r="J595" s="126"/>
      <c r="K595" s="126"/>
      <c r="L595" s="126"/>
      <c r="M595" s="126"/>
      <c r="N595" s="129"/>
      <c r="O595" s="125"/>
      <c r="P595" s="129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spans="1:26" ht="14.25" customHeight="1">
      <c r="A596" s="125"/>
      <c r="B596" s="125"/>
      <c r="C596" s="125"/>
      <c r="D596" s="126"/>
      <c r="E596" s="126"/>
      <c r="F596" s="125"/>
      <c r="G596" s="126"/>
      <c r="H596" s="126"/>
      <c r="I596" s="126"/>
      <c r="J596" s="126"/>
      <c r="K596" s="126"/>
      <c r="L596" s="126"/>
      <c r="M596" s="126"/>
      <c r="N596" s="129"/>
      <c r="O596" s="125"/>
      <c r="P596" s="129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spans="1:26" ht="14.25" customHeight="1">
      <c r="A597" s="125"/>
      <c r="B597" s="125"/>
      <c r="C597" s="125"/>
      <c r="D597" s="126"/>
      <c r="E597" s="126"/>
      <c r="F597" s="125"/>
      <c r="G597" s="126"/>
      <c r="H597" s="126"/>
      <c r="I597" s="126"/>
      <c r="J597" s="126"/>
      <c r="K597" s="126"/>
      <c r="L597" s="126"/>
      <c r="M597" s="126"/>
      <c r="N597" s="129"/>
      <c r="O597" s="125"/>
      <c r="P597" s="129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spans="1:26" ht="14.25" customHeight="1">
      <c r="A598" s="125"/>
      <c r="B598" s="125"/>
      <c r="C598" s="125"/>
      <c r="D598" s="126"/>
      <c r="E598" s="126"/>
      <c r="F598" s="125"/>
      <c r="G598" s="126"/>
      <c r="H598" s="126"/>
      <c r="I598" s="126"/>
      <c r="J598" s="126"/>
      <c r="K598" s="126"/>
      <c r="L598" s="126"/>
      <c r="M598" s="126"/>
      <c r="N598" s="129"/>
      <c r="O598" s="125"/>
      <c r="P598" s="129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spans="1:26" ht="14.25" customHeight="1">
      <c r="A599" s="125"/>
      <c r="B599" s="125"/>
      <c r="C599" s="125"/>
      <c r="D599" s="126"/>
      <c r="E599" s="126"/>
      <c r="F599" s="125"/>
      <c r="G599" s="126"/>
      <c r="H599" s="126"/>
      <c r="I599" s="126"/>
      <c r="J599" s="126"/>
      <c r="K599" s="126"/>
      <c r="L599" s="126"/>
      <c r="M599" s="126"/>
      <c r="N599" s="129"/>
      <c r="O599" s="125"/>
      <c r="P599" s="129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spans="1:26" ht="14.25" customHeight="1">
      <c r="A600" s="125"/>
      <c r="B600" s="125"/>
      <c r="C600" s="125"/>
      <c r="D600" s="126"/>
      <c r="E600" s="126"/>
      <c r="F600" s="125"/>
      <c r="G600" s="126"/>
      <c r="H600" s="126"/>
      <c r="I600" s="126"/>
      <c r="J600" s="126"/>
      <c r="K600" s="126"/>
      <c r="L600" s="126"/>
      <c r="M600" s="126"/>
      <c r="N600" s="129"/>
      <c r="O600" s="125"/>
      <c r="P600" s="129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spans="1:26" ht="14.25" customHeight="1">
      <c r="A601" s="125"/>
      <c r="B601" s="125"/>
      <c r="C601" s="125"/>
      <c r="D601" s="126"/>
      <c r="E601" s="126"/>
      <c r="F601" s="125"/>
      <c r="G601" s="126"/>
      <c r="H601" s="126"/>
      <c r="I601" s="126"/>
      <c r="J601" s="126"/>
      <c r="K601" s="126"/>
      <c r="L601" s="126"/>
      <c r="M601" s="126"/>
      <c r="N601" s="129"/>
      <c r="O601" s="125"/>
      <c r="P601" s="129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spans="1:26" ht="14.25" customHeight="1">
      <c r="A602" s="125"/>
      <c r="B602" s="125"/>
      <c r="C602" s="125"/>
      <c r="D602" s="126"/>
      <c r="E602" s="126"/>
      <c r="F602" s="125"/>
      <c r="G602" s="126"/>
      <c r="H602" s="126"/>
      <c r="I602" s="126"/>
      <c r="J602" s="126"/>
      <c r="K602" s="126"/>
      <c r="L602" s="126"/>
      <c r="M602" s="126"/>
      <c r="N602" s="129"/>
      <c r="O602" s="125"/>
      <c r="P602" s="129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spans="1:26" ht="14.25" customHeight="1">
      <c r="A603" s="125"/>
      <c r="B603" s="125"/>
      <c r="C603" s="125"/>
      <c r="D603" s="126"/>
      <c r="E603" s="126"/>
      <c r="F603" s="125"/>
      <c r="G603" s="126"/>
      <c r="H603" s="126"/>
      <c r="I603" s="126"/>
      <c r="J603" s="126"/>
      <c r="K603" s="126"/>
      <c r="L603" s="126"/>
      <c r="M603" s="126"/>
      <c r="N603" s="129"/>
      <c r="O603" s="125"/>
      <c r="P603" s="129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spans="1:26" ht="14.25" customHeight="1">
      <c r="A604" s="125"/>
      <c r="B604" s="125"/>
      <c r="C604" s="125"/>
      <c r="D604" s="126"/>
      <c r="E604" s="126"/>
      <c r="F604" s="125"/>
      <c r="G604" s="126"/>
      <c r="H604" s="126"/>
      <c r="I604" s="126"/>
      <c r="J604" s="126"/>
      <c r="K604" s="126"/>
      <c r="L604" s="126"/>
      <c r="M604" s="126"/>
      <c r="N604" s="129"/>
      <c r="O604" s="125"/>
      <c r="P604" s="129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spans="1:26" ht="14.25" customHeight="1">
      <c r="A605" s="125"/>
      <c r="B605" s="125"/>
      <c r="C605" s="125"/>
      <c r="D605" s="126"/>
      <c r="E605" s="126"/>
      <c r="F605" s="125"/>
      <c r="G605" s="126"/>
      <c r="H605" s="126"/>
      <c r="I605" s="126"/>
      <c r="J605" s="126"/>
      <c r="K605" s="126"/>
      <c r="L605" s="126"/>
      <c r="M605" s="126"/>
      <c r="N605" s="129"/>
      <c r="O605" s="125"/>
      <c r="P605" s="129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spans="1:26" ht="14.25" customHeight="1">
      <c r="A606" s="125"/>
      <c r="B606" s="125"/>
      <c r="C606" s="125"/>
      <c r="D606" s="126"/>
      <c r="E606" s="126"/>
      <c r="F606" s="125"/>
      <c r="G606" s="126"/>
      <c r="H606" s="126"/>
      <c r="I606" s="126"/>
      <c r="J606" s="126"/>
      <c r="K606" s="126"/>
      <c r="L606" s="126"/>
      <c r="M606" s="126"/>
      <c r="N606" s="129"/>
      <c r="O606" s="125"/>
      <c r="P606" s="129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spans="1:26" ht="14.25" customHeight="1">
      <c r="A607" s="125"/>
      <c r="B607" s="125"/>
      <c r="C607" s="125"/>
      <c r="D607" s="126"/>
      <c r="E607" s="126"/>
      <c r="F607" s="125"/>
      <c r="G607" s="126"/>
      <c r="H607" s="126"/>
      <c r="I607" s="126"/>
      <c r="J607" s="126"/>
      <c r="K607" s="126"/>
      <c r="L607" s="126"/>
      <c r="M607" s="126"/>
      <c r="N607" s="129"/>
      <c r="O607" s="125"/>
      <c r="P607" s="129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spans="1:26" ht="14.25" customHeight="1">
      <c r="A608" s="125"/>
      <c r="B608" s="125"/>
      <c r="C608" s="125"/>
      <c r="D608" s="126"/>
      <c r="E608" s="126"/>
      <c r="F608" s="125"/>
      <c r="G608" s="126"/>
      <c r="H608" s="126"/>
      <c r="I608" s="126"/>
      <c r="J608" s="126"/>
      <c r="K608" s="126"/>
      <c r="L608" s="126"/>
      <c r="M608" s="126"/>
      <c r="N608" s="129"/>
      <c r="O608" s="125"/>
      <c r="P608" s="129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spans="1:26" ht="14.25" customHeight="1">
      <c r="A609" s="125"/>
      <c r="B609" s="125"/>
      <c r="C609" s="125"/>
      <c r="D609" s="126"/>
      <c r="E609" s="126"/>
      <c r="F609" s="125"/>
      <c r="G609" s="126"/>
      <c r="H609" s="126"/>
      <c r="I609" s="126"/>
      <c r="J609" s="126"/>
      <c r="K609" s="126"/>
      <c r="L609" s="126"/>
      <c r="M609" s="126"/>
      <c r="N609" s="129"/>
      <c r="O609" s="125"/>
      <c r="P609" s="129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spans="1:26" ht="14.25" customHeight="1">
      <c r="A610" s="125"/>
      <c r="B610" s="125"/>
      <c r="C610" s="125"/>
      <c r="D610" s="126"/>
      <c r="E610" s="126"/>
      <c r="F610" s="125"/>
      <c r="G610" s="126"/>
      <c r="H610" s="126"/>
      <c r="I610" s="126"/>
      <c r="J610" s="126"/>
      <c r="K610" s="126"/>
      <c r="L610" s="126"/>
      <c r="M610" s="126"/>
      <c r="N610" s="129"/>
      <c r="O610" s="125"/>
      <c r="P610" s="129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spans="1:26" ht="14.25" customHeight="1">
      <c r="A611" s="125"/>
      <c r="B611" s="125"/>
      <c r="C611" s="125"/>
      <c r="D611" s="126"/>
      <c r="E611" s="126"/>
      <c r="F611" s="125"/>
      <c r="G611" s="126"/>
      <c r="H611" s="126"/>
      <c r="I611" s="126"/>
      <c r="J611" s="126"/>
      <c r="K611" s="126"/>
      <c r="L611" s="126"/>
      <c r="M611" s="126"/>
      <c r="N611" s="129"/>
      <c r="O611" s="125"/>
      <c r="P611" s="129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spans="1:26" ht="14.25" customHeight="1">
      <c r="A612" s="125"/>
      <c r="B612" s="125"/>
      <c r="C612" s="125"/>
      <c r="D612" s="126"/>
      <c r="E612" s="126"/>
      <c r="F612" s="125"/>
      <c r="G612" s="126"/>
      <c r="H612" s="126"/>
      <c r="I612" s="126"/>
      <c r="J612" s="126"/>
      <c r="K612" s="126"/>
      <c r="L612" s="126"/>
      <c r="M612" s="126"/>
      <c r="N612" s="129"/>
      <c r="O612" s="125"/>
      <c r="P612" s="129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spans="1:26" ht="14.25" customHeight="1">
      <c r="A613" s="125"/>
      <c r="B613" s="125"/>
      <c r="C613" s="125"/>
      <c r="D613" s="126"/>
      <c r="E613" s="126"/>
      <c r="F613" s="125"/>
      <c r="G613" s="126"/>
      <c r="H613" s="126"/>
      <c r="I613" s="126"/>
      <c r="J613" s="126"/>
      <c r="K613" s="126"/>
      <c r="L613" s="126"/>
      <c r="M613" s="126"/>
      <c r="N613" s="129"/>
      <c r="O613" s="125"/>
      <c r="P613" s="129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spans="1:26" ht="14.25" customHeight="1">
      <c r="A614" s="125"/>
      <c r="B614" s="125"/>
      <c r="C614" s="125"/>
      <c r="D614" s="126"/>
      <c r="E614" s="126"/>
      <c r="F614" s="125"/>
      <c r="G614" s="126"/>
      <c r="H614" s="126"/>
      <c r="I614" s="126"/>
      <c r="J614" s="126"/>
      <c r="K614" s="126"/>
      <c r="L614" s="126"/>
      <c r="M614" s="126"/>
      <c r="N614" s="129"/>
      <c r="O614" s="125"/>
      <c r="P614" s="129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spans="1:26" ht="14.25" customHeight="1">
      <c r="A615" s="125"/>
      <c r="B615" s="125"/>
      <c r="C615" s="125"/>
      <c r="D615" s="126"/>
      <c r="E615" s="126"/>
      <c r="F615" s="125"/>
      <c r="G615" s="126"/>
      <c r="H615" s="126"/>
      <c r="I615" s="126"/>
      <c r="J615" s="126"/>
      <c r="K615" s="126"/>
      <c r="L615" s="126"/>
      <c r="M615" s="126"/>
      <c r="N615" s="129"/>
      <c r="O615" s="125"/>
      <c r="P615" s="129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spans="1:26" ht="14.25" customHeight="1">
      <c r="A616" s="125"/>
      <c r="B616" s="125"/>
      <c r="C616" s="125"/>
      <c r="D616" s="126"/>
      <c r="E616" s="126"/>
      <c r="F616" s="125"/>
      <c r="G616" s="126"/>
      <c r="H616" s="126"/>
      <c r="I616" s="126"/>
      <c r="J616" s="126"/>
      <c r="K616" s="126"/>
      <c r="L616" s="126"/>
      <c r="M616" s="126"/>
      <c r="N616" s="129"/>
      <c r="O616" s="125"/>
      <c r="P616" s="129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spans="1:26" ht="14.25" customHeight="1">
      <c r="A617" s="125"/>
      <c r="B617" s="125"/>
      <c r="C617" s="125"/>
      <c r="D617" s="126"/>
      <c r="E617" s="126"/>
      <c r="F617" s="125"/>
      <c r="G617" s="126"/>
      <c r="H617" s="126"/>
      <c r="I617" s="126"/>
      <c r="J617" s="126"/>
      <c r="K617" s="126"/>
      <c r="L617" s="126"/>
      <c r="M617" s="126"/>
      <c r="N617" s="129"/>
      <c r="O617" s="125"/>
      <c r="P617" s="129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spans="1:26" ht="14.25" customHeight="1">
      <c r="A618" s="125"/>
      <c r="B618" s="125"/>
      <c r="C618" s="125"/>
      <c r="D618" s="126"/>
      <c r="E618" s="126"/>
      <c r="F618" s="125"/>
      <c r="G618" s="126"/>
      <c r="H618" s="126"/>
      <c r="I618" s="126"/>
      <c r="J618" s="126"/>
      <c r="K618" s="126"/>
      <c r="L618" s="126"/>
      <c r="M618" s="126"/>
      <c r="N618" s="129"/>
      <c r="O618" s="125"/>
      <c r="P618" s="129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spans="1:26" ht="14.25" customHeight="1">
      <c r="A619" s="125"/>
      <c r="B619" s="125"/>
      <c r="C619" s="125"/>
      <c r="D619" s="126"/>
      <c r="E619" s="126"/>
      <c r="F619" s="125"/>
      <c r="G619" s="126"/>
      <c r="H619" s="126"/>
      <c r="I619" s="126"/>
      <c r="J619" s="126"/>
      <c r="K619" s="126"/>
      <c r="L619" s="126"/>
      <c r="M619" s="126"/>
      <c r="N619" s="129"/>
      <c r="O619" s="125"/>
      <c r="P619" s="129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spans="1:26" ht="14.25" customHeight="1">
      <c r="A620" s="125"/>
      <c r="B620" s="125"/>
      <c r="C620" s="125"/>
      <c r="D620" s="126"/>
      <c r="E620" s="126"/>
      <c r="F620" s="125"/>
      <c r="G620" s="126"/>
      <c r="H620" s="126"/>
      <c r="I620" s="126"/>
      <c r="J620" s="126"/>
      <c r="K620" s="126"/>
      <c r="L620" s="126"/>
      <c r="M620" s="126"/>
      <c r="N620" s="129"/>
      <c r="O620" s="125"/>
      <c r="P620" s="129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spans="1:26" ht="14.25" customHeight="1">
      <c r="A621" s="125"/>
      <c r="B621" s="125"/>
      <c r="C621" s="125"/>
      <c r="D621" s="126"/>
      <c r="E621" s="126"/>
      <c r="F621" s="125"/>
      <c r="G621" s="126"/>
      <c r="H621" s="126"/>
      <c r="I621" s="126"/>
      <c r="J621" s="126"/>
      <c r="K621" s="126"/>
      <c r="L621" s="126"/>
      <c r="M621" s="126"/>
      <c r="N621" s="129"/>
      <c r="O621" s="125"/>
      <c r="P621" s="129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spans="1:26" ht="14.25" customHeight="1">
      <c r="A622" s="125"/>
      <c r="B622" s="125"/>
      <c r="C622" s="125"/>
      <c r="D622" s="126"/>
      <c r="E622" s="126"/>
      <c r="F622" s="125"/>
      <c r="G622" s="126"/>
      <c r="H622" s="126"/>
      <c r="I622" s="126"/>
      <c r="J622" s="126"/>
      <c r="K622" s="126"/>
      <c r="L622" s="126"/>
      <c r="M622" s="126"/>
      <c r="N622" s="129"/>
      <c r="O622" s="125"/>
      <c r="P622" s="129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spans="1:26" ht="14.25" customHeight="1">
      <c r="A623" s="125"/>
      <c r="B623" s="125"/>
      <c r="C623" s="125"/>
      <c r="D623" s="126"/>
      <c r="E623" s="126"/>
      <c r="F623" s="125"/>
      <c r="G623" s="126"/>
      <c r="H623" s="126"/>
      <c r="I623" s="126"/>
      <c r="J623" s="126"/>
      <c r="K623" s="126"/>
      <c r="L623" s="126"/>
      <c r="M623" s="126"/>
      <c r="N623" s="129"/>
      <c r="O623" s="125"/>
      <c r="P623" s="129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spans="1:26" ht="14.25" customHeight="1">
      <c r="A624" s="125"/>
      <c r="B624" s="125"/>
      <c r="C624" s="125"/>
      <c r="D624" s="126"/>
      <c r="E624" s="126"/>
      <c r="F624" s="125"/>
      <c r="G624" s="126"/>
      <c r="H624" s="126"/>
      <c r="I624" s="126"/>
      <c r="J624" s="126"/>
      <c r="K624" s="126"/>
      <c r="L624" s="126"/>
      <c r="M624" s="126"/>
      <c r="N624" s="129"/>
      <c r="O624" s="125"/>
      <c r="P624" s="129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spans="1:26" ht="14.25" customHeight="1">
      <c r="A625" s="125"/>
      <c r="B625" s="125"/>
      <c r="C625" s="125"/>
      <c r="D625" s="126"/>
      <c r="E625" s="126"/>
      <c r="F625" s="125"/>
      <c r="G625" s="126"/>
      <c r="H625" s="126"/>
      <c r="I625" s="126"/>
      <c r="J625" s="126"/>
      <c r="K625" s="126"/>
      <c r="L625" s="126"/>
      <c r="M625" s="126"/>
      <c r="N625" s="129"/>
      <c r="O625" s="125"/>
      <c r="P625" s="129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spans="1:26" ht="14.25" customHeight="1">
      <c r="A626" s="125"/>
      <c r="B626" s="125"/>
      <c r="C626" s="125"/>
      <c r="D626" s="126"/>
      <c r="E626" s="126"/>
      <c r="F626" s="125"/>
      <c r="G626" s="126"/>
      <c r="H626" s="126"/>
      <c r="I626" s="126"/>
      <c r="J626" s="126"/>
      <c r="K626" s="126"/>
      <c r="L626" s="126"/>
      <c r="M626" s="126"/>
      <c r="N626" s="129"/>
      <c r="O626" s="125"/>
      <c r="P626" s="129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spans="1:26" ht="14.25" customHeight="1">
      <c r="A627" s="125"/>
      <c r="B627" s="125"/>
      <c r="C627" s="125"/>
      <c r="D627" s="126"/>
      <c r="E627" s="126"/>
      <c r="F627" s="125"/>
      <c r="G627" s="126"/>
      <c r="H627" s="126"/>
      <c r="I627" s="126"/>
      <c r="J627" s="126"/>
      <c r="K627" s="126"/>
      <c r="L627" s="126"/>
      <c r="M627" s="126"/>
      <c r="N627" s="129"/>
      <c r="O627" s="125"/>
      <c r="P627" s="129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spans="1:26" ht="14.25" customHeight="1">
      <c r="A628" s="125"/>
      <c r="B628" s="125"/>
      <c r="C628" s="125"/>
      <c r="D628" s="126"/>
      <c r="E628" s="126"/>
      <c r="F628" s="125"/>
      <c r="G628" s="126"/>
      <c r="H628" s="126"/>
      <c r="I628" s="126"/>
      <c r="J628" s="126"/>
      <c r="K628" s="126"/>
      <c r="L628" s="126"/>
      <c r="M628" s="126"/>
      <c r="N628" s="129"/>
      <c r="O628" s="125"/>
      <c r="P628" s="129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spans="1:26" ht="14.25" customHeight="1">
      <c r="A629" s="125"/>
      <c r="B629" s="125"/>
      <c r="C629" s="125"/>
      <c r="D629" s="126"/>
      <c r="E629" s="126"/>
      <c r="F629" s="125"/>
      <c r="G629" s="126"/>
      <c r="H629" s="126"/>
      <c r="I629" s="126"/>
      <c r="J629" s="126"/>
      <c r="K629" s="126"/>
      <c r="L629" s="126"/>
      <c r="M629" s="126"/>
      <c r="N629" s="129"/>
      <c r="O629" s="125"/>
      <c r="P629" s="129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spans="1:26" ht="14.25" customHeight="1">
      <c r="A630" s="125"/>
      <c r="B630" s="125"/>
      <c r="C630" s="125"/>
      <c r="D630" s="126"/>
      <c r="E630" s="126"/>
      <c r="F630" s="125"/>
      <c r="G630" s="126"/>
      <c r="H630" s="126"/>
      <c r="I630" s="126"/>
      <c r="J630" s="126"/>
      <c r="K630" s="126"/>
      <c r="L630" s="126"/>
      <c r="M630" s="126"/>
      <c r="N630" s="129"/>
      <c r="O630" s="125"/>
      <c r="P630" s="129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spans="1:26" ht="14.25" customHeight="1">
      <c r="A631" s="125"/>
      <c r="B631" s="125"/>
      <c r="C631" s="125"/>
      <c r="D631" s="126"/>
      <c r="E631" s="126"/>
      <c r="F631" s="125"/>
      <c r="G631" s="126"/>
      <c r="H631" s="126"/>
      <c r="I631" s="126"/>
      <c r="J631" s="126"/>
      <c r="K631" s="126"/>
      <c r="L631" s="126"/>
      <c r="M631" s="126"/>
      <c r="N631" s="129"/>
      <c r="O631" s="125"/>
      <c r="P631" s="129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spans="1:26" ht="14.25" customHeight="1">
      <c r="A632" s="125"/>
      <c r="B632" s="125"/>
      <c r="C632" s="125"/>
      <c r="D632" s="126"/>
      <c r="E632" s="126"/>
      <c r="F632" s="125"/>
      <c r="G632" s="126"/>
      <c r="H632" s="126"/>
      <c r="I632" s="126"/>
      <c r="J632" s="126"/>
      <c r="K632" s="126"/>
      <c r="L632" s="126"/>
      <c r="M632" s="126"/>
      <c r="N632" s="129"/>
      <c r="O632" s="125"/>
      <c r="P632" s="129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spans="1:26" ht="14.25" customHeight="1">
      <c r="A633" s="125"/>
      <c r="B633" s="125"/>
      <c r="C633" s="125"/>
      <c r="D633" s="126"/>
      <c r="E633" s="126"/>
      <c r="F633" s="125"/>
      <c r="G633" s="126"/>
      <c r="H633" s="126"/>
      <c r="I633" s="126"/>
      <c r="J633" s="126"/>
      <c r="K633" s="126"/>
      <c r="L633" s="126"/>
      <c r="M633" s="126"/>
      <c r="N633" s="129"/>
      <c r="O633" s="125"/>
      <c r="P633" s="129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spans="1:26" ht="14.25" customHeight="1">
      <c r="A634" s="125"/>
      <c r="B634" s="125"/>
      <c r="C634" s="125"/>
      <c r="D634" s="126"/>
      <c r="E634" s="126"/>
      <c r="F634" s="125"/>
      <c r="G634" s="126"/>
      <c r="H634" s="126"/>
      <c r="I634" s="126"/>
      <c r="J634" s="126"/>
      <c r="K634" s="126"/>
      <c r="L634" s="126"/>
      <c r="M634" s="126"/>
      <c r="N634" s="129"/>
      <c r="O634" s="125"/>
      <c r="P634" s="129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spans="1:26" ht="14.25" customHeight="1">
      <c r="A635" s="125"/>
      <c r="B635" s="125"/>
      <c r="C635" s="125"/>
      <c r="D635" s="126"/>
      <c r="E635" s="126"/>
      <c r="F635" s="125"/>
      <c r="G635" s="126"/>
      <c r="H635" s="126"/>
      <c r="I635" s="126"/>
      <c r="J635" s="126"/>
      <c r="K635" s="126"/>
      <c r="L635" s="126"/>
      <c r="M635" s="126"/>
      <c r="N635" s="129"/>
      <c r="O635" s="125"/>
      <c r="P635" s="129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spans="1:26" ht="14.25" customHeight="1">
      <c r="A636" s="125"/>
      <c r="B636" s="125"/>
      <c r="C636" s="125"/>
      <c r="D636" s="126"/>
      <c r="E636" s="126"/>
      <c r="F636" s="125"/>
      <c r="G636" s="126"/>
      <c r="H636" s="126"/>
      <c r="I636" s="126"/>
      <c r="J636" s="126"/>
      <c r="K636" s="126"/>
      <c r="L636" s="126"/>
      <c r="M636" s="126"/>
      <c r="N636" s="129"/>
      <c r="O636" s="125"/>
      <c r="P636" s="129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spans="1:26" ht="14.25" customHeight="1">
      <c r="A637" s="125"/>
      <c r="B637" s="125"/>
      <c r="C637" s="125"/>
      <c r="D637" s="126"/>
      <c r="E637" s="126"/>
      <c r="F637" s="125"/>
      <c r="G637" s="126"/>
      <c r="H637" s="126"/>
      <c r="I637" s="126"/>
      <c r="J637" s="126"/>
      <c r="K637" s="126"/>
      <c r="L637" s="126"/>
      <c r="M637" s="126"/>
      <c r="N637" s="129"/>
      <c r="O637" s="125"/>
      <c r="P637" s="129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spans="1:26" ht="14.25" customHeight="1">
      <c r="A638" s="125"/>
      <c r="B638" s="125"/>
      <c r="C638" s="125"/>
      <c r="D638" s="126"/>
      <c r="E638" s="126"/>
      <c r="F638" s="125"/>
      <c r="G638" s="126"/>
      <c r="H638" s="126"/>
      <c r="I638" s="126"/>
      <c r="J638" s="126"/>
      <c r="K638" s="126"/>
      <c r="L638" s="126"/>
      <c r="M638" s="126"/>
      <c r="N638" s="129"/>
      <c r="O638" s="125"/>
      <c r="P638" s="129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spans="1:26" ht="14.25" customHeight="1">
      <c r="A639" s="125"/>
      <c r="B639" s="125"/>
      <c r="C639" s="125"/>
      <c r="D639" s="126"/>
      <c r="E639" s="126"/>
      <c r="F639" s="125"/>
      <c r="G639" s="126"/>
      <c r="H639" s="126"/>
      <c r="I639" s="126"/>
      <c r="J639" s="126"/>
      <c r="K639" s="126"/>
      <c r="L639" s="126"/>
      <c r="M639" s="126"/>
      <c r="N639" s="129"/>
      <c r="O639" s="125"/>
      <c r="P639" s="129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spans="1:26" ht="14.25" customHeight="1">
      <c r="A640" s="125"/>
      <c r="B640" s="125"/>
      <c r="C640" s="125"/>
      <c r="D640" s="126"/>
      <c r="E640" s="126"/>
      <c r="F640" s="125"/>
      <c r="G640" s="126"/>
      <c r="H640" s="126"/>
      <c r="I640" s="126"/>
      <c r="J640" s="126"/>
      <c r="K640" s="126"/>
      <c r="L640" s="126"/>
      <c r="M640" s="126"/>
      <c r="N640" s="129"/>
      <c r="O640" s="125"/>
      <c r="P640" s="129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spans="1:26" ht="14.25" customHeight="1">
      <c r="A641" s="125"/>
      <c r="B641" s="125"/>
      <c r="C641" s="125"/>
      <c r="D641" s="126"/>
      <c r="E641" s="126"/>
      <c r="F641" s="125"/>
      <c r="G641" s="126"/>
      <c r="H641" s="126"/>
      <c r="I641" s="126"/>
      <c r="J641" s="126"/>
      <c r="K641" s="126"/>
      <c r="L641" s="126"/>
      <c r="M641" s="126"/>
      <c r="N641" s="129"/>
      <c r="O641" s="125"/>
      <c r="P641" s="129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spans="1:26" ht="14.25" customHeight="1">
      <c r="A642" s="125"/>
      <c r="B642" s="125"/>
      <c r="C642" s="125"/>
      <c r="D642" s="126"/>
      <c r="E642" s="126"/>
      <c r="F642" s="125"/>
      <c r="G642" s="126"/>
      <c r="H642" s="126"/>
      <c r="I642" s="126"/>
      <c r="J642" s="126"/>
      <c r="K642" s="126"/>
      <c r="L642" s="126"/>
      <c r="M642" s="126"/>
      <c r="N642" s="129"/>
      <c r="O642" s="125"/>
      <c r="P642" s="129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spans="1:26" ht="14.25" customHeight="1">
      <c r="A643" s="125"/>
      <c r="B643" s="125"/>
      <c r="C643" s="125"/>
      <c r="D643" s="126"/>
      <c r="E643" s="126"/>
      <c r="F643" s="125"/>
      <c r="G643" s="126"/>
      <c r="H643" s="126"/>
      <c r="I643" s="126"/>
      <c r="J643" s="126"/>
      <c r="K643" s="126"/>
      <c r="L643" s="126"/>
      <c r="M643" s="126"/>
      <c r="N643" s="129"/>
      <c r="O643" s="125"/>
      <c r="P643" s="129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spans="1:26" ht="14.25" customHeight="1">
      <c r="A644" s="125"/>
      <c r="B644" s="125"/>
      <c r="C644" s="125"/>
      <c r="D644" s="126"/>
      <c r="E644" s="126"/>
      <c r="F644" s="125"/>
      <c r="G644" s="126"/>
      <c r="H644" s="126"/>
      <c r="I644" s="126"/>
      <c r="J644" s="126"/>
      <c r="K644" s="126"/>
      <c r="L644" s="126"/>
      <c r="M644" s="126"/>
      <c r="N644" s="129"/>
      <c r="O644" s="125"/>
      <c r="P644" s="129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spans="1:26" ht="14.25" customHeight="1">
      <c r="A645" s="125"/>
      <c r="B645" s="125"/>
      <c r="C645" s="125"/>
      <c r="D645" s="126"/>
      <c r="E645" s="126"/>
      <c r="F645" s="125"/>
      <c r="G645" s="126"/>
      <c r="H645" s="126"/>
      <c r="I645" s="126"/>
      <c r="J645" s="126"/>
      <c r="K645" s="126"/>
      <c r="L645" s="126"/>
      <c r="M645" s="126"/>
      <c r="N645" s="129"/>
      <c r="O645" s="125"/>
      <c r="P645" s="129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6" ht="14.25" customHeight="1">
      <c r="A646" s="125"/>
      <c r="B646" s="125"/>
      <c r="C646" s="125"/>
      <c r="D646" s="126"/>
      <c r="E646" s="126"/>
      <c r="F646" s="125"/>
      <c r="G646" s="126"/>
      <c r="H646" s="126"/>
      <c r="I646" s="126"/>
      <c r="J646" s="126"/>
      <c r="K646" s="126"/>
      <c r="L646" s="126"/>
      <c r="M646" s="126"/>
      <c r="N646" s="129"/>
      <c r="O646" s="125"/>
      <c r="P646" s="129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spans="1:26" ht="14.25" customHeight="1">
      <c r="A647" s="125"/>
      <c r="B647" s="125"/>
      <c r="C647" s="125"/>
      <c r="D647" s="126"/>
      <c r="E647" s="126"/>
      <c r="F647" s="125"/>
      <c r="G647" s="126"/>
      <c r="H647" s="126"/>
      <c r="I647" s="126"/>
      <c r="J647" s="126"/>
      <c r="K647" s="126"/>
      <c r="L647" s="126"/>
      <c r="M647" s="126"/>
      <c r="N647" s="129"/>
      <c r="O647" s="125"/>
      <c r="P647" s="129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spans="1:26" ht="14.25" customHeight="1">
      <c r="A648" s="125"/>
      <c r="B648" s="125"/>
      <c r="C648" s="125"/>
      <c r="D648" s="126"/>
      <c r="E648" s="126"/>
      <c r="F648" s="125"/>
      <c r="G648" s="126"/>
      <c r="H648" s="126"/>
      <c r="I648" s="126"/>
      <c r="J648" s="126"/>
      <c r="K648" s="126"/>
      <c r="L648" s="126"/>
      <c r="M648" s="126"/>
      <c r="N648" s="129"/>
      <c r="O648" s="125"/>
      <c r="P648" s="129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spans="1:26" ht="14.25" customHeight="1">
      <c r="A649" s="125"/>
      <c r="B649" s="125"/>
      <c r="C649" s="125"/>
      <c r="D649" s="126"/>
      <c r="E649" s="126"/>
      <c r="F649" s="125"/>
      <c r="G649" s="126"/>
      <c r="H649" s="126"/>
      <c r="I649" s="126"/>
      <c r="J649" s="126"/>
      <c r="K649" s="126"/>
      <c r="L649" s="126"/>
      <c r="M649" s="126"/>
      <c r="N649" s="129"/>
      <c r="O649" s="125"/>
      <c r="P649" s="129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spans="1:26" ht="14.25" customHeight="1">
      <c r="A650" s="125"/>
      <c r="B650" s="125"/>
      <c r="C650" s="125"/>
      <c r="D650" s="126"/>
      <c r="E650" s="126"/>
      <c r="F650" s="125"/>
      <c r="G650" s="126"/>
      <c r="H650" s="126"/>
      <c r="I650" s="126"/>
      <c r="J650" s="126"/>
      <c r="K650" s="126"/>
      <c r="L650" s="126"/>
      <c r="M650" s="126"/>
      <c r="N650" s="129"/>
      <c r="O650" s="125"/>
      <c r="P650" s="129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spans="1:26" ht="14.25" customHeight="1">
      <c r="A651" s="125"/>
      <c r="B651" s="125"/>
      <c r="C651" s="125"/>
      <c r="D651" s="126"/>
      <c r="E651" s="126"/>
      <c r="F651" s="125"/>
      <c r="G651" s="126"/>
      <c r="H651" s="126"/>
      <c r="I651" s="126"/>
      <c r="J651" s="126"/>
      <c r="K651" s="126"/>
      <c r="L651" s="126"/>
      <c r="M651" s="126"/>
      <c r="N651" s="129"/>
      <c r="O651" s="125"/>
      <c r="P651" s="129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spans="1:26" ht="14.25" customHeight="1">
      <c r="A652" s="125"/>
      <c r="B652" s="125"/>
      <c r="C652" s="125"/>
      <c r="D652" s="126"/>
      <c r="E652" s="126"/>
      <c r="F652" s="125"/>
      <c r="G652" s="126"/>
      <c r="H652" s="126"/>
      <c r="I652" s="126"/>
      <c r="J652" s="126"/>
      <c r="K652" s="126"/>
      <c r="L652" s="126"/>
      <c r="M652" s="126"/>
      <c r="N652" s="129"/>
      <c r="O652" s="125"/>
      <c r="P652" s="129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spans="1:26" ht="14.25" customHeight="1">
      <c r="A653" s="125"/>
      <c r="B653" s="125"/>
      <c r="C653" s="125"/>
      <c r="D653" s="126"/>
      <c r="E653" s="126"/>
      <c r="F653" s="125"/>
      <c r="G653" s="126"/>
      <c r="H653" s="126"/>
      <c r="I653" s="126"/>
      <c r="J653" s="126"/>
      <c r="K653" s="126"/>
      <c r="L653" s="126"/>
      <c r="M653" s="126"/>
      <c r="N653" s="129"/>
      <c r="O653" s="125"/>
      <c r="P653" s="129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spans="1:26" ht="14.25" customHeight="1">
      <c r="A654" s="125"/>
      <c r="B654" s="125"/>
      <c r="C654" s="125"/>
      <c r="D654" s="126"/>
      <c r="E654" s="126"/>
      <c r="F654" s="125"/>
      <c r="G654" s="126"/>
      <c r="H654" s="126"/>
      <c r="I654" s="126"/>
      <c r="J654" s="126"/>
      <c r="K654" s="126"/>
      <c r="L654" s="126"/>
      <c r="M654" s="126"/>
      <c r="N654" s="129"/>
      <c r="O654" s="125"/>
      <c r="P654" s="129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spans="1:26" ht="14.25" customHeight="1">
      <c r="A655" s="125"/>
      <c r="B655" s="125"/>
      <c r="C655" s="125"/>
      <c r="D655" s="126"/>
      <c r="E655" s="126"/>
      <c r="F655" s="125"/>
      <c r="G655" s="126"/>
      <c r="H655" s="126"/>
      <c r="I655" s="126"/>
      <c r="J655" s="126"/>
      <c r="K655" s="126"/>
      <c r="L655" s="126"/>
      <c r="M655" s="126"/>
      <c r="N655" s="129"/>
      <c r="O655" s="125"/>
      <c r="P655" s="129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spans="1:26" ht="14.25" customHeight="1">
      <c r="A656" s="125"/>
      <c r="B656" s="125"/>
      <c r="C656" s="125"/>
      <c r="D656" s="126"/>
      <c r="E656" s="126"/>
      <c r="F656" s="125"/>
      <c r="G656" s="126"/>
      <c r="H656" s="126"/>
      <c r="I656" s="126"/>
      <c r="J656" s="126"/>
      <c r="K656" s="126"/>
      <c r="L656" s="126"/>
      <c r="M656" s="126"/>
      <c r="N656" s="129"/>
      <c r="O656" s="125"/>
      <c r="P656" s="129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spans="1:26" ht="14.25" customHeight="1">
      <c r="A657" s="125"/>
      <c r="B657" s="125"/>
      <c r="C657" s="125"/>
      <c r="D657" s="126"/>
      <c r="E657" s="126"/>
      <c r="F657" s="125"/>
      <c r="G657" s="126"/>
      <c r="H657" s="126"/>
      <c r="I657" s="126"/>
      <c r="J657" s="126"/>
      <c r="K657" s="126"/>
      <c r="L657" s="126"/>
      <c r="M657" s="126"/>
      <c r="N657" s="129"/>
      <c r="O657" s="125"/>
      <c r="P657" s="129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spans="1:26" ht="14.25" customHeight="1">
      <c r="A658" s="125"/>
      <c r="B658" s="125"/>
      <c r="C658" s="125"/>
      <c r="D658" s="126"/>
      <c r="E658" s="126"/>
      <c r="F658" s="125"/>
      <c r="G658" s="126"/>
      <c r="H658" s="126"/>
      <c r="I658" s="126"/>
      <c r="J658" s="126"/>
      <c r="K658" s="126"/>
      <c r="L658" s="126"/>
      <c r="M658" s="126"/>
      <c r="N658" s="129"/>
      <c r="O658" s="125"/>
      <c r="P658" s="129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spans="1:26" ht="14.25" customHeight="1">
      <c r="A659" s="125"/>
      <c r="B659" s="125"/>
      <c r="C659" s="125"/>
      <c r="D659" s="126"/>
      <c r="E659" s="126"/>
      <c r="F659" s="125"/>
      <c r="G659" s="126"/>
      <c r="H659" s="126"/>
      <c r="I659" s="126"/>
      <c r="J659" s="126"/>
      <c r="K659" s="126"/>
      <c r="L659" s="126"/>
      <c r="M659" s="126"/>
      <c r="N659" s="129"/>
      <c r="O659" s="125"/>
      <c r="P659" s="129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spans="1:26" ht="14.25" customHeight="1">
      <c r="A660" s="125"/>
      <c r="B660" s="125"/>
      <c r="C660" s="125"/>
      <c r="D660" s="126"/>
      <c r="E660" s="126"/>
      <c r="F660" s="125"/>
      <c r="G660" s="126"/>
      <c r="H660" s="126"/>
      <c r="I660" s="126"/>
      <c r="J660" s="126"/>
      <c r="K660" s="126"/>
      <c r="L660" s="126"/>
      <c r="M660" s="126"/>
      <c r="N660" s="129"/>
      <c r="O660" s="125"/>
      <c r="P660" s="129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spans="1:26" ht="14.25" customHeight="1">
      <c r="A661" s="125"/>
      <c r="B661" s="125"/>
      <c r="C661" s="125"/>
      <c r="D661" s="126"/>
      <c r="E661" s="126"/>
      <c r="F661" s="125"/>
      <c r="G661" s="126"/>
      <c r="H661" s="126"/>
      <c r="I661" s="126"/>
      <c r="J661" s="126"/>
      <c r="K661" s="126"/>
      <c r="L661" s="126"/>
      <c r="M661" s="126"/>
      <c r="N661" s="129"/>
      <c r="O661" s="125"/>
      <c r="P661" s="129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spans="1:26" ht="14.25" customHeight="1">
      <c r="A662" s="125"/>
      <c r="B662" s="125"/>
      <c r="C662" s="125"/>
      <c r="D662" s="126"/>
      <c r="E662" s="126"/>
      <c r="F662" s="125"/>
      <c r="G662" s="126"/>
      <c r="H662" s="126"/>
      <c r="I662" s="126"/>
      <c r="J662" s="126"/>
      <c r="K662" s="126"/>
      <c r="L662" s="126"/>
      <c r="M662" s="126"/>
      <c r="N662" s="129"/>
      <c r="O662" s="125"/>
      <c r="P662" s="129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spans="1:26" ht="14.25" customHeight="1">
      <c r="A663" s="125"/>
      <c r="B663" s="125"/>
      <c r="C663" s="125"/>
      <c r="D663" s="126"/>
      <c r="E663" s="126"/>
      <c r="F663" s="125"/>
      <c r="G663" s="126"/>
      <c r="H663" s="126"/>
      <c r="I663" s="126"/>
      <c r="J663" s="126"/>
      <c r="K663" s="126"/>
      <c r="L663" s="126"/>
      <c r="M663" s="126"/>
      <c r="N663" s="129"/>
      <c r="O663" s="125"/>
      <c r="P663" s="129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spans="1:26" ht="14.25" customHeight="1">
      <c r="A664" s="125"/>
      <c r="B664" s="125"/>
      <c r="C664" s="125"/>
      <c r="D664" s="126"/>
      <c r="E664" s="126"/>
      <c r="F664" s="125"/>
      <c r="G664" s="126"/>
      <c r="H664" s="126"/>
      <c r="I664" s="126"/>
      <c r="J664" s="126"/>
      <c r="K664" s="126"/>
      <c r="L664" s="126"/>
      <c r="M664" s="126"/>
      <c r="N664" s="129"/>
      <c r="O664" s="125"/>
      <c r="P664" s="129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spans="1:26" ht="14.25" customHeight="1">
      <c r="A665" s="125"/>
      <c r="B665" s="125"/>
      <c r="C665" s="125"/>
      <c r="D665" s="126"/>
      <c r="E665" s="126"/>
      <c r="F665" s="125"/>
      <c r="G665" s="126"/>
      <c r="H665" s="126"/>
      <c r="I665" s="126"/>
      <c r="J665" s="126"/>
      <c r="K665" s="126"/>
      <c r="L665" s="126"/>
      <c r="M665" s="126"/>
      <c r="N665" s="129"/>
      <c r="O665" s="125"/>
      <c r="P665" s="129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spans="1:26" ht="14.25" customHeight="1">
      <c r="A666" s="125"/>
      <c r="B666" s="125"/>
      <c r="C666" s="125"/>
      <c r="D666" s="126"/>
      <c r="E666" s="126"/>
      <c r="F666" s="125"/>
      <c r="G666" s="126"/>
      <c r="H666" s="126"/>
      <c r="I666" s="126"/>
      <c r="J666" s="126"/>
      <c r="K666" s="126"/>
      <c r="L666" s="126"/>
      <c r="M666" s="126"/>
      <c r="N666" s="129"/>
      <c r="O666" s="125"/>
      <c r="P666" s="129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spans="1:26" ht="14.25" customHeight="1">
      <c r="A667" s="125"/>
      <c r="B667" s="125"/>
      <c r="C667" s="125"/>
      <c r="D667" s="126"/>
      <c r="E667" s="126"/>
      <c r="F667" s="125"/>
      <c r="G667" s="126"/>
      <c r="H667" s="126"/>
      <c r="I667" s="126"/>
      <c r="J667" s="126"/>
      <c r="K667" s="126"/>
      <c r="L667" s="126"/>
      <c r="M667" s="126"/>
      <c r="N667" s="129"/>
      <c r="O667" s="125"/>
      <c r="P667" s="129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spans="1:26" ht="14.25" customHeight="1">
      <c r="A668" s="125"/>
      <c r="B668" s="125"/>
      <c r="C668" s="125"/>
      <c r="D668" s="126"/>
      <c r="E668" s="126"/>
      <c r="F668" s="125"/>
      <c r="G668" s="126"/>
      <c r="H668" s="126"/>
      <c r="I668" s="126"/>
      <c r="J668" s="126"/>
      <c r="K668" s="126"/>
      <c r="L668" s="126"/>
      <c r="M668" s="126"/>
      <c r="N668" s="129"/>
      <c r="O668" s="125"/>
      <c r="P668" s="129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spans="1:26" ht="14.25" customHeight="1">
      <c r="A669" s="125"/>
      <c r="B669" s="125"/>
      <c r="C669" s="125"/>
      <c r="D669" s="126"/>
      <c r="E669" s="126"/>
      <c r="F669" s="125"/>
      <c r="G669" s="126"/>
      <c r="H669" s="126"/>
      <c r="I669" s="126"/>
      <c r="J669" s="126"/>
      <c r="K669" s="126"/>
      <c r="L669" s="126"/>
      <c r="M669" s="126"/>
      <c r="N669" s="129"/>
      <c r="O669" s="125"/>
      <c r="P669" s="129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spans="1:26" ht="14.25" customHeight="1">
      <c r="A670" s="125"/>
      <c r="B670" s="125"/>
      <c r="C670" s="125"/>
      <c r="D670" s="126"/>
      <c r="E670" s="126"/>
      <c r="F670" s="125"/>
      <c r="G670" s="126"/>
      <c r="H670" s="126"/>
      <c r="I670" s="126"/>
      <c r="J670" s="126"/>
      <c r="K670" s="126"/>
      <c r="L670" s="126"/>
      <c r="M670" s="126"/>
      <c r="N670" s="129"/>
      <c r="O670" s="125"/>
      <c r="P670" s="129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spans="1:26" ht="14.25" customHeight="1">
      <c r="A671" s="125"/>
      <c r="B671" s="125"/>
      <c r="C671" s="125"/>
      <c r="D671" s="126"/>
      <c r="E671" s="126"/>
      <c r="F671" s="125"/>
      <c r="G671" s="126"/>
      <c r="H671" s="126"/>
      <c r="I671" s="126"/>
      <c r="J671" s="126"/>
      <c r="K671" s="126"/>
      <c r="L671" s="126"/>
      <c r="M671" s="126"/>
      <c r="N671" s="129"/>
      <c r="O671" s="125"/>
      <c r="P671" s="129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spans="1:26" ht="14.25" customHeight="1">
      <c r="A672" s="125"/>
      <c r="B672" s="125"/>
      <c r="C672" s="125"/>
      <c r="D672" s="126"/>
      <c r="E672" s="126"/>
      <c r="F672" s="125"/>
      <c r="G672" s="126"/>
      <c r="H672" s="126"/>
      <c r="I672" s="126"/>
      <c r="J672" s="126"/>
      <c r="K672" s="126"/>
      <c r="L672" s="126"/>
      <c r="M672" s="126"/>
      <c r="N672" s="129"/>
      <c r="O672" s="125"/>
      <c r="P672" s="129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spans="1:26" ht="14.25" customHeight="1">
      <c r="A673" s="125"/>
      <c r="B673" s="125"/>
      <c r="C673" s="125"/>
      <c r="D673" s="126"/>
      <c r="E673" s="126"/>
      <c r="F673" s="125"/>
      <c r="G673" s="126"/>
      <c r="H673" s="126"/>
      <c r="I673" s="126"/>
      <c r="J673" s="126"/>
      <c r="K673" s="126"/>
      <c r="L673" s="126"/>
      <c r="M673" s="126"/>
      <c r="N673" s="129"/>
      <c r="O673" s="125"/>
      <c r="P673" s="129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spans="1:26" ht="14.25" customHeight="1">
      <c r="A674" s="125"/>
      <c r="B674" s="125"/>
      <c r="C674" s="125"/>
      <c r="D674" s="126"/>
      <c r="E674" s="126"/>
      <c r="F674" s="125"/>
      <c r="G674" s="126"/>
      <c r="H674" s="126"/>
      <c r="I674" s="126"/>
      <c r="J674" s="126"/>
      <c r="K674" s="126"/>
      <c r="L674" s="126"/>
      <c r="M674" s="126"/>
      <c r="N674" s="129"/>
      <c r="O674" s="125"/>
      <c r="P674" s="129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spans="1:26" ht="14.25" customHeight="1">
      <c r="A675" s="125"/>
      <c r="B675" s="125"/>
      <c r="C675" s="125"/>
      <c r="D675" s="126"/>
      <c r="E675" s="126"/>
      <c r="F675" s="125"/>
      <c r="G675" s="126"/>
      <c r="H675" s="126"/>
      <c r="I675" s="126"/>
      <c r="J675" s="126"/>
      <c r="K675" s="126"/>
      <c r="L675" s="126"/>
      <c r="M675" s="126"/>
      <c r="N675" s="129"/>
      <c r="O675" s="125"/>
      <c r="P675" s="129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spans="1:26" ht="14.25" customHeight="1">
      <c r="A676" s="125"/>
      <c r="B676" s="125"/>
      <c r="C676" s="125"/>
      <c r="D676" s="126"/>
      <c r="E676" s="126"/>
      <c r="F676" s="125"/>
      <c r="G676" s="126"/>
      <c r="H676" s="126"/>
      <c r="I676" s="126"/>
      <c r="J676" s="126"/>
      <c r="K676" s="126"/>
      <c r="L676" s="126"/>
      <c r="M676" s="126"/>
      <c r="N676" s="129"/>
      <c r="O676" s="125"/>
      <c r="P676" s="129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spans="1:26" ht="14.25" customHeight="1">
      <c r="A677" s="125"/>
      <c r="B677" s="125"/>
      <c r="C677" s="125"/>
      <c r="D677" s="126"/>
      <c r="E677" s="126"/>
      <c r="F677" s="125"/>
      <c r="G677" s="126"/>
      <c r="H677" s="126"/>
      <c r="I677" s="126"/>
      <c r="J677" s="126"/>
      <c r="K677" s="126"/>
      <c r="L677" s="126"/>
      <c r="M677" s="126"/>
      <c r="N677" s="129"/>
      <c r="O677" s="125"/>
      <c r="P677" s="129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spans="1:26" ht="14.25" customHeight="1">
      <c r="A678" s="125"/>
      <c r="B678" s="125"/>
      <c r="C678" s="125"/>
      <c r="D678" s="126"/>
      <c r="E678" s="126"/>
      <c r="F678" s="125"/>
      <c r="G678" s="126"/>
      <c r="H678" s="126"/>
      <c r="I678" s="126"/>
      <c r="J678" s="126"/>
      <c r="K678" s="126"/>
      <c r="L678" s="126"/>
      <c r="M678" s="126"/>
      <c r="N678" s="129"/>
      <c r="O678" s="125"/>
      <c r="P678" s="129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spans="1:26" ht="14.25" customHeight="1">
      <c r="A679" s="125"/>
      <c r="B679" s="125"/>
      <c r="C679" s="125"/>
      <c r="D679" s="126"/>
      <c r="E679" s="126"/>
      <c r="F679" s="125"/>
      <c r="G679" s="126"/>
      <c r="H679" s="126"/>
      <c r="I679" s="126"/>
      <c r="J679" s="126"/>
      <c r="K679" s="126"/>
      <c r="L679" s="126"/>
      <c r="M679" s="126"/>
      <c r="N679" s="129"/>
      <c r="O679" s="125"/>
      <c r="P679" s="129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spans="1:26" ht="14.25" customHeight="1">
      <c r="A680" s="125"/>
      <c r="B680" s="125"/>
      <c r="C680" s="125"/>
      <c r="D680" s="126"/>
      <c r="E680" s="126"/>
      <c r="F680" s="125"/>
      <c r="G680" s="126"/>
      <c r="H680" s="126"/>
      <c r="I680" s="126"/>
      <c r="J680" s="126"/>
      <c r="K680" s="126"/>
      <c r="L680" s="126"/>
      <c r="M680" s="126"/>
      <c r="N680" s="129"/>
      <c r="O680" s="125"/>
      <c r="P680" s="129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spans="1:26" ht="14.25" customHeight="1">
      <c r="A681" s="125"/>
      <c r="B681" s="125"/>
      <c r="C681" s="125"/>
      <c r="D681" s="126"/>
      <c r="E681" s="126"/>
      <c r="F681" s="125"/>
      <c r="G681" s="126"/>
      <c r="H681" s="126"/>
      <c r="I681" s="126"/>
      <c r="J681" s="126"/>
      <c r="K681" s="126"/>
      <c r="L681" s="126"/>
      <c r="M681" s="126"/>
      <c r="N681" s="129"/>
      <c r="O681" s="125"/>
      <c r="P681" s="129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spans="1:26" ht="14.25" customHeight="1">
      <c r="A682" s="125"/>
      <c r="B682" s="125"/>
      <c r="C682" s="125"/>
      <c r="D682" s="126"/>
      <c r="E682" s="126"/>
      <c r="F682" s="125"/>
      <c r="G682" s="126"/>
      <c r="H682" s="126"/>
      <c r="I682" s="126"/>
      <c r="J682" s="126"/>
      <c r="K682" s="126"/>
      <c r="L682" s="126"/>
      <c r="M682" s="126"/>
      <c r="N682" s="129"/>
      <c r="O682" s="125"/>
      <c r="P682" s="129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spans="1:26" ht="14.25" customHeight="1">
      <c r="A683" s="125"/>
      <c r="B683" s="125"/>
      <c r="C683" s="125"/>
      <c r="D683" s="126"/>
      <c r="E683" s="126"/>
      <c r="F683" s="125"/>
      <c r="G683" s="126"/>
      <c r="H683" s="126"/>
      <c r="I683" s="126"/>
      <c r="J683" s="126"/>
      <c r="K683" s="126"/>
      <c r="L683" s="126"/>
      <c r="M683" s="126"/>
      <c r="N683" s="129"/>
      <c r="O683" s="125"/>
      <c r="P683" s="129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spans="1:26" ht="14.25" customHeight="1">
      <c r="A684" s="125"/>
      <c r="B684" s="125"/>
      <c r="C684" s="125"/>
      <c r="D684" s="126"/>
      <c r="E684" s="126"/>
      <c r="F684" s="125"/>
      <c r="G684" s="126"/>
      <c r="H684" s="126"/>
      <c r="I684" s="126"/>
      <c r="J684" s="126"/>
      <c r="K684" s="126"/>
      <c r="L684" s="126"/>
      <c r="M684" s="126"/>
      <c r="N684" s="129"/>
      <c r="O684" s="125"/>
      <c r="P684" s="129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spans="1:26" ht="14.25" customHeight="1">
      <c r="A685" s="125"/>
      <c r="B685" s="125"/>
      <c r="C685" s="125"/>
      <c r="D685" s="126"/>
      <c r="E685" s="126"/>
      <c r="F685" s="125"/>
      <c r="G685" s="126"/>
      <c r="H685" s="126"/>
      <c r="I685" s="126"/>
      <c r="J685" s="126"/>
      <c r="K685" s="126"/>
      <c r="L685" s="126"/>
      <c r="M685" s="126"/>
      <c r="N685" s="129"/>
      <c r="O685" s="125"/>
      <c r="P685" s="129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spans="1:26" ht="14.25" customHeight="1">
      <c r="A686" s="125"/>
      <c r="B686" s="125"/>
      <c r="C686" s="125"/>
      <c r="D686" s="126"/>
      <c r="E686" s="126"/>
      <c r="F686" s="125"/>
      <c r="G686" s="126"/>
      <c r="H686" s="126"/>
      <c r="I686" s="126"/>
      <c r="J686" s="126"/>
      <c r="K686" s="126"/>
      <c r="L686" s="126"/>
      <c r="M686" s="126"/>
      <c r="N686" s="129"/>
      <c r="O686" s="125"/>
      <c r="P686" s="129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spans="1:26" ht="14.25" customHeight="1">
      <c r="A687" s="125"/>
      <c r="B687" s="125"/>
      <c r="C687" s="125"/>
      <c r="D687" s="126"/>
      <c r="E687" s="126"/>
      <c r="F687" s="125"/>
      <c r="G687" s="126"/>
      <c r="H687" s="126"/>
      <c r="I687" s="126"/>
      <c r="J687" s="126"/>
      <c r="K687" s="126"/>
      <c r="L687" s="126"/>
      <c r="M687" s="126"/>
      <c r="N687" s="129"/>
      <c r="O687" s="125"/>
      <c r="P687" s="129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spans="1:26" ht="14.25" customHeight="1">
      <c r="A688" s="125"/>
      <c r="B688" s="125"/>
      <c r="C688" s="125"/>
      <c r="D688" s="126"/>
      <c r="E688" s="126"/>
      <c r="F688" s="125"/>
      <c r="G688" s="126"/>
      <c r="H688" s="126"/>
      <c r="I688" s="126"/>
      <c r="J688" s="126"/>
      <c r="K688" s="126"/>
      <c r="L688" s="126"/>
      <c r="M688" s="126"/>
      <c r="N688" s="129"/>
      <c r="O688" s="125"/>
      <c r="P688" s="129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spans="1:26" ht="14.25" customHeight="1">
      <c r="A689" s="125"/>
      <c r="B689" s="125"/>
      <c r="C689" s="125"/>
      <c r="D689" s="126"/>
      <c r="E689" s="126"/>
      <c r="F689" s="125"/>
      <c r="G689" s="126"/>
      <c r="H689" s="126"/>
      <c r="I689" s="126"/>
      <c r="J689" s="126"/>
      <c r="K689" s="126"/>
      <c r="L689" s="126"/>
      <c r="M689" s="126"/>
      <c r="N689" s="129"/>
      <c r="O689" s="125"/>
      <c r="P689" s="129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spans="1:26" ht="14.25" customHeight="1">
      <c r="A690" s="125"/>
      <c r="B690" s="125"/>
      <c r="C690" s="125"/>
      <c r="D690" s="126"/>
      <c r="E690" s="126"/>
      <c r="F690" s="125"/>
      <c r="G690" s="126"/>
      <c r="H690" s="126"/>
      <c r="I690" s="126"/>
      <c r="J690" s="126"/>
      <c r="K690" s="126"/>
      <c r="L690" s="126"/>
      <c r="M690" s="126"/>
      <c r="N690" s="129"/>
      <c r="O690" s="125"/>
      <c r="P690" s="129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spans="1:26" ht="14.25" customHeight="1">
      <c r="A691" s="125"/>
      <c r="B691" s="125"/>
      <c r="C691" s="125"/>
      <c r="D691" s="126"/>
      <c r="E691" s="126"/>
      <c r="F691" s="125"/>
      <c r="G691" s="126"/>
      <c r="H691" s="126"/>
      <c r="I691" s="126"/>
      <c r="J691" s="126"/>
      <c r="K691" s="126"/>
      <c r="L691" s="126"/>
      <c r="M691" s="126"/>
      <c r="N691" s="129"/>
      <c r="O691" s="125"/>
      <c r="P691" s="129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spans="1:26" ht="14.25" customHeight="1">
      <c r="A692" s="125"/>
      <c r="B692" s="125"/>
      <c r="C692" s="125"/>
      <c r="D692" s="126"/>
      <c r="E692" s="126"/>
      <c r="F692" s="125"/>
      <c r="G692" s="126"/>
      <c r="H692" s="126"/>
      <c r="I692" s="126"/>
      <c r="J692" s="126"/>
      <c r="K692" s="126"/>
      <c r="L692" s="126"/>
      <c r="M692" s="126"/>
      <c r="N692" s="129"/>
      <c r="O692" s="125"/>
      <c r="P692" s="129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spans="1:26" ht="14.25" customHeight="1">
      <c r="A693" s="125"/>
      <c r="B693" s="125"/>
      <c r="C693" s="125"/>
      <c r="D693" s="126"/>
      <c r="E693" s="126"/>
      <c r="F693" s="125"/>
      <c r="G693" s="126"/>
      <c r="H693" s="126"/>
      <c r="I693" s="126"/>
      <c r="J693" s="126"/>
      <c r="K693" s="126"/>
      <c r="L693" s="126"/>
      <c r="M693" s="126"/>
      <c r="N693" s="129"/>
      <c r="O693" s="125"/>
      <c r="P693" s="129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spans="1:26" ht="14.25" customHeight="1">
      <c r="A694" s="125"/>
      <c r="B694" s="125"/>
      <c r="C694" s="125"/>
      <c r="D694" s="126"/>
      <c r="E694" s="126"/>
      <c r="F694" s="125"/>
      <c r="G694" s="126"/>
      <c r="H694" s="126"/>
      <c r="I694" s="126"/>
      <c r="J694" s="126"/>
      <c r="K694" s="126"/>
      <c r="L694" s="126"/>
      <c r="M694" s="126"/>
      <c r="N694" s="129"/>
      <c r="O694" s="125"/>
      <c r="P694" s="129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spans="1:26" ht="14.25" customHeight="1">
      <c r="A695" s="125"/>
      <c r="B695" s="125"/>
      <c r="C695" s="125"/>
      <c r="D695" s="126"/>
      <c r="E695" s="126"/>
      <c r="F695" s="125"/>
      <c r="G695" s="126"/>
      <c r="H695" s="126"/>
      <c r="I695" s="126"/>
      <c r="J695" s="126"/>
      <c r="K695" s="126"/>
      <c r="L695" s="126"/>
      <c r="M695" s="126"/>
      <c r="N695" s="129"/>
      <c r="O695" s="125"/>
      <c r="P695" s="129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spans="1:26" ht="14.25" customHeight="1">
      <c r="A696" s="125"/>
      <c r="B696" s="125"/>
      <c r="C696" s="125"/>
      <c r="D696" s="126"/>
      <c r="E696" s="126"/>
      <c r="F696" s="125"/>
      <c r="G696" s="126"/>
      <c r="H696" s="126"/>
      <c r="I696" s="126"/>
      <c r="J696" s="126"/>
      <c r="K696" s="126"/>
      <c r="L696" s="126"/>
      <c r="M696" s="126"/>
      <c r="N696" s="129"/>
      <c r="O696" s="125"/>
      <c r="P696" s="129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spans="1:26" ht="14.25" customHeight="1">
      <c r="A697" s="125"/>
      <c r="B697" s="125"/>
      <c r="C697" s="125"/>
      <c r="D697" s="126"/>
      <c r="E697" s="126"/>
      <c r="F697" s="125"/>
      <c r="G697" s="126"/>
      <c r="H697" s="126"/>
      <c r="I697" s="126"/>
      <c r="J697" s="126"/>
      <c r="K697" s="126"/>
      <c r="L697" s="126"/>
      <c r="M697" s="126"/>
      <c r="N697" s="129"/>
      <c r="O697" s="125"/>
      <c r="P697" s="129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spans="1:26" ht="14.25" customHeight="1">
      <c r="A698" s="125"/>
      <c r="B698" s="125"/>
      <c r="C698" s="125"/>
      <c r="D698" s="126"/>
      <c r="E698" s="126"/>
      <c r="F698" s="125"/>
      <c r="G698" s="126"/>
      <c r="H698" s="126"/>
      <c r="I698" s="126"/>
      <c r="J698" s="126"/>
      <c r="K698" s="126"/>
      <c r="L698" s="126"/>
      <c r="M698" s="126"/>
      <c r="N698" s="129"/>
      <c r="O698" s="125"/>
      <c r="P698" s="129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spans="1:26" ht="14.25" customHeight="1">
      <c r="A699" s="125"/>
      <c r="B699" s="125"/>
      <c r="C699" s="125"/>
      <c r="D699" s="126"/>
      <c r="E699" s="126"/>
      <c r="F699" s="125"/>
      <c r="G699" s="126"/>
      <c r="H699" s="126"/>
      <c r="I699" s="126"/>
      <c r="J699" s="126"/>
      <c r="K699" s="126"/>
      <c r="L699" s="126"/>
      <c r="M699" s="126"/>
      <c r="N699" s="129"/>
      <c r="O699" s="125"/>
      <c r="P699" s="129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spans="1:26" ht="14.25" customHeight="1">
      <c r="A700" s="125"/>
      <c r="B700" s="125"/>
      <c r="C700" s="125"/>
      <c r="D700" s="126"/>
      <c r="E700" s="126"/>
      <c r="F700" s="125"/>
      <c r="G700" s="126"/>
      <c r="H700" s="126"/>
      <c r="I700" s="126"/>
      <c r="J700" s="126"/>
      <c r="K700" s="126"/>
      <c r="L700" s="126"/>
      <c r="M700" s="126"/>
      <c r="N700" s="129"/>
      <c r="O700" s="125"/>
      <c r="P700" s="129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spans="1:26" ht="14.25" customHeight="1">
      <c r="A701" s="125"/>
      <c r="B701" s="125"/>
      <c r="C701" s="125"/>
      <c r="D701" s="126"/>
      <c r="E701" s="126"/>
      <c r="F701" s="125"/>
      <c r="G701" s="126"/>
      <c r="H701" s="126"/>
      <c r="I701" s="126"/>
      <c r="J701" s="126"/>
      <c r="K701" s="126"/>
      <c r="L701" s="126"/>
      <c r="M701" s="126"/>
      <c r="N701" s="129"/>
      <c r="O701" s="125"/>
      <c r="P701" s="129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spans="1:26" ht="14.25" customHeight="1">
      <c r="A702" s="125"/>
      <c r="B702" s="125"/>
      <c r="C702" s="125"/>
      <c r="D702" s="126"/>
      <c r="E702" s="126"/>
      <c r="F702" s="125"/>
      <c r="G702" s="126"/>
      <c r="H702" s="126"/>
      <c r="I702" s="126"/>
      <c r="J702" s="126"/>
      <c r="K702" s="126"/>
      <c r="L702" s="126"/>
      <c r="M702" s="126"/>
      <c r="N702" s="129"/>
      <c r="O702" s="125"/>
      <c r="P702" s="129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spans="1:26" ht="14.25" customHeight="1">
      <c r="A703" s="125"/>
      <c r="B703" s="125"/>
      <c r="C703" s="125"/>
      <c r="D703" s="126"/>
      <c r="E703" s="126"/>
      <c r="F703" s="125"/>
      <c r="G703" s="126"/>
      <c r="H703" s="126"/>
      <c r="I703" s="126"/>
      <c r="J703" s="126"/>
      <c r="K703" s="126"/>
      <c r="L703" s="126"/>
      <c r="M703" s="126"/>
      <c r="N703" s="129"/>
      <c r="O703" s="125"/>
      <c r="P703" s="129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spans="1:26" ht="14.25" customHeight="1">
      <c r="A704" s="125"/>
      <c r="B704" s="125"/>
      <c r="C704" s="125"/>
      <c r="D704" s="126"/>
      <c r="E704" s="126"/>
      <c r="F704" s="125"/>
      <c r="G704" s="126"/>
      <c r="H704" s="126"/>
      <c r="I704" s="126"/>
      <c r="J704" s="126"/>
      <c r="K704" s="126"/>
      <c r="L704" s="126"/>
      <c r="M704" s="126"/>
      <c r="N704" s="129"/>
      <c r="O704" s="125"/>
      <c r="P704" s="129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spans="1:26" ht="14.25" customHeight="1">
      <c r="A705" s="125"/>
      <c r="B705" s="125"/>
      <c r="C705" s="125"/>
      <c r="D705" s="126"/>
      <c r="E705" s="126"/>
      <c r="F705" s="125"/>
      <c r="G705" s="126"/>
      <c r="H705" s="126"/>
      <c r="I705" s="126"/>
      <c r="J705" s="126"/>
      <c r="K705" s="126"/>
      <c r="L705" s="126"/>
      <c r="M705" s="126"/>
      <c r="N705" s="129"/>
      <c r="O705" s="125"/>
      <c r="P705" s="129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spans="1:26" ht="14.25" customHeight="1">
      <c r="A706" s="125"/>
      <c r="B706" s="125"/>
      <c r="C706" s="125"/>
      <c r="D706" s="126"/>
      <c r="E706" s="126"/>
      <c r="F706" s="125"/>
      <c r="G706" s="126"/>
      <c r="H706" s="126"/>
      <c r="I706" s="126"/>
      <c r="J706" s="126"/>
      <c r="K706" s="126"/>
      <c r="L706" s="126"/>
      <c r="M706" s="126"/>
      <c r="N706" s="129"/>
      <c r="O706" s="125"/>
      <c r="P706" s="129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spans="1:26" ht="14.25" customHeight="1">
      <c r="A707" s="125"/>
      <c r="B707" s="125"/>
      <c r="C707" s="125"/>
      <c r="D707" s="126"/>
      <c r="E707" s="126"/>
      <c r="F707" s="125"/>
      <c r="G707" s="126"/>
      <c r="H707" s="126"/>
      <c r="I707" s="126"/>
      <c r="J707" s="126"/>
      <c r="K707" s="126"/>
      <c r="L707" s="126"/>
      <c r="M707" s="126"/>
      <c r="N707" s="129"/>
      <c r="O707" s="125"/>
      <c r="P707" s="129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spans="1:26" ht="14.25" customHeight="1">
      <c r="A708" s="125"/>
      <c r="B708" s="125"/>
      <c r="C708" s="125"/>
      <c r="D708" s="126"/>
      <c r="E708" s="126"/>
      <c r="F708" s="125"/>
      <c r="G708" s="126"/>
      <c r="H708" s="126"/>
      <c r="I708" s="126"/>
      <c r="J708" s="126"/>
      <c r="K708" s="126"/>
      <c r="L708" s="126"/>
      <c r="M708" s="126"/>
      <c r="N708" s="129"/>
      <c r="O708" s="125"/>
      <c r="P708" s="129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spans="1:26" ht="14.25" customHeight="1">
      <c r="A709" s="125"/>
      <c r="B709" s="125"/>
      <c r="C709" s="125"/>
      <c r="D709" s="126"/>
      <c r="E709" s="126"/>
      <c r="F709" s="125"/>
      <c r="G709" s="126"/>
      <c r="H709" s="126"/>
      <c r="I709" s="126"/>
      <c r="J709" s="126"/>
      <c r="K709" s="126"/>
      <c r="L709" s="126"/>
      <c r="M709" s="126"/>
      <c r="N709" s="129"/>
      <c r="O709" s="125"/>
      <c r="P709" s="129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spans="1:26" ht="14.25" customHeight="1">
      <c r="A710" s="125"/>
      <c r="B710" s="125"/>
      <c r="C710" s="125"/>
      <c r="D710" s="126"/>
      <c r="E710" s="126"/>
      <c r="F710" s="125"/>
      <c r="G710" s="126"/>
      <c r="H710" s="126"/>
      <c r="I710" s="126"/>
      <c r="J710" s="126"/>
      <c r="K710" s="126"/>
      <c r="L710" s="126"/>
      <c r="M710" s="126"/>
      <c r="N710" s="129"/>
      <c r="O710" s="125"/>
      <c r="P710" s="129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spans="1:26" ht="14.25" customHeight="1">
      <c r="A711" s="125"/>
      <c r="B711" s="125"/>
      <c r="C711" s="125"/>
      <c r="D711" s="126"/>
      <c r="E711" s="126"/>
      <c r="F711" s="125"/>
      <c r="G711" s="126"/>
      <c r="H711" s="126"/>
      <c r="I711" s="126"/>
      <c r="J711" s="126"/>
      <c r="K711" s="126"/>
      <c r="L711" s="126"/>
      <c r="M711" s="126"/>
      <c r="N711" s="129"/>
      <c r="O711" s="125"/>
      <c r="P711" s="129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spans="1:26" ht="14.25" customHeight="1">
      <c r="A712" s="125"/>
      <c r="B712" s="125"/>
      <c r="C712" s="125"/>
      <c r="D712" s="126"/>
      <c r="E712" s="126"/>
      <c r="F712" s="125"/>
      <c r="G712" s="126"/>
      <c r="H712" s="126"/>
      <c r="I712" s="126"/>
      <c r="J712" s="126"/>
      <c r="K712" s="126"/>
      <c r="L712" s="126"/>
      <c r="M712" s="126"/>
      <c r="N712" s="129"/>
      <c r="O712" s="125"/>
      <c r="P712" s="129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spans="1:26" ht="14.25" customHeight="1">
      <c r="A713" s="125"/>
      <c r="B713" s="125"/>
      <c r="C713" s="125"/>
      <c r="D713" s="126"/>
      <c r="E713" s="126"/>
      <c r="F713" s="125"/>
      <c r="G713" s="126"/>
      <c r="H713" s="126"/>
      <c r="I713" s="126"/>
      <c r="J713" s="126"/>
      <c r="K713" s="126"/>
      <c r="L713" s="126"/>
      <c r="M713" s="126"/>
      <c r="N713" s="129"/>
      <c r="O713" s="125"/>
      <c r="P713" s="129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spans="1:26" ht="14.25" customHeight="1">
      <c r="A714" s="125"/>
      <c r="B714" s="125"/>
      <c r="C714" s="125"/>
      <c r="D714" s="126"/>
      <c r="E714" s="126"/>
      <c r="F714" s="125"/>
      <c r="G714" s="126"/>
      <c r="H714" s="126"/>
      <c r="I714" s="126"/>
      <c r="J714" s="126"/>
      <c r="K714" s="126"/>
      <c r="L714" s="126"/>
      <c r="M714" s="126"/>
      <c r="N714" s="129"/>
      <c r="O714" s="125"/>
      <c r="P714" s="129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spans="1:26" ht="14.25" customHeight="1">
      <c r="A715" s="125"/>
      <c r="B715" s="125"/>
      <c r="C715" s="125"/>
      <c r="D715" s="126"/>
      <c r="E715" s="126"/>
      <c r="F715" s="125"/>
      <c r="G715" s="126"/>
      <c r="H715" s="126"/>
      <c r="I715" s="126"/>
      <c r="J715" s="126"/>
      <c r="K715" s="126"/>
      <c r="L715" s="126"/>
      <c r="M715" s="126"/>
      <c r="N715" s="129"/>
      <c r="O715" s="125"/>
      <c r="P715" s="129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spans="1:26" ht="14.25" customHeight="1">
      <c r="A716" s="125"/>
      <c r="B716" s="125"/>
      <c r="C716" s="125"/>
      <c r="D716" s="126"/>
      <c r="E716" s="126"/>
      <c r="F716" s="125"/>
      <c r="G716" s="126"/>
      <c r="H716" s="126"/>
      <c r="I716" s="126"/>
      <c r="J716" s="126"/>
      <c r="K716" s="126"/>
      <c r="L716" s="126"/>
      <c r="M716" s="126"/>
      <c r="N716" s="129"/>
      <c r="O716" s="125"/>
      <c r="P716" s="129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spans="1:26" ht="14.25" customHeight="1">
      <c r="A717" s="125"/>
      <c r="B717" s="125"/>
      <c r="C717" s="125"/>
      <c r="D717" s="126"/>
      <c r="E717" s="126"/>
      <c r="F717" s="125"/>
      <c r="G717" s="126"/>
      <c r="H717" s="126"/>
      <c r="I717" s="126"/>
      <c r="J717" s="126"/>
      <c r="K717" s="126"/>
      <c r="L717" s="126"/>
      <c r="M717" s="126"/>
      <c r="N717" s="129"/>
      <c r="O717" s="125"/>
      <c r="P717" s="129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spans="1:26" ht="14.25" customHeight="1">
      <c r="A718" s="125"/>
      <c r="B718" s="125"/>
      <c r="C718" s="125"/>
      <c r="D718" s="126"/>
      <c r="E718" s="126"/>
      <c r="F718" s="125"/>
      <c r="G718" s="126"/>
      <c r="H718" s="126"/>
      <c r="I718" s="126"/>
      <c r="J718" s="126"/>
      <c r="K718" s="126"/>
      <c r="L718" s="126"/>
      <c r="M718" s="126"/>
      <c r="N718" s="129"/>
      <c r="O718" s="125"/>
      <c r="P718" s="129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spans="1:26" ht="14.25" customHeight="1">
      <c r="A719" s="125"/>
      <c r="B719" s="125"/>
      <c r="C719" s="125"/>
      <c r="D719" s="126"/>
      <c r="E719" s="126"/>
      <c r="F719" s="125"/>
      <c r="G719" s="126"/>
      <c r="H719" s="126"/>
      <c r="I719" s="126"/>
      <c r="J719" s="126"/>
      <c r="K719" s="126"/>
      <c r="L719" s="126"/>
      <c r="M719" s="126"/>
      <c r="N719" s="129"/>
      <c r="O719" s="125"/>
      <c r="P719" s="129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spans="1:26" ht="14.25" customHeight="1">
      <c r="A720" s="125"/>
      <c r="B720" s="125"/>
      <c r="C720" s="125"/>
      <c r="D720" s="126"/>
      <c r="E720" s="126"/>
      <c r="F720" s="125"/>
      <c r="G720" s="126"/>
      <c r="H720" s="126"/>
      <c r="I720" s="126"/>
      <c r="J720" s="126"/>
      <c r="K720" s="126"/>
      <c r="L720" s="126"/>
      <c r="M720" s="126"/>
      <c r="N720" s="129"/>
      <c r="O720" s="125"/>
      <c r="P720" s="129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spans="1:26" ht="14.25" customHeight="1">
      <c r="A721" s="125"/>
      <c r="B721" s="125"/>
      <c r="C721" s="125"/>
      <c r="D721" s="126"/>
      <c r="E721" s="126"/>
      <c r="F721" s="125"/>
      <c r="G721" s="126"/>
      <c r="H721" s="126"/>
      <c r="I721" s="126"/>
      <c r="J721" s="126"/>
      <c r="K721" s="126"/>
      <c r="L721" s="126"/>
      <c r="M721" s="126"/>
      <c r="N721" s="129"/>
      <c r="O721" s="125"/>
      <c r="P721" s="129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spans="1:26" ht="14.25" customHeight="1">
      <c r="A722" s="125"/>
      <c r="B722" s="125"/>
      <c r="C722" s="125"/>
      <c r="D722" s="126"/>
      <c r="E722" s="126"/>
      <c r="F722" s="125"/>
      <c r="G722" s="126"/>
      <c r="H722" s="126"/>
      <c r="I722" s="126"/>
      <c r="J722" s="126"/>
      <c r="K722" s="126"/>
      <c r="L722" s="126"/>
      <c r="M722" s="126"/>
      <c r="N722" s="129"/>
      <c r="O722" s="125"/>
      <c r="P722" s="129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spans="1:26" ht="14.25" customHeight="1">
      <c r="A723" s="125"/>
      <c r="B723" s="125"/>
      <c r="C723" s="125"/>
      <c r="D723" s="126"/>
      <c r="E723" s="126"/>
      <c r="F723" s="125"/>
      <c r="G723" s="126"/>
      <c r="H723" s="126"/>
      <c r="I723" s="126"/>
      <c r="J723" s="126"/>
      <c r="K723" s="126"/>
      <c r="L723" s="126"/>
      <c r="M723" s="126"/>
      <c r="N723" s="129"/>
      <c r="O723" s="125"/>
      <c r="P723" s="129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spans="1:26" ht="14.25" customHeight="1">
      <c r="A724" s="125"/>
      <c r="B724" s="125"/>
      <c r="C724" s="125"/>
      <c r="D724" s="126"/>
      <c r="E724" s="126"/>
      <c r="F724" s="125"/>
      <c r="G724" s="126"/>
      <c r="H724" s="126"/>
      <c r="I724" s="126"/>
      <c r="J724" s="126"/>
      <c r="K724" s="126"/>
      <c r="L724" s="126"/>
      <c r="M724" s="126"/>
      <c r="N724" s="129"/>
      <c r="O724" s="125"/>
      <c r="P724" s="129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spans="1:26" ht="14.25" customHeight="1">
      <c r="A725" s="125"/>
      <c r="B725" s="125"/>
      <c r="C725" s="125"/>
      <c r="D725" s="126"/>
      <c r="E725" s="126"/>
      <c r="F725" s="125"/>
      <c r="G725" s="126"/>
      <c r="H725" s="126"/>
      <c r="I725" s="126"/>
      <c r="J725" s="126"/>
      <c r="K725" s="126"/>
      <c r="L725" s="126"/>
      <c r="M725" s="126"/>
      <c r="N725" s="129"/>
      <c r="O725" s="125"/>
      <c r="P725" s="129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spans="1:26" ht="14.25" customHeight="1">
      <c r="A726" s="125"/>
      <c r="B726" s="125"/>
      <c r="C726" s="125"/>
      <c r="D726" s="126"/>
      <c r="E726" s="126"/>
      <c r="F726" s="125"/>
      <c r="G726" s="126"/>
      <c r="H726" s="126"/>
      <c r="I726" s="126"/>
      <c r="J726" s="126"/>
      <c r="K726" s="126"/>
      <c r="L726" s="126"/>
      <c r="M726" s="126"/>
      <c r="N726" s="129"/>
      <c r="O726" s="125"/>
      <c r="P726" s="129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spans="1:26" ht="14.25" customHeight="1">
      <c r="A727" s="125"/>
      <c r="B727" s="125"/>
      <c r="C727" s="125"/>
      <c r="D727" s="126"/>
      <c r="E727" s="126"/>
      <c r="F727" s="125"/>
      <c r="G727" s="126"/>
      <c r="H727" s="126"/>
      <c r="I727" s="126"/>
      <c r="J727" s="126"/>
      <c r="K727" s="126"/>
      <c r="L727" s="126"/>
      <c r="M727" s="126"/>
      <c r="N727" s="129"/>
      <c r="O727" s="125"/>
      <c r="P727" s="129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spans="1:26" ht="14.25" customHeight="1">
      <c r="A728" s="125"/>
      <c r="B728" s="125"/>
      <c r="C728" s="125"/>
      <c r="D728" s="126"/>
      <c r="E728" s="126"/>
      <c r="F728" s="125"/>
      <c r="G728" s="126"/>
      <c r="H728" s="126"/>
      <c r="I728" s="126"/>
      <c r="J728" s="126"/>
      <c r="K728" s="126"/>
      <c r="L728" s="126"/>
      <c r="M728" s="126"/>
      <c r="N728" s="129"/>
      <c r="O728" s="125"/>
      <c r="P728" s="129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spans="1:26" ht="14.25" customHeight="1">
      <c r="A729" s="125"/>
      <c r="B729" s="125"/>
      <c r="C729" s="125"/>
      <c r="D729" s="126"/>
      <c r="E729" s="126"/>
      <c r="F729" s="125"/>
      <c r="G729" s="126"/>
      <c r="H729" s="126"/>
      <c r="I729" s="126"/>
      <c r="J729" s="126"/>
      <c r="K729" s="126"/>
      <c r="L729" s="126"/>
      <c r="M729" s="126"/>
      <c r="N729" s="129"/>
      <c r="O729" s="125"/>
      <c r="P729" s="129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spans="1:26" ht="14.25" customHeight="1">
      <c r="A730" s="125"/>
      <c r="B730" s="125"/>
      <c r="C730" s="125"/>
      <c r="D730" s="126"/>
      <c r="E730" s="126"/>
      <c r="F730" s="125"/>
      <c r="G730" s="126"/>
      <c r="H730" s="126"/>
      <c r="I730" s="126"/>
      <c r="J730" s="126"/>
      <c r="K730" s="126"/>
      <c r="L730" s="126"/>
      <c r="M730" s="126"/>
      <c r="N730" s="129"/>
      <c r="O730" s="125"/>
      <c r="P730" s="129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spans="1:26" ht="14.25" customHeight="1">
      <c r="A731" s="125"/>
      <c r="B731" s="125"/>
      <c r="C731" s="125"/>
      <c r="D731" s="126"/>
      <c r="E731" s="126"/>
      <c r="F731" s="125"/>
      <c r="G731" s="126"/>
      <c r="H731" s="126"/>
      <c r="I731" s="126"/>
      <c r="J731" s="126"/>
      <c r="K731" s="126"/>
      <c r="L731" s="126"/>
      <c r="M731" s="126"/>
      <c r="N731" s="129"/>
      <c r="O731" s="125"/>
      <c r="P731" s="129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spans="1:26" ht="14.25" customHeight="1">
      <c r="A732" s="125"/>
      <c r="B732" s="125"/>
      <c r="C732" s="125"/>
      <c r="D732" s="126"/>
      <c r="E732" s="126"/>
      <c r="F732" s="125"/>
      <c r="G732" s="126"/>
      <c r="H732" s="126"/>
      <c r="I732" s="126"/>
      <c r="J732" s="126"/>
      <c r="K732" s="126"/>
      <c r="L732" s="126"/>
      <c r="M732" s="126"/>
      <c r="N732" s="129"/>
      <c r="O732" s="125"/>
      <c r="P732" s="129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spans="1:26" ht="14.25" customHeight="1">
      <c r="A733" s="125"/>
      <c r="B733" s="125"/>
      <c r="C733" s="125"/>
      <c r="D733" s="126"/>
      <c r="E733" s="126"/>
      <c r="F733" s="125"/>
      <c r="G733" s="126"/>
      <c r="H733" s="126"/>
      <c r="I733" s="126"/>
      <c r="J733" s="126"/>
      <c r="K733" s="126"/>
      <c r="L733" s="126"/>
      <c r="M733" s="126"/>
      <c r="N733" s="129"/>
      <c r="O733" s="125"/>
      <c r="P733" s="129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spans="1:26" ht="14.25" customHeight="1">
      <c r="A734" s="125"/>
      <c r="B734" s="125"/>
      <c r="C734" s="125"/>
      <c r="D734" s="126"/>
      <c r="E734" s="126"/>
      <c r="F734" s="125"/>
      <c r="G734" s="126"/>
      <c r="H734" s="126"/>
      <c r="I734" s="126"/>
      <c r="J734" s="126"/>
      <c r="K734" s="126"/>
      <c r="L734" s="126"/>
      <c r="M734" s="126"/>
      <c r="N734" s="129"/>
      <c r="O734" s="125"/>
      <c r="P734" s="129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spans="1:26" ht="14.25" customHeight="1">
      <c r="A735" s="125"/>
      <c r="B735" s="125"/>
      <c r="C735" s="125"/>
      <c r="D735" s="126"/>
      <c r="E735" s="126"/>
      <c r="F735" s="125"/>
      <c r="G735" s="126"/>
      <c r="H735" s="126"/>
      <c r="I735" s="126"/>
      <c r="J735" s="126"/>
      <c r="K735" s="126"/>
      <c r="L735" s="126"/>
      <c r="M735" s="126"/>
      <c r="N735" s="129"/>
      <c r="O735" s="125"/>
      <c r="P735" s="129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spans="1:26" ht="14.25" customHeight="1">
      <c r="A736" s="125"/>
      <c r="B736" s="125"/>
      <c r="C736" s="125"/>
      <c r="D736" s="126"/>
      <c r="E736" s="126"/>
      <c r="F736" s="125"/>
      <c r="G736" s="126"/>
      <c r="H736" s="126"/>
      <c r="I736" s="126"/>
      <c r="J736" s="126"/>
      <c r="K736" s="126"/>
      <c r="L736" s="126"/>
      <c r="M736" s="126"/>
      <c r="N736" s="129"/>
      <c r="O736" s="125"/>
      <c r="P736" s="129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spans="1:26" ht="14.25" customHeight="1">
      <c r="A737" s="125"/>
      <c r="B737" s="125"/>
      <c r="C737" s="125"/>
      <c r="D737" s="126"/>
      <c r="E737" s="126"/>
      <c r="F737" s="125"/>
      <c r="G737" s="126"/>
      <c r="H737" s="126"/>
      <c r="I737" s="126"/>
      <c r="J737" s="126"/>
      <c r="K737" s="126"/>
      <c r="L737" s="126"/>
      <c r="M737" s="126"/>
      <c r="N737" s="129"/>
      <c r="O737" s="125"/>
      <c r="P737" s="129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spans="1:26" ht="14.25" customHeight="1">
      <c r="A738" s="125"/>
      <c r="B738" s="125"/>
      <c r="C738" s="125"/>
      <c r="D738" s="126"/>
      <c r="E738" s="126"/>
      <c r="F738" s="125"/>
      <c r="G738" s="126"/>
      <c r="H738" s="126"/>
      <c r="I738" s="126"/>
      <c r="J738" s="126"/>
      <c r="K738" s="126"/>
      <c r="L738" s="126"/>
      <c r="M738" s="126"/>
      <c r="N738" s="129"/>
      <c r="O738" s="125"/>
      <c r="P738" s="129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spans="1:26" ht="14.25" customHeight="1">
      <c r="A739" s="125"/>
      <c r="B739" s="125"/>
      <c r="C739" s="125"/>
      <c r="D739" s="126"/>
      <c r="E739" s="126"/>
      <c r="F739" s="125"/>
      <c r="G739" s="126"/>
      <c r="H739" s="126"/>
      <c r="I739" s="126"/>
      <c r="J739" s="126"/>
      <c r="K739" s="126"/>
      <c r="L739" s="126"/>
      <c r="M739" s="126"/>
      <c r="N739" s="129"/>
      <c r="O739" s="125"/>
      <c r="P739" s="129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spans="1:26" ht="14.25" customHeight="1">
      <c r="A740" s="125"/>
      <c r="B740" s="125"/>
      <c r="C740" s="125"/>
      <c r="D740" s="126"/>
      <c r="E740" s="126"/>
      <c r="F740" s="125"/>
      <c r="G740" s="126"/>
      <c r="H740" s="126"/>
      <c r="I740" s="126"/>
      <c r="J740" s="126"/>
      <c r="K740" s="126"/>
      <c r="L740" s="126"/>
      <c r="M740" s="126"/>
      <c r="N740" s="129"/>
      <c r="O740" s="125"/>
      <c r="P740" s="129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spans="1:26" ht="14.25" customHeight="1">
      <c r="A741" s="125"/>
      <c r="B741" s="125"/>
      <c r="C741" s="125"/>
      <c r="D741" s="126"/>
      <c r="E741" s="126"/>
      <c r="F741" s="125"/>
      <c r="G741" s="126"/>
      <c r="H741" s="126"/>
      <c r="I741" s="126"/>
      <c r="J741" s="126"/>
      <c r="K741" s="126"/>
      <c r="L741" s="126"/>
      <c r="M741" s="126"/>
      <c r="N741" s="129"/>
      <c r="O741" s="125"/>
      <c r="P741" s="129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spans="1:26" ht="14.25" customHeight="1">
      <c r="A742" s="125"/>
      <c r="B742" s="125"/>
      <c r="C742" s="125"/>
      <c r="D742" s="126"/>
      <c r="E742" s="126"/>
      <c r="F742" s="125"/>
      <c r="G742" s="126"/>
      <c r="H742" s="126"/>
      <c r="I742" s="126"/>
      <c r="J742" s="126"/>
      <c r="K742" s="126"/>
      <c r="L742" s="126"/>
      <c r="M742" s="126"/>
      <c r="N742" s="129"/>
      <c r="O742" s="125"/>
      <c r="P742" s="129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spans="1:26" ht="14.25" customHeight="1">
      <c r="A743" s="125"/>
      <c r="B743" s="125"/>
      <c r="C743" s="125"/>
      <c r="D743" s="126"/>
      <c r="E743" s="126"/>
      <c r="F743" s="125"/>
      <c r="G743" s="126"/>
      <c r="H743" s="126"/>
      <c r="I743" s="126"/>
      <c r="J743" s="126"/>
      <c r="K743" s="126"/>
      <c r="L743" s="126"/>
      <c r="M743" s="126"/>
      <c r="N743" s="129"/>
      <c r="O743" s="125"/>
      <c r="P743" s="129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spans="1:26" ht="14.25" customHeight="1">
      <c r="A744" s="125"/>
      <c r="B744" s="125"/>
      <c r="C744" s="125"/>
      <c r="D744" s="126"/>
      <c r="E744" s="126"/>
      <c r="F744" s="125"/>
      <c r="G744" s="126"/>
      <c r="H744" s="126"/>
      <c r="I744" s="126"/>
      <c r="J744" s="126"/>
      <c r="K744" s="126"/>
      <c r="L744" s="126"/>
      <c r="M744" s="126"/>
      <c r="N744" s="129"/>
      <c r="O744" s="125"/>
      <c r="P744" s="129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spans="1:26" ht="14.25" customHeight="1">
      <c r="A745" s="125"/>
      <c r="B745" s="125"/>
      <c r="C745" s="125"/>
      <c r="D745" s="126"/>
      <c r="E745" s="126"/>
      <c r="F745" s="125"/>
      <c r="G745" s="126"/>
      <c r="H745" s="126"/>
      <c r="I745" s="126"/>
      <c r="J745" s="126"/>
      <c r="K745" s="126"/>
      <c r="L745" s="126"/>
      <c r="M745" s="126"/>
      <c r="N745" s="129"/>
      <c r="O745" s="125"/>
      <c r="P745" s="129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spans="1:26" ht="14.25" customHeight="1">
      <c r="A746" s="125"/>
      <c r="B746" s="125"/>
      <c r="C746" s="125"/>
      <c r="D746" s="126"/>
      <c r="E746" s="126"/>
      <c r="F746" s="125"/>
      <c r="G746" s="126"/>
      <c r="H746" s="126"/>
      <c r="I746" s="126"/>
      <c r="J746" s="126"/>
      <c r="K746" s="126"/>
      <c r="L746" s="126"/>
      <c r="M746" s="126"/>
      <c r="N746" s="129"/>
      <c r="O746" s="125"/>
      <c r="P746" s="129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spans="1:26" ht="14.25" customHeight="1">
      <c r="A747" s="125"/>
      <c r="B747" s="125"/>
      <c r="C747" s="125"/>
      <c r="D747" s="126"/>
      <c r="E747" s="126"/>
      <c r="F747" s="125"/>
      <c r="G747" s="126"/>
      <c r="H747" s="126"/>
      <c r="I747" s="126"/>
      <c r="J747" s="126"/>
      <c r="K747" s="126"/>
      <c r="L747" s="126"/>
      <c r="M747" s="126"/>
      <c r="N747" s="129"/>
      <c r="O747" s="125"/>
      <c r="P747" s="129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spans="1:26" ht="14.25" customHeight="1">
      <c r="A748" s="125"/>
      <c r="B748" s="125"/>
      <c r="C748" s="125"/>
      <c r="D748" s="126"/>
      <c r="E748" s="126"/>
      <c r="F748" s="125"/>
      <c r="G748" s="126"/>
      <c r="H748" s="126"/>
      <c r="I748" s="126"/>
      <c r="J748" s="126"/>
      <c r="K748" s="126"/>
      <c r="L748" s="126"/>
      <c r="M748" s="126"/>
      <c r="N748" s="129"/>
      <c r="O748" s="125"/>
      <c r="P748" s="129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spans="1:26" ht="14.25" customHeight="1">
      <c r="A749" s="125"/>
      <c r="B749" s="125"/>
      <c r="C749" s="125"/>
      <c r="D749" s="126"/>
      <c r="E749" s="126"/>
      <c r="F749" s="125"/>
      <c r="G749" s="126"/>
      <c r="H749" s="126"/>
      <c r="I749" s="126"/>
      <c r="J749" s="126"/>
      <c r="K749" s="126"/>
      <c r="L749" s="126"/>
      <c r="M749" s="126"/>
      <c r="N749" s="129"/>
      <c r="O749" s="125"/>
      <c r="P749" s="129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spans="1:26" ht="14.25" customHeight="1">
      <c r="A750" s="125"/>
      <c r="B750" s="125"/>
      <c r="C750" s="125"/>
      <c r="D750" s="126"/>
      <c r="E750" s="126"/>
      <c r="F750" s="125"/>
      <c r="G750" s="126"/>
      <c r="H750" s="126"/>
      <c r="I750" s="126"/>
      <c r="J750" s="126"/>
      <c r="K750" s="126"/>
      <c r="L750" s="126"/>
      <c r="M750" s="126"/>
      <c r="N750" s="129"/>
      <c r="O750" s="125"/>
      <c r="P750" s="129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spans="1:26" ht="14.25" customHeight="1">
      <c r="A751" s="125"/>
      <c r="B751" s="125"/>
      <c r="C751" s="125"/>
      <c r="D751" s="126"/>
      <c r="E751" s="126"/>
      <c r="F751" s="125"/>
      <c r="G751" s="126"/>
      <c r="H751" s="126"/>
      <c r="I751" s="126"/>
      <c r="J751" s="126"/>
      <c r="K751" s="126"/>
      <c r="L751" s="126"/>
      <c r="M751" s="126"/>
      <c r="N751" s="129"/>
      <c r="O751" s="125"/>
      <c r="P751" s="129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spans="1:26" ht="14.25" customHeight="1">
      <c r="A752" s="125"/>
      <c r="B752" s="125"/>
      <c r="C752" s="125"/>
      <c r="D752" s="126"/>
      <c r="E752" s="126"/>
      <c r="F752" s="125"/>
      <c r="G752" s="126"/>
      <c r="H752" s="126"/>
      <c r="I752" s="126"/>
      <c r="J752" s="126"/>
      <c r="K752" s="126"/>
      <c r="L752" s="126"/>
      <c r="M752" s="126"/>
      <c r="N752" s="129"/>
      <c r="O752" s="125"/>
      <c r="P752" s="129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spans="1:26" ht="14.25" customHeight="1">
      <c r="A753" s="125"/>
      <c r="B753" s="125"/>
      <c r="C753" s="125"/>
      <c r="D753" s="126"/>
      <c r="E753" s="126"/>
      <c r="F753" s="125"/>
      <c r="G753" s="126"/>
      <c r="H753" s="126"/>
      <c r="I753" s="126"/>
      <c r="J753" s="126"/>
      <c r="K753" s="126"/>
      <c r="L753" s="126"/>
      <c r="M753" s="126"/>
      <c r="N753" s="129"/>
      <c r="O753" s="125"/>
      <c r="P753" s="129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spans="1:26" ht="14.25" customHeight="1">
      <c r="A754" s="125"/>
      <c r="B754" s="125"/>
      <c r="C754" s="125"/>
      <c r="D754" s="126"/>
      <c r="E754" s="126"/>
      <c r="F754" s="125"/>
      <c r="G754" s="126"/>
      <c r="H754" s="126"/>
      <c r="I754" s="126"/>
      <c r="J754" s="126"/>
      <c r="K754" s="126"/>
      <c r="L754" s="126"/>
      <c r="M754" s="126"/>
      <c r="N754" s="129"/>
      <c r="O754" s="125"/>
      <c r="P754" s="129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spans="1:26" ht="14.25" customHeight="1">
      <c r="A755" s="125"/>
      <c r="B755" s="125"/>
      <c r="C755" s="125"/>
      <c r="D755" s="126"/>
      <c r="E755" s="126"/>
      <c r="F755" s="125"/>
      <c r="G755" s="126"/>
      <c r="H755" s="126"/>
      <c r="I755" s="126"/>
      <c r="J755" s="126"/>
      <c r="K755" s="126"/>
      <c r="L755" s="126"/>
      <c r="M755" s="126"/>
      <c r="N755" s="129"/>
      <c r="O755" s="125"/>
      <c r="P755" s="129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spans="1:26" ht="14.25" customHeight="1">
      <c r="A756" s="125"/>
      <c r="B756" s="125"/>
      <c r="C756" s="125"/>
      <c r="D756" s="126"/>
      <c r="E756" s="126"/>
      <c r="F756" s="125"/>
      <c r="G756" s="126"/>
      <c r="H756" s="126"/>
      <c r="I756" s="126"/>
      <c r="J756" s="126"/>
      <c r="K756" s="126"/>
      <c r="L756" s="126"/>
      <c r="M756" s="126"/>
      <c r="N756" s="129"/>
      <c r="O756" s="125"/>
      <c r="P756" s="129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spans="1:26" ht="14.25" customHeight="1">
      <c r="A757" s="125"/>
      <c r="B757" s="125"/>
      <c r="C757" s="125"/>
      <c r="D757" s="126"/>
      <c r="E757" s="126"/>
      <c r="F757" s="125"/>
      <c r="G757" s="126"/>
      <c r="H757" s="126"/>
      <c r="I757" s="126"/>
      <c r="J757" s="126"/>
      <c r="K757" s="126"/>
      <c r="L757" s="126"/>
      <c r="M757" s="126"/>
      <c r="N757" s="129"/>
      <c r="O757" s="125"/>
      <c r="P757" s="129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spans="1:26" ht="14.25" customHeight="1">
      <c r="A758" s="125"/>
      <c r="B758" s="125"/>
      <c r="C758" s="125"/>
      <c r="D758" s="126"/>
      <c r="E758" s="126"/>
      <c r="F758" s="125"/>
      <c r="G758" s="126"/>
      <c r="H758" s="126"/>
      <c r="I758" s="126"/>
      <c r="J758" s="126"/>
      <c r="K758" s="126"/>
      <c r="L758" s="126"/>
      <c r="M758" s="126"/>
      <c r="N758" s="129"/>
      <c r="O758" s="125"/>
      <c r="P758" s="129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spans="1:26" ht="14.25" customHeight="1">
      <c r="A759" s="125"/>
      <c r="B759" s="125"/>
      <c r="C759" s="125"/>
      <c r="D759" s="126"/>
      <c r="E759" s="126"/>
      <c r="F759" s="125"/>
      <c r="G759" s="126"/>
      <c r="H759" s="126"/>
      <c r="I759" s="126"/>
      <c r="J759" s="126"/>
      <c r="K759" s="126"/>
      <c r="L759" s="126"/>
      <c r="M759" s="126"/>
      <c r="N759" s="129"/>
      <c r="O759" s="125"/>
      <c r="P759" s="129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spans="1:26" ht="14.25" customHeight="1">
      <c r="A760" s="125"/>
      <c r="B760" s="125"/>
      <c r="C760" s="125"/>
      <c r="D760" s="126"/>
      <c r="E760" s="126"/>
      <c r="F760" s="125"/>
      <c r="G760" s="126"/>
      <c r="H760" s="126"/>
      <c r="I760" s="126"/>
      <c r="J760" s="126"/>
      <c r="K760" s="126"/>
      <c r="L760" s="126"/>
      <c r="M760" s="126"/>
      <c r="N760" s="129"/>
      <c r="O760" s="125"/>
      <c r="P760" s="129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spans="1:26" ht="14.25" customHeight="1">
      <c r="A761" s="125"/>
      <c r="B761" s="125"/>
      <c r="C761" s="125"/>
      <c r="D761" s="126"/>
      <c r="E761" s="126"/>
      <c r="F761" s="125"/>
      <c r="G761" s="126"/>
      <c r="H761" s="126"/>
      <c r="I761" s="126"/>
      <c r="J761" s="126"/>
      <c r="K761" s="126"/>
      <c r="L761" s="126"/>
      <c r="M761" s="126"/>
      <c r="N761" s="129"/>
      <c r="O761" s="125"/>
      <c r="P761" s="129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spans="1:26" ht="14.25" customHeight="1">
      <c r="A762" s="125"/>
      <c r="B762" s="125"/>
      <c r="C762" s="125"/>
      <c r="D762" s="126"/>
      <c r="E762" s="126"/>
      <c r="F762" s="125"/>
      <c r="G762" s="126"/>
      <c r="H762" s="126"/>
      <c r="I762" s="126"/>
      <c r="J762" s="126"/>
      <c r="K762" s="126"/>
      <c r="L762" s="126"/>
      <c r="M762" s="126"/>
      <c r="N762" s="129"/>
      <c r="O762" s="125"/>
      <c r="P762" s="129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spans="1:26" ht="14.25" customHeight="1">
      <c r="A763" s="125"/>
      <c r="B763" s="125"/>
      <c r="C763" s="125"/>
      <c r="D763" s="126"/>
      <c r="E763" s="126"/>
      <c r="F763" s="125"/>
      <c r="G763" s="126"/>
      <c r="H763" s="126"/>
      <c r="I763" s="126"/>
      <c r="J763" s="126"/>
      <c r="K763" s="126"/>
      <c r="L763" s="126"/>
      <c r="M763" s="126"/>
      <c r="N763" s="129"/>
      <c r="O763" s="125"/>
      <c r="P763" s="129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spans="1:26" ht="14.25" customHeight="1">
      <c r="A764" s="125"/>
      <c r="B764" s="125"/>
      <c r="C764" s="125"/>
      <c r="D764" s="126"/>
      <c r="E764" s="126"/>
      <c r="F764" s="125"/>
      <c r="G764" s="126"/>
      <c r="H764" s="126"/>
      <c r="I764" s="126"/>
      <c r="J764" s="126"/>
      <c r="K764" s="126"/>
      <c r="L764" s="126"/>
      <c r="M764" s="126"/>
      <c r="N764" s="129"/>
      <c r="O764" s="125"/>
      <c r="P764" s="129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spans="1:26" ht="14.25" customHeight="1">
      <c r="A765" s="125"/>
      <c r="B765" s="125"/>
      <c r="C765" s="125"/>
      <c r="D765" s="126"/>
      <c r="E765" s="126"/>
      <c r="F765" s="125"/>
      <c r="G765" s="126"/>
      <c r="H765" s="126"/>
      <c r="I765" s="126"/>
      <c r="J765" s="126"/>
      <c r="K765" s="126"/>
      <c r="L765" s="126"/>
      <c r="M765" s="126"/>
      <c r="N765" s="129"/>
      <c r="O765" s="125"/>
      <c r="P765" s="129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spans="1:26" ht="14.25" customHeight="1">
      <c r="A766" s="125"/>
      <c r="B766" s="125"/>
      <c r="C766" s="125"/>
      <c r="D766" s="126"/>
      <c r="E766" s="126"/>
      <c r="F766" s="125"/>
      <c r="G766" s="126"/>
      <c r="H766" s="126"/>
      <c r="I766" s="126"/>
      <c r="J766" s="126"/>
      <c r="K766" s="126"/>
      <c r="L766" s="126"/>
      <c r="M766" s="126"/>
      <c r="N766" s="129"/>
      <c r="O766" s="125"/>
      <c r="P766" s="129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spans="1:26" ht="14.25" customHeight="1">
      <c r="A767" s="125"/>
      <c r="B767" s="125"/>
      <c r="C767" s="125"/>
      <c r="D767" s="126"/>
      <c r="E767" s="126"/>
      <c r="F767" s="125"/>
      <c r="G767" s="126"/>
      <c r="H767" s="126"/>
      <c r="I767" s="126"/>
      <c r="J767" s="126"/>
      <c r="K767" s="126"/>
      <c r="L767" s="126"/>
      <c r="M767" s="126"/>
      <c r="N767" s="129"/>
      <c r="O767" s="125"/>
      <c r="P767" s="129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spans="1:26" ht="14.25" customHeight="1">
      <c r="A768" s="125"/>
      <c r="B768" s="125"/>
      <c r="C768" s="125"/>
      <c r="D768" s="126"/>
      <c r="E768" s="126"/>
      <c r="F768" s="125"/>
      <c r="G768" s="126"/>
      <c r="H768" s="126"/>
      <c r="I768" s="126"/>
      <c r="J768" s="126"/>
      <c r="K768" s="126"/>
      <c r="L768" s="126"/>
      <c r="M768" s="126"/>
      <c r="N768" s="129"/>
      <c r="O768" s="125"/>
      <c r="P768" s="129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spans="1:26" ht="14.25" customHeight="1">
      <c r="A769" s="125"/>
      <c r="B769" s="125"/>
      <c r="C769" s="125"/>
      <c r="D769" s="126"/>
      <c r="E769" s="126"/>
      <c r="F769" s="125"/>
      <c r="G769" s="126"/>
      <c r="H769" s="126"/>
      <c r="I769" s="126"/>
      <c r="J769" s="126"/>
      <c r="K769" s="126"/>
      <c r="L769" s="126"/>
      <c r="M769" s="126"/>
      <c r="N769" s="129"/>
      <c r="O769" s="125"/>
      <c r="P769" s="129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spans="1:26" ht="14.25" customHeight="1">
      <c r="A770" s="125"/>
      <c r="B770" s="125"/>
      <c r="C770" s="125"/>
      <c r="D770" s="126"/>
      <c r="E770" s="126"/>
      <c r="F770" s="125"/>
      <c r="G770" s="126"/>
      <c r="H770" s="126"/>
      <c r="I770" s="126"/>
      <c r="J770" s="126"/>
      <c r="K770" s="126"/>
      <c r="L770" s="126"/>
      <c r="M770" s="126"/>
      <c r="N770" s="129"/>
      <c r="O770" s="125"/>
      <c r="P770" s="129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spans="1:26" ht="14.25" customHeight="1">
      <c r="A771" s="125"/>
      <c r="B771" s="125"/>
      <c r="C771" s="125"/>
      <c r="D771" s="126"/>
      <c r="E771" s="126"/>
      <c r="F771" s="125"/>
      <c r="G771" s="126"/>
      <c r="H771" s="126"/>
      <c r="I771" s="126"/>
      <c r="J771" s="126"/>
      <c r="K771" s="126"/>
      <c r="L771" s="126"/>
      <c r="M771" s="126"/>
      <c r="N771" s="129"/>
      <c r="O771" s="125"/>
      <c r="P771" s="129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spans="1:26" ht="14.25" customHeight="1">
      <c r="A772" s="125"/>
      <c r="B772" s="125"/>
      <c r="C772" s="125"/>
      <c r="D772" s="126"/>
      <c r="E772" s="126"/>
      <c r="F772" s="125"/>
      <c r="G772" s="126"/>
      <c r="H772" s="126"/>
      <c r="I772" s="126"/>
      <c r="J772" s="126"/>
      <c r="K772" s="126"/>
      <c r="L772" s="126"/>
      <c r="M772" s="126"/>
      <c r="N772" s="129"/>
      <c r="O772" s="125"/>
      <c r="P772" s="129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spans="1:26" ht="14.25" customHeight="1">
      <c r="A773" s="125"/>
      <c r="B773" s="125"/>
      <c r="C773" s="125"/>
      <c r="D773" s="126"/>
      <c r="E773" s="126"/>
      <c r="F773" s="125"/>
      <c r="G773" s="126"/>
      <c r="H773" s="126"/>
      <c r="I773" s="126"/>
      <c r="J773" s="126"/>
      <c r="K773" s="126"/>
      <c r="L773" s="126"/>
      <c r="M773" s="126"/>
      <c r="N773" s="129"/>
      <c r="O773" s="125"/>
      <c r="P773" s="129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spans="1:26" ht="14.25" customHeight="1">
      <c r="A774" s="125"/>
      <c r="B774" s="125"/>
      <c r="C774" s="125"/>
      <c r="D774" s="126"/>
      <c r="E774" s="126"/>
      <c r="F774" s="125"/>
      <c r="G774" s="126"/>
      <c r="H774" s="126"/>
      <c r="I774" s="126"/>
      <c r="J774" s="126"/>
      <c r="K774" s="126"/>
      <c r="L774" s="126"/>
      <c r="M774" s="126"/>
      <c r="N774" s="129"/>
      <c r="O774" s="125"/>
      <c r="P774" s="129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spans="1:26" ht="14.25" customHeight="1">
      <c r="A775" s="125"/>
      <c r="B775" s="125"/>
      <c r="C775" s="125"/>
      <c r="D775" s="126"/>
      <c r="E775" s="126"/>
      <c r="F775" s="125"/>
      <c r="G775" s="126"/>
      <c r="H775" s="126"/>
      <c r="I775" s="126"/>
      <c r="J775" s="126"/>
      <c r="K775" s="126"/>
      <c r="L775" s="126"/>
      <c r="M775" s="126"/>
      <c r="N775" s="129"/>
      <c r="O775" s="125"/>
      <c r="P775" s="129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spans="1:26" ht="14.25" customHeight="1">
      <c r="A776" s="125"/>
      <c r="B776" s="125"/>
      <c r="C776" s="125"/>
      <c r="D776" s="126"/>
      <c r="E776" s="126"/>
      <c r="F776" s="125"/>
      <c r="G776" s="126"/>
      <c r="H776" s="126"/>
      <c r="I776" s="126"/>
      <c r="J776" s="126"/>
      <c r="K776" s="126"/>
      <c r="L776" s="126"/>
      <c r="M776" s="126"/>
      <c r="N776" s="129"/>
      <c r="O776" s="125"/>
      <c r="P776" s="129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spans="1:26" ht="14.25" customHeight="1">
      <c r="A777" s="125"/>
      <c r="B777" s="125"/>
      <c r="C777" s="125"/>
      <c r="D777" s="126"/>
      <c r="E777" s="126"/>
      <c r="F777" s="125"/>
      <c r="G777" s="126"/>
      <c r="H777" s="126"/>
      <c r="I777" s="126"/>
      <c r="J777" s="126"/>
      <c r="K777" s="126"/>
      <c r="L777" s="126"/>
      <c r="M777" s="126"/>
      <c r="N777" s="129"/>
      <c r="O777" s="125"/>
      <c r="P777" s="129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spans="1:26" ht="14.25" customHeight="1">
      <c r="A778" s="125"/>
      <c r="B778" s="125"/>
      <c r="C778" s="125"/>
      <c r="D778" s="126"/>
      <c r="E778" s="126"/>
      <c r="F778" s="125"/>
      <c r="G778" s="126"/>
      <c r="H778" s="126"/>
      <c r="I778" s="126"/>
      <c r="J778" s="126"/>
      <c r="K778" s="126"/>
      <c r="L778" s="126"/>
      <c r="M778" s="126"/>
      <c r="N778" s="129"/>
      <c r="O778" s="125"/>
      <c r="P778" s="129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spans="1:26" ht="14.25" customHeight="1">
      <c r="A779" s="125"/>
      <c r="B779" s="125"/>
      <c r="C779" s="125"/>
      <c r="D779" s="126"/>
      <c r="E779" s="126"/>
      <c r="F779" s="125"/>
      <c r="G779" s="126"/>
      <c r="H779" s="126"/>
      <c r="I779" s="126"/>
      <c r="J779" s="126"/>
      <c r="K779" s="126"/>
      <c r="L779" s="126"/>
      <c r="M779" s="126"/>
      <c r="N779" s="129"/>
      <c r="O779" s="125"/>
      <c r="P779" s="129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spans="1:26" ht="14.25" customHeight="1">
      <c r="A780" s="125"/>
      <c r="B780" s="125"/>
      <c r="C780" s="125"/>
      <c r="D780" s="126"/>
      <c r="E780" s="126"/>
      <c r="F780" s="125"/>
      <c r="G780" s="126"/>
      <c r="H780" s="126"/>
      <c r="I780" s="126"/>
      <c r="J780" s="126"/>
      <c r="K780" s="126"/>
      <c r="L780" s="126"/>
      <c r="M780" s="126"/>
      <c r="N780" s="129"/>
      <c r="O780" s="125"/>
      <c r="P780" s="129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spans="1:26" ht="14.25" customHeight="1">
      <c r="A781" s="125"/>
      <c r="B781" s="125"/>
      <c r="C781" s="125"/>
      <c r="D781" s="126"/>
      <c r="E781" s="126"/>
      <c r="F781" s="125"/>
      <c r="G781" s="126"/>
      <c r="H781" s="126"/>
      <c r="I781" s="126"/>
      <c r="J781" s="126"/>
      <c r="K781" s="126"/>
      <c r="L781" s="126"/>
      <c r="M781" s="126"/>
      <c r="N781" s="129"/>
      <c r="O781" s="125"/>
      <c r="P781" s="129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spans="1:26" ht="14.25" customHeight="1">
      <c r="A782" s="125"/>
      <c r="B782" s="125"/>
      <c r="C782" s="125"/>
      <c r="D782" s="126"/>
      <c r="E782" s="126"/>
      <c r="F782" s="125"/>
      <c r="G782" s="126"/>
      <c r="H782" s="126"/>
      <c r="I782" s="126"/>
      <c r="J782" s="126"/>
      <c r="K782" s="126"/>
      <c r="L782" s="126"/>
      <c r="M782" s="126"/>
      <c r="N782" s="129"/>
      <c r="O782" s="125"/>
      <c r="P782" s="129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spans="1:26" ht="14.25" customHeight="1">
      <c r="A783" s="125"/>
      <c r="B783" s="125"/>
      <c r="C783" s="125"/>
      <c r="D783" s="126"/>
      <c r="E783" s="126"/>
      <c r="F783" s="125"/>
      <c r="G783" s="126"/>
      <c r="H783" s="126"/>
      <c r="I783" s="126"/>
      <c r="J783" s="126"/>
      <c r="K783" s="126"/>
      <c r="L783" s="126"/>
      <c r="M783" s="126"/>
      <c r="N783" s="129"/>
      <c r="O783" s="125"/>
      <c r="P783" s="129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spans="1:26" ht="14.25" customHeight="1">
      <c r="A784" s="125"/>
      <c r="B784" s="125"/>
      <c r="C784" s="125"/>
      <c r="D784" s="126"/>
      <c r="E784" s="126"/>
      <c r="F784" s="125"/>
      <c r="G784" s="126"/>
      <c r="H784" s="126"/>
      <c r="I784" s="126"/>
      <c r="J784" s="126"/>
      <c r="K784" s="126"/>
      <c r="L784" s="126"/>
      <c r="M784" s="126"/>
      <c r="N784" s="129"/>
      <c r="O784" s="125"/>
      <c r="P784" s="129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spans="1:26" ht="14.25" customHeight="1">
      <c r="A785" s="125"/>
      <c r="B785" s="125"/>
      <c r="C785" s="125"/>
      <c r="D785" s="126"/>
      <c r="E785" s="126"/>
      <c r="F785" s="125"/>
      <c r="G785" s="126"/>
      <c r="H785" s="126"/>
      <c r="I785" s="126"/>
      <c r="J785" s="126"/>
      <c r="K785" s="126"/>
      <c r="L785" s="126"/>
      <c r="M785" s="126"/>
      <c r="N785" s="129"/>
      <c r="O785" s="125"/>
      <c r="P785" s="129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spans="1:26" ht="14.25" customHeight="1">
      <c r="A786" s="125"/>
      <c r="B786" s="125"/>
      <c r="C786" s="125"/>
      <c r="D786" s="126"/>
      <c r="E786" s="126"/>
      <c r="F786" s="125"/>
      <c r="G786" s="126"/>
      <c r="H786" s="126"/>
      <c r="I786" s="126"/>
      <c r="J786" s="126"/>
      <c r="K786" s="126"/>
      <c r="L786" s="126"/>
      <c r="M786" s="126"/>
      <c r="N786" s="129"/>
      <c r="O786" s="125"/>
      <c r="P786" s="129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spans="1:26" ht="14.25" customHeight="1">
      <c r="A787" s="125"/>
      <c r="B787" s="125"/>
      <c r="C787" s="125"/>
      <c r="D787" s="126"/>
      <c r="E787" s="126"/>
      <c r="F787" s="125"/>
      <c r="G787" s="126"/>
      <c r="H787" s="126"/>
      <c r="I787" s="126"/>
      <c r="J787" s="126"/>
      <c r="K787" s="126"/>
      <c r="L787" s="126"/>
      <c r="M787" s="126"/>
      <c r="N787" s="129"/>
      <c r="O787" s="125"/>
      <c r="P787" s="129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spans="1:26" ht="14.25" customHeight="1">
      <c r="A788" s="125"/>
      <c r="B788" s="125"/>
      <c r="C788" s="125"/>
      <c r="D788" s="126"/>
      <c r="E788" s="126"/>
      <c r="F788" s="125"/>
      <c r="G788" s="126"/>
      <c r="H788" s="126"/>
      <c r="I788" s="126"/>
      <c r="J788" s="126"/>
      <c r="K788" s="126"/>
      <c r="L788" s="126"/>
      <c r="M788" s="126"/>
      <c r="N788" s="129"/>
      <c r="O788" s="125"/>
      <c r="P788" s="129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spans="1:26" ht="14.25" customHeight="1">
      <c r="A789" s="125"/>
      <c r="B789" s="125"/>
      <c r="C789" s="125"/>
      <c r="D789" s="126"/>
      <c r="E789" s="126"/>
      <c r="F789" s="125"/>
      <c r="G789" s="126"/>
      <c r="H789" s="126"/>
      <c r="I789" s="126"/>
      <c r="J789" s="126"/>
      <c r="K789" s="126"/>
      <c r="L789" s="126"/>
      <c r="M789" s="126"/>
      <c r="N789" s="129"/>
      <c r="O789" s="125"/>
      <c r="P789" s="129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spans="1:26" ht="14.25" customHeight="1">
      <c r="A790" s="125"/>
      <c r="B790" s="125"/>
      <c r="C790" s="125"/>
      <c r="D790" s="126"/>
      <c r="E790" s="126"/>
      <c r="F790" s="125"/>
      <c r="G790" s="126"/>
      <c r="H790" s="126"/>
      <c r="I790" s="126"/>
      <c r="J790" s="126"/>
      <c r="K790" s="126"/>
      <c r="L790" s="126"/>
      <c r="M790" s="126"/>
      <c r="N790" s="129"/>
      <c r="O790" s="125"/>
      <c r="P790" s="129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spans="1:26" ht="14.25" customHeight="1">
      <c r="A791" s="125"/>
      <c r="B791" s="125"/>
      <c r="C791" s="125"/>
      <c r="D791" s="126"/>
      <c r="E791" s="126"/>
      <c r="F791" s="125"/>
      <c r="G791" s="126"/>
      <c r="H791" s="126"/>
      <c r="I791" s="126"/>
      <c r="J791" s="126"/>
      <c r="K791" s="126"/>
      <c r="L791" s="126"/>
      <c r="M791" s="126"/>
      <c r="N791" s="129"/>
      <c r="O791" s="125"/>
      <c r="P791" s="129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spans="1:26" ht="14.25" customHeight="1">
      <c r="A792" s="125"/>
      <c r="B792" s="125"/>
      <c r="C792" s="125"/>
      <c r="D792" s="126"/>
      <c r="E792" s="126"/>
      <c r="F792" s="125"/>
      <c r="G792" s="126"/>
      <c r="H792" s="126"/>
      <c r="I792" s="126"/>
      <c r="J792" s="126"/>
      <c r="K792" s="126"/>
      <c r="L792" s="126"/>
      <c r="M792" s="126"/>
      <c r="N792" s="129"/>
      <c r="O792" s="125"/>
      <c r="P792" s="129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spans="1:26" ht="14.25" customHeight="1">
      <c r="A793" s="125"/>
      <c r="B793" s="125"/>
      <c r="C793" s="125"/>
      <c r="D793" s="126"/>
      <c r="E793" s="126"/>
      <c r="F793" s="125"/>
      <c r="G793" s="126"/>
      <c r="H793" s="126"/>
      <c r="I793" s="126"/>
      <c r="J793" s="126"/>
      <c r="K793" s="126"/>
      <c r="L793" s="126"/>
      <c r="M793" s="126"/>
      <c r="N793" s="129"/>
      <c r="O793" s="125"/>
      <c r="P793" s="129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spans="1:26" ht="14.25" customHeight="1">
      <c r="A794" s="125"/>
      <c r="B794" s="125"/>
      <c r="C794" s="125"/>
      <c r="D794" s="126"/>
      <c r="E794" s="126"/>
      <c r="F794" s="125"/>
      <c r="G794" s="126"/>
      <c r="H794" s="126"/>
      <c r="I794" s="126"/>
      <c r="J794" s="126"/>
      <c r="K794" s="126"/>
      <c r="L794" s="126"/>
      <c r="M794" s="126"/>
      <c r="N794" s="129"/>
      <c r="O794" s="125"/>
      <c r="P794" s="129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spans="1:26" ht="14.25" customHeight="1">
      <c r="A795" s="125"/>
      <c r="B795" s="125"/>
      <c r="C795" s="125"/>
      <c r="D795" s="126"/>
      <c r="E795" s="126"/>
      <c r="F795" s="125"/>
      <c r="G795" s="126"/>
      <c r="H795" s="126"/>
      <c r="I795" s="126"/>
      <c r="J795" s="126"/>
      <c r="K795" s="126"/>
      <c r="L795" s="126"/>
      <c r="M795" s="126"/>
      <c r="N795" s="129"/>
      <c r="O795" s="125"/>
      <c r="P795" s="129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spans="1:26" ht="14.25" customHeight="1">
      <c r="A796" s="125"/>
      <c r="B796" s="125"/>
      <c r="C796" s="125"/>
      <c r="D796" s="126"/>
      <c r="E796" s="126"/>
      <c r="F796" s="125"/>
      <c r="G796" s="126"/>
      <c r="H796" s="126"/>
      <c r="I796" s="126"/>
      <c r="J796" s="126"/>
      <c r="K796" s="126"/>
      <c r="L796" s="126"/>
      <c r="M796" s="126"/>
      <c r="N796" s="129"/>
      <c r="O796" s="125"/>
      <c r="P796" s="129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spans="1:26" ht="14.25" customHeight="1">
      <c r="A797" s="125"/>
      <c r="B797" s="125"/>
      <c r="C797" s="125"/>
      <c r="D797" s="126"/>
      <c r="E797" s="126"/>
      <c r="F797" s="125"/>
      <c r="G797" s="126"/>
      <c r="H797" s="126"/>
      <c r="I797" s="126"/>
      <c r="J797" s="126"/>
      <c r="K797" s="126"/>
      <c r="L797" s="126"/>
      <c r="M797" s="126"/>
      <c r="N797" s="129"/>
      <c r="O797" s="125"/>
      <c r="P797" s="129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spans="1:26" ht="14.25" customHeight="1">
      <c r="A798" s="125"/>
      <c r="B798" s="125"/>
      <c r="C798" s="125"/>
      <c r="D798" s="126"/>
      <c r="E798" s="126"/>
      <c r="F798" s="125"/>
      <c r="G798" s="126"/>
      <c r="H798" s="126"/>
      <c r="I798" s="126"/>
      <c r="J798" s="126"/>
      <c r="K798" s="126"/>
      <c r="L798" s="126"/>
      <c r="M798" s="126"/>
      <c r="N798" s="129"/>
      <c r="O798" s="125"/>
      <c r="P798" s="129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spans="1:26" ht="14.25" customHeight="1">
      <c r="A799" s="125"/>
      <c r="B799" s="125"/>
      <c r="C799" s="125"/>
      <c r="D799" s="126"/>
      <c r="E799" s="126"/>
      <c r="F799" s="125"/>
      <c r="G799" s="126"/>
      <c r="H799" s="126"/>
      <c r="I799" s="126"/>
      <c r="J799" s="126"/>
      <c r="K799" s="126"/>
      <c r="L799" s="126"/>
      <c r="M799" s="126"/>
      <c r="N799" s="129"/>
      <c r="O799" s="125"/>
      <c r="P799" s="129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spans="1:26" ht="14.25" customHeight="1">
      <c r="A800" s="125"/>
      <c r="B800" s="125"/>
      <c r="C800" s="125"/>
      <c r="D800" s="126"/>
      <c r="E800" s="126"/>
      <c r="F800" s="125"/>
      <c r="G800" s="126"/>
      <c r="H800" s="126"/>
      <c r="I800" s="126"/>
      <c r="J800" s="126"/>
      <c r="K800" s="126"/>
      <c r="L800" s="126"/>
      <c r="M800" s="126"/>
      <c r="N800" s="129"/>
      <c r="O800" s="125"/>
      <c r="P800" s="129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spans="1:26" ht="14.25" customHeight="1">
      <c r="A801" s="125"/>
      <c r="B801" s="125"/>
      <c r="C801" s="125"/>
      <c r="D801" s="126"/>
      <c r="E801" s="126"/>
      <c r="F801" s="125"/>
      <c r="G801" s="126"/>
      <c r="H801" s="126"/>
      <c r="I801" s="126"/>
      <c r="J801" s="126"/>
      <c r="K801" s="126"/>
      <c r="L801" s="126"/>
      <c r="M801" s="126"/>
      <c r="N801" s="129"/>
      <c r="O801" s="125"/>
      <c r="P801" s="129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spans="1:26" ht="14.25" customHeight="1">
      <c r="A802" s="125"/>
      <c r="B802" s="125"/>
      <c r="C802" s="125"/>
      <c r="D802" s="126"/>
      <c r="E802" s="126"/>
      <c r="F802" s="125"/>
      <c r="G802" s="126"/>
      <c r="H802" s="126"/>
      <c r="I802" s="126"/>
      <c r="J802" s="126"/>
      <c r="K802" s="126"/>
      <c r="L802" s="126"/>
      <c r="M802" s="126"/>
      <c r="N802" s="129"/>
      <c r="O802" s="125"/>
      <c r="P802" s="129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spans="1:26" ht="14.25" customHeight="1">
      <c r="A803" s="125"/>
      <c r="B803" s="125"/>
      <c r="C803" s="125"/>
      <c r="D803" s="126"/>
      <c r="E803" s="126"/>
      <c r="F803" s="125"/>
      <c r="G803" s="126"/>
      <c r="H803" s="126"/>
      <c r="I803" s="126"/>
      <c r="J803" s="126"/>
      <c r="K803" s="126"/>
      <c r="L803" s="126"/>
      <c r="M803" s="126"/>
      <c r="N803" s="129"/>
      <c r="O803" s="125"/>
      <c r="P803" s="129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spans="1:26" ht="14.25" customHeight="1">
      <c r="A804" s="125"/>
      <c r="B804" s="125"/>
      <c r="C804" s="125"/>
      <c r="D804" s="126"/>
      <c r="E804" s="126"/>
      <c r="F804" s="125"/>
      <c r="G804" s="126"/>
      <c r="H804" s="126"/>
      <c r="I804" s="126"/>
      <c r="J804" s="126"/>
      <c r="K804" s="126"/>
      <c r="L804" s="126"/>
      <c r="M804" s="126"/>
      <c r="N804" s="129"/>
      <c r="O804" s="125"/>
      <c r="P804" s="129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spans="1:26" ht="14.25" customHeight="1">
      <c r="A805" s="125"/>
      <c r="B805" s="125"/>
      <c r="C805" s="125"/>
      <c r="D805" s="126"/>
      <c r="E805" s="126"/>
      <c r="F805" s="125"/>
      <c r="G805" s="126"/>
      <c r="H805" s="126"/>
      <c r="I805" s="126"/>
      <c r="J805" s="126"/>
      <c r="K805" s="126"/>
      <c r="L805" s="126"/>
      <c r="M805" s="126"/>
      <c r="N805" s="129"/>
      <c r="O805" s="125"/>
      <c r="P805" s="129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spans="1:26" ht="14.25" customHeight="1">
      <c r="A806" s="125"/>
      <c r="B806" s="125"/>
      <c r="C806" s="125"/>
      <c r="D806" s="126"/>
      <c r="E806" s="126"/>
      <c r="F806" s="125"/>
      <c r="G806" s="126"/>
      <c r="H806" s="126"/>
      <c r="I806" s="126"/>
      <c r="J806" s="126"/>
      <c r="K806" s="126"/>
      <c r="L806" s="126"/>
      <c r="M806" s="126"/>
      <c r="N806" s="129"/>
      <c r="O806" s="125"/>
      <c r="P806" s="129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spans="1:26" ht="14.25" customHeight="1">
      <c r="A807" s="125"/>
      <c r="B807" s="125"/>
      <c r="C807" s="125"/>
      <c r="D807" s="126"/>
      <c r="E807" s="126"/>
      <c r="F807" s="125"/>
      <c r="G807" s="126"/>
      <c r="H807" s="126"/>
      <c r="I807" s="126"/>
      <c r="J807" s="126"/>
      <c r="K807" s="126"/>
      <c r="L807" s="126"/>
      <c r="M807" s="126"/>
      <c r="N807" s="129"/>
      <c r="O807" s="125"/>
      <c r="P807" s="129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spans="1:26" ht="14.25" customHeight="1">
      <c r="A808" s="125"/>
      <c r="B808" s="125"/>
      <c r="C808" s="125"/>
      <c r="D808" s="126"/>
      <c r="E808" s="126"/>
      <c r="F808" s="125"/>
      <c r="G808" s="126"/>
      <c r="H808" s="126"/>
      <c r="I808" s="126"/>
      <c r="J808" s="126"/>
      <c r="K808" s="126"/>
      <c r="L808" s="126"/>
      <c r="M808" s="126"/>
      <c r="N808" s="129"/>
      <c r="O808" s="125"/>
      <c r="P808" s="129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spans="1:26" ht="14.25" customHeight="1">
      <c r="A809" s="125"/>
      <c r="B809" s="125"/>
      <c r="C809" s="125"/>
      <c r="D809" s="126"/>
      <c r="E809" s="126"/>
      <c r="F809" s="125"/>
      <c r="G809" s="126"/>
      <c r="H809" s="126"/>
      <c r="I809" s="126"/>
      <c r="J809" s="126"/>
      <c r="K809" s="126"/>
      <c r="L809" s="126"/>
      <c r="M809" s="126"/>
      <c r="N809" s="129"/>
      <c r="O809" s="125"/>
      <c r="P809" s="129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spans="1:26" ht="14.25" customHeight="1">
      <c r="A810" s="125"/>
      <c r="B810" s="125"/>
      <c r="C810" s="125"/>
      <c r="D810" s="126"/>
      <c r="E810" s="126"/>
      <c r="F810" s="125"/>
      <c r="G810" s="126"/>
      <c r="H810" s="126"/>
      <c r="I810" s="126"/>
      <c r="J810" s="126"/>
      <c r="K810" s="126"/>
      <c r="L810" s="126"/>
      <c r="M810" s="126"/>
      <c r="N810" s="129"/>
      <c r="O810" s="125"/>
      <c r="P810" s="129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spans="1:26" ht="14.25" customHeight="1">
      <c r="A811" s="125"/>
      <c r="B811" s="125"/>
      <c r="C811" s="125"/>
      <c r="D811" s="126"/>
      <c r="E811" s="126"/>
      <c r="F811" s="125"/>
      <c r="G811" s="126"/>
      <c r="H811" s="126"/>
      <c r="I811" s="126"/>
      <c r="J811" s="126"/>
      <c r="K811" s="126"/>
      <c r="L811" s="126"/>
      <c r="M811" s="126"/>
      <c r="N811" s="129"/>
      <c r="O811" s="125"/>
      <c r="P811" s="129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spans="1:26" ht="14.25" customHeight="1">
      <c r="A812" s="125"/>
      <c r="B812" s="125"/>
      <c r="C812" s="125"/>
      <c r="D812" s="126"/>
      <c r="E812" s="126"/>
      <c r="F812" s="125"/>
      <c r="G812" s="126"/>
      <c r="H812" s="126"/>
      <c r="I812" s="126"/>
      <c r="J812" s="126"/>
      <c r="K812" s="126"/>
      <c r="L812" s="126"/>
      <c r="M812" s="126"/>
      <c r="N812" s="129"/>
      <c r="O812" s="125"/>
      <c r="P812" s="129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spans="1:26" ht="14.25" customHeight="1">
      <c r="A813" s="125"/>
      <c r="B813" s="125"/>
      <c r="C813" s="125"/>
      <c r="D813" s="126"/>
      <c r="E813" s="126"/>
      <c r="F813" s="125"/>
      <c r="G813" s="126"/>
      <c r="H813" s="126"/>
      <c r="I813" s="126"/>
      <c r="J813" s="126"/>
      <c r="K813" s="126"/>
      <c r="L813" s="126"/>
      <c r="M813" s="126"/>
      <c r="N813" s="129"/>
      <c r="O813" s="125"/>
      <c r="P813" s="129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spans="1:26" ht="14.25" customHeight="1">
      <c r="A814" s="125"/>
      <c r="B814" s="125"/>
      <c r="C814" s="125"/>
      <c r="D814" s="126"/>
      <c r="E814" s="126"/>
      <c r="F814" s="125"/>
      <c r="G814" s="126"/>
      <c r="H814" s="126"/>
      <c r="I814" s="126"/>
      <c r="J814" s="126"/>
      <c r="K814" s="126"/>
      <c r="L814" s="126"/>
      <c r="M814" s="126"/>
      <c r="N814" s="129"/>
      <c r="O814" s="125"/>
      <c r="P814" s="129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spans="1:26" ht="14.25" customHeight="1">
      <c r="A815" s="125"/>
      <c r="B815" s="125"/>
      <c r="C815" s="125"/>
      <c r="D815" s="126"/>
      <c r="E815" s="126"/>
      <c r="F815" s="125"/>
      <c r="G815" s="126"/>
      <c r="H815" s="126"/>
      <c r="I815" s="126"/>
      <c r="J815" s="126"/>
      <c r="K815" s="126"/>
      <c r="L815" s="126"/>
      <c r="M815" s="126"/>
      <c r="N815" s="129"/>
      <c r="O815" s="125"/>
      <c r="P815" s="129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spans="1:26" ht="14.25" customHeight="1">
      <c r="A816" s="125"/>
      <c r="B816" s="125"/>
      <c r="C816" s="125"/>
      <c r="D816" s="126"/>
      <c r="E816" s="126"/>
      <c r="F816" s="125"/>
      <c r="G816" s="126"/>
      <c r="H816" s="126"/>
      <c r="I816" s="126"/>
      <c r="J816" s="126"/>
      <c r="K816" s="126"/>
      <c r="L816" s="126"/>
      <c r="M816" s="126"/>
      <c r="N816" s="129"/>
      <c r="O816" s="125"/>
      <c r="P816" s="129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spans="1:26" ht="14.25" customHeight="1">
      <c r="A817" s="125"/>
      <c r="B817" s="125"/>
      <c r="C817" s="125"/>
      <c r="D817" s="126"/>
      <c r="E817" s="126"/>
      <c r="F817" s="125"/>
      <c r="G817" s="126"/>
      <c r="H817" s="126"/>
      <c r="I817" s="126"/>
      <c r="J817" s="126"/>
      <c r="K817" s="126"/>
      <c r="L817" s="126"/>
      <c r="M817" s="126"/>
      <c r="N817" s="129"/>
      <c r="O817" s="125"/>
      <c r="P817" s="129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spans="1:26" ht="14.25" customHeight="1">
      <c r="A818" s="125"/>
      <c r="B818" s="125"/>
      <c r="C818" s="125"/>
      <c r="D818" s="126"/>
      <c r="E818" s="126"/>
      <c r="F818" s="125"/>
      <c r="G818" s="126"/>
      <c r="H818" s="126"/>
      <c r="I818" s="126"/>
      <c r="J818" s="126"/>
      <c r="K818" s="126"/>
      <c r="L818" s="126"/>
      <c r="M818" s="126"/>
      <c r="N818" s="129"/>
      <c r="O818" s="125"/>
      <c r="P818" s="129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spans="1:26" ht="14.25" customHeight="1">
      <c r="A819" s="125"/>
      <c r="B819" s="125"/>
      <c r="C819" s="125"/>
      <c r="D819" s="126"/>
      <c r="E819" s="126"/>
      <c r="F819" s="125"/>
      <c r="G819" s="126"/>
      <c r="H819" s="126"/>
      <c r="I819" s="126"/>
      <c r="J819" s="126"/>
      <c r="K819" s="126"/>
      <c r="L819" s="126"/>
      <c r="M819" s="126"/>
      <c r="N819" s="129"/>
      <c r="O819" s="125"/>
      <c r="P819" s="129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spans="1:26" ht="14.25" customHeight="1">
      <c r="A820" s="125"/>
      <c r="B820" s="125"/>
      <c r="C820" s="125"/>
      <c r="D820" s="126"/>
      <c r="E820" s="126"/>
      <c r="F820" s="125"/>
      <c r="G820" s="126"/>
      <c r="H820" s="126"/>
      <c r="I820" s="126"/>
      <c r="J820" s="126"/>
      <c r="K820" s="126"/>
      <c r="L820" s="126"/>
      <c r="M820" s="126"/>
      <c r="N820" s="129"/>
      <c r="O820" s="125"/>
      <c r="P820" s="129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spans="1:26" ht="14.25" customHeight="1">
      <c r="A821" s="125"/>
      <c r="B821" s="125"/>
      <c r="C821" s="125"/>
      <c r="D821" s="126"/>
      <c r="E821" s="126"/>
      <c r="F821" s="125"/>
      <c r="G821" s="126"/>
      <c r="H821" s="126"/>
      <c r="I821" s="126"/>
      <c r="J821" s="126"/>
      <c r="K821" s="126"/>
      <c r="L821" s="126"/>
      <c r="M821" s="126"/>
      <c r="N821" s="129"/>
      <c r="O821" s="125"/>
      <c r="P821" s="129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spans="1:26" ht="14.25" customHeight="1">
      <c r="A822" s="125"/>
      <c r="B822" s="125"/>
      <c r="C822" s="125"/>
      <c r="D822" s="126"/>
      <c r="E822" s="126"/>
      <c r="F822" s="125"/>
      <c r="G822" s="126"/>
      <c r="H822" s="126"/>
      <c r="I822" s="126"/>
      <c r="J822" s="126"/>
      <c r="K822" s="126"/>
      <c r="L822" s="126"/>
      <c r="M822" s="126"/>
      <c r="N822" s="129"/>
      <c r="O822" s="125"/>
      <c r="P822" s="129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spans="1:26" ht="14.25" customHeight="1">
      <c r="A823" s="125"/>
      <c r="B823" s="125"/>
      <c r="C823" s="125"/>
      <c r="D823" s="126"/>
      <c r="E823" s="126"/>
      <c r="F823" s="125"/>
      <c r="G823" s="126"/>
      <c r="H823" s="126"/>
      <c r="I823" s="126"/>
      <c r="J823" s="126"/>
      <c r="K823" s="126"/>
      <c r="L823" s="126"/>
      <c r="M823" s="126"/>
      <c r="N823" s="129"/>
      <c r="O823" s="125"/>
      <c r="P823" s="129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spans="1:26" ht="14.25" customHeight="1">
      <c r="A824" s="125"/>
      <c r="B824" s="125"/>
      <c r="C824" s="125"/>
      <c r="D824" s="126"/>
      <c r="E824" s="126"/>
      <c r="F824" s="125"/>
      <c r="G824" s="126"/>
      <c r="H824" s="126"/>
      <c r="I824" s="126"/>
      <c r="J824" s="126"/>
      <c r="K824" s="126"/>
      <c r="L824" s="126"/>
      <c r="M824" s="126"/>
      <c r="N824" s="129"/>
      <c r="O824" s="125"/>
      <c r="P824" s="129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spans="1:26" ht="14.25" customHeight="1">
      <c r="A825" s="125"/>
      <c r="B825" s="125"/>
      <c r="C825" s="125"/>
      <c r="D825" s="126"/>
      <c r="E825" s="126"/>
      <c r="F825" s="125"/>
      <c r="G825" s="126"/>
      <c r="H825" s="126"/>
      <c r="I825" s="126"/>
      <c r="J825" s="126"/>
      <c r="K825" s="126"/>
      <c r="L825" s="126"/>
      <c r="M825" s="126"/>
      <c r="N825" s="129"/>
      <c r="O825" s="125"/>
      <c r="P825" s="129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spans="1:26" ht="14.25" customHeight="1">
      <c r="A826" s="125"/>
      <c r="B826" s="125"/>
      <c r="C826" s="125"/>
      <c r="D826" s="126"/>
      <c r="E826" s="126"/>
      <c r="F826" s="125"/>
      <c r="G826" s="126"/>
      <c r="H826" s="126"/>
      <c r="I826" s="126"/>
      <c r="J826" s="126"/>
      <c r="K826" s="126"/>
      <c r="L826" s="126"/>
      <c r="M826" s="126"/>
      <c r="N826" s="129"/>
      <c r="O826" s="125"/>
      <c r="P826" s="129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spans="1:26" ht="14.25" customHeight="1">
      <c r="A827" s="125"/>
      <c r="B827" s="125"/>
      <c r="C827" s="125"/>
      <c r="D827" s="126"/>
      <c r="E827" s="126"/>
      <c r="F827" s="125"/>
      <c r="G827" s="126"/>
      <c r="H827" s="126"/>
      <c r="I827" s="126"/>
      <c r="J827" s="126"/>
      <c r="K827" s="126"/>
      <c r="L827" s="126"/>
      <c r="M827" s="126"/>
      <c r="N827" s="129"/>
      <c r="O827" s="125"/>
      <c r="P827" s="129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spans="1:26" ht="14.25" customHeight="1">
      <c r="A828" s="125"/>
      <c r="B828" s="125"/>
      <c r="C828" s="125"/>
      <c r="D828" s="126"/>
      <c r="E828" s="126"/>
      <c r="F828" s="125"/>
      <c r="G828" s="126"/>
      <c r="H828" s="126"/>
      <c r="I828" s="126"/>
      <c r="J828" s="126"/>
      <c r="K828" s="126"/>
      <c r="L828" s="126"/>
      <c r="M828" s="126"/>
      <c r="N828" s="129"/>
      <c r="O828" s="125"/>
      <c r="P828" s="129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spans="1:26" ht="14.25" customHeight="1">
      <c r="A829" s="125"/>
      <c r="B829" s="125"/>
      <c r="C829" s="125"/>
      <c r="D829" s="126"/>
      <c r="E829" s="126"/>
      <c r="F829" s="125"/>
      <c r="G829" s="126"/>
      <c r="H829" s="126"/>
      <c r="I829" s="126"/>
      <c r="J829" s="126"/>
      <c r="K829" s="126"/>
      <c r="L829" s="126"/>
      <c r="M829" s="126"/>
      <c r="N829" s="129"/>
      <c r="O829" s="125"/>
      <c r="P829" s="129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spans="1:26" ht="14.25" customHeight="1">
      <c r="A830" s="125"/>
      <c r="B830" s="125"/>
      <c r="C830" s="125"/>
      <c r="D830" s="126"/>
      <c r="E830" s="126"/>
      <c r="F830" s="125"/>
      <c r="G830" s="126"/>
      <c r="H830" s="126"/>
      <c r="I830" s="126"/>
      <c r="J830" s="126"/>
      <c r="K830" s="126"/>
      <c r="L830" s="126"/>
      <c r="M830" s="126"/>
      <c r="N830" s="129"/>
      <c r="O830" s="125"/>
      <c r="P830" s="129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spans="1:26" ht="14.25" customHeight="1">
      <c r="A831" s="125"/>
      <c r="B831" s="125"/>
      <c r="C831" s="125"/>
      <c r="D831" s="126"/>
      <c r="E831" s="126"/>
      <c r="F831" s="125"/>
      <c r="G831" s="126"/>
      <c r="H831" s="126"/>
      <c r="I831" s="126"/>
      <c r="J831" s="126"/>
      <c r="K831" s="126"/>
      <c r="L831" s="126"/>
      <c r="M831" s="126"/>
      <c r="N831" s="129"/>
      <c r="O831" s="125"/>
      <c r="P831" s="129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spans="1:26" ht="14.25" customHeight="1">
      <c r="A832" s="125"/>
      <c r="B832" s="125"/>
      <c r="C832" s="125"/>
      <c r="D832" s="126"/>
      <c r="E832" s="126"/>
      <c r="F832" s="125"/>
      <c r="G832" s="126"/>
      <c r="H832" s="126"/>
      <c r="I832" s="126"/>
      <c r="J832" s="126"/>
      <c r="K832" s="126"/>
      <c r="L832" s="126"/>
      <c r="M832" s="126"/>
      <c r="N832" s="129"/>
      <c r="O832" s="125"/>
      <c r="P832" s="129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spans="1:26" ht="14.25" customHeight="1">
      <c r="A833" s="125"/>
      <c r="B833" s="125"/>
      <c r="C833" s="125"/>
      <c r="D833" s="126"/>
      <c r="E833" s="126"/>
      <c r="F833" s="125"/>
      <c r="G833" s="126"/>
      <c r="H833" s="126"/>
      <c r="I833" s="126"/>
      <c r="J833" s="126"/>
      <c r="K833" s="126"/>
      <c r="L833" s="126"/>
      <c r="M833" s="126"/>
      <c r="N833" s="129"/>
      <c r="O833" s="125"/>
      <c r="P833" s="129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spans="1:26" ht="14.25" customHeight="1">
      <c r="A834" s="125"/>
      <c r="B834" s="125"/>
      <c r="C834" s="125"/>
      <c r="D834" s="126"/>
      <c r="E834" s="126"/>
      <c r="F834" s="125"/>
      <c r="G834" s="126"/>
      <c r="H834" s="126"/>
      <c r="I834" s="126"/>
      <c r="J834" s="126"/>
      <c r="K834" s="126"/>
      <c r="L834" s="126"/>
      <c r="M834" s="126"/>
      <c r="N834" s="129"/>
      <c r="O834" s="125"/>
      <c r="P834" s="129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spans="1:26" ht="14.25" customHeight="1">
      <c r="A835" s="125"/>
      <c r="B835" s="125"/>
      <c r="C835" s="125"/>
      <c r="D835" s="126"/>
      <c r="E835" s="126"/>
      <c r="F835" s="125"/>
      <c r="G835" s="126"/>
      <c r="H835" s="126"/>
      <c r="I835" s="126"/>
      <c r="J835" s="126"/>
      <c r="K835" s="126"/>
      <c r="L835" s="126"/>
      <c r="M835" s="126"/>
      <c r="N835" s="129"/>
      <c r="O835" s="125"/>
      <c r="P835" s="129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spans="1:26" ht="14.25" customHeight="1">
      <c r="A836" s="125"/>
      <c r="B836" s="125"/>
      <c r="C836" s="125"/>
      <c r="D836" s="126"/>
      <c r="E836" s="126"/>
      <c r="F836" s="125"/>
      <c r="G836" s="126"/>
      <c r="H836" s="126"/>
      <c r="I836" s="126"/>
      <c r="J836" s="126"/>
      <c r="K836" s="126"/>
      <c r="L836" s="126"/>
      <c r="M836" s="126"/>
      <c r="N836" s="129"/>
      <c r="O836" s="125"/>
      <c r="P836" s="129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spans="1:26" ht="14.25" customHeight="1">
      <c r="A837" s="125"/>
      <c r="B837" s="125"/>
      <c r="C837" s="125"/>
      <c r="D837" s="126"/>
      <c r="E837" s="126"/>
      <c r="F837" s="125"/>
      <c r="G837" s="126"/>
      <c r="H837" s="126"/>
      <c r="I837" s="126"/>
      <c r="J837" s="126"/>
      <c r="K837" s="126"/>
      <c r="L837" s="126"/>
      <c r="M837" s="126"/>
      <c r="N837" s="129"/>
      <c r="O837" s="125"/>
      <c r="P837" s="129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spans="1:26" ht="14.25" customHeight="1">
      <c r="A838" s="125"/>
      <c r="B838" s="125"/>
      <c r="C838" s="125"/>
      <c r="D838" s="126"/>
      <c r="E838" s="126"/>
      <c r="F838" s="125"/>
      <c r="G838" s="126"/>
      <c r="H838" s="126"/>
      <c r="I838" s="126"/>
      <c r="J838" s="126"/>
      <c r="K838" s="126"/>
      <c r="L838" s="126"/>
      <c r="M838" s="126"/>
      <c r="N838" s="129"/>
      <c r="O838" s="125"/>
      <c r="P838" s="129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spans="1:26" ht="14.25" customHeight="1">
      <c r="A839" s="125"/>
      <c r="B839" s="125"/>
      <c r="C839" s="125"/>
      <c r="D839" s="126"/>
      <c r="E839" s="126"/>
      <c r="F839" s="125"/>
      <c r="G839" s="126"/>
      <c r="H839" s="126"/>
      <c r="I839" s="126"/>
      <c r="J839" s="126"/>
      <c r="K839" s="126"/>
      <c r="L839" s="126"/>
      <c r="M839" s="126"/>
      <c r="N839" s="129"/>
      <c r="O839" s="125"/>
      <c r="P839" s="129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spans="1:26" ht="14.25" customHeight="1">
      <c r="A840" s="125"/>
      <c r="B840" s="125"/>
      <c r="C840" s="125"/>
      <c r="D840" s="126"/>
      <c r="E840" s="126"/>
      <c r="F840" s="125"/>
      <c r="G840" s="126"/>
      <c r="H840" s="126"/>
      <c r="I840" s="126"/>
      <c r="J840" s="126"/>
      <c r="K840" s="126"/>
      <c r="L840" s="126"/>
      <c r="M840" s="126"/>
      <c r="N840" s="129"/>
      <c r="O840" s="125"/>
      <c r="P840" s="129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spans="1:26" ht="14.25" customHeight="1">
      <c r="A841" s="125"/>
      <c r="B841" s="125"/>
      <c r="C841" s="125"/>
      <c r="D841" s="126"/>
      <c r="E841" s="126"/>
      <c r="F841" s="125"/>
      <c r="G841" s="126"/>
      <c r="H841" s="126"/>
      <c r="I841" s="126"/>
      <c r="J841" s="126"/>
      <c r="K841" s="126"/>
      <c r="L841" s="126"/>
      <c r="M841" s="126"/>
      <c r="N841" s="129"/>
      <c r="O841" s="125"/>
      <c r="P841" s="129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spans="1:26" ht="14.25" customHeight="1">
      <c r="A842" s="125"/>
      <c r="B842" s="125"/>
      <c r="C842" s="125"/>
      <c r="D842" s="126"/>
      <c r="E842" s="126"/>
      <c r="F842" s="125"/>
      <c r="G842" s="126"/>
      <c r="H842" s="126"/>
      <c r="I842" s="126"/>
      <c r="J842" s="126"/>
      <c r="K842" s="126"/>
      <c r="L842" s="126"/>
      <c r="M842" s="126"/>
      <c r="N842" s="129"/>
      <c r="O842" s="125"/>
      <c r="P842" s="129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spans="1:26" ht="14.25" customHeight="1">
      <c r="A843" s="125"/>
      <c r="B843" s="125"/>
      <c r="C843" s="125"/>
      <c r="D843" s="126"/>
      <c r="E843" s="126"/>
      <c r="F843" s="125"/>
      <c r="G843" s="126"/>
      <c r="H843" s="126"/>
      <c r="I843" s="126"/>
      <c r="J843" s="126"/>
      <c r="K843" s="126"/>
      <c r="L843" s="126"/>
      <c r="M843" s="126"/>
      <c r="N843" s="129"/>
      <c r="O843" s="125"/>
      <c r="P843" s="129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spans="1:26" ht="14.25" customHeight="1">
      <c r="A844" s="125"/>
      <c r="B844" s="125"/>
      <c r="C844" s="125"/>
      <c r="D844" s="126"/>
      <c r="E844" s="126"/>
      <c r="F844" s="125"/>
      <c r="G844" s="126"/>
      <c r="H844" s="126"/>
      <c r="I844" s="126"/>
      <c r="J844" s="126"/>
      <c r="K844" s="126"/>
      <c r="L844" s="126"/>
      <c r="M844" s="126"/>
      <c r="N844" s="129"/>
      <c r="O844" s="125"/>
      <c r="P844" s="129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spans="1:26" ht="14.25" customHeight="1">
      <c r="A845" s="125"/>
      <c r="B845" s="125"/>
      <c r="C845" s="125"/>
      <c r="D845" s="126"/>
      <c r="E845" s="126"/>
      <c r="F845" s="125"/>
      <c r="G845" s="126"/>
      <c r="H845" s="126"/>
      <c r="I845" s="126"/>
      <c r="J845" s="126"/>
      <c r="K845" s="126"/>
      <c r="L845" s="126"/>
      <c r="M845" s="126"/>
      <c r="N845" s="129"/>
      <c r="O845" s="125"/>
      <c r="P845" s="129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spans="1:26" ht="14.25" customHeight="1">
      <c r="A846" s="125"/>
      <c r="B846" s="125"/>
      <c r="C846" s="125"/>
      <c r="D846" s="126"/>
      <c r="E846" s="126"/>
      <c r="F846" s="125"/>
      <c r="G846" s="126"/>
      <c r="H846" s="126"/>
      <c r="I846" s="126"/>
      <c r="J846" s="126"/>
      <c r="K846" s="126"/>
      <c r="L846" s="126"/>
      <c r="M846" s="126"/>
      <c r="N846" s="129"/>
      <c r="O846" s="125"/>
      <c r="P846" s="129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spans="1:26" ht="14.25" customHeight="1">
      <c r="A847" s="125"/>
      <c r="B847" s="125"/>
      <c r="C847" s="125"/>
      <c r="D847" s="126"/>
      <c r="E847" s="126"/>
      <c r="F847" s="125"/>
      <c r="G847" s="126"/>
      <c r="H847" s="126"/>
      <c r="I847" s="126"/>
      <c r="J847" s="126"/>
      <c r="K847" s="126"/>
      <c r="L847" s="126"/>
      <c r="M847" s="126"/>
      <c r="N847" s="129"/>
      <c r="O847" s="125"/>
      <c r="P847" s="129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spans="1:26" ht="14.25" customHeight="1">
      <c r="A848" s="125"/>
      <c r="B848" s="125"/>
      <c r="C848" s="125"/>
      <c r="D848" s="126"/>
      <c r="E848" s="126"/>
      <c r="F848" s="125"/>
      <c r="G848" s="126"/>
      <c r="H848" s="126"/>
      <c r="I848" s="126"/>
      <c r="J848" s="126"/>
      <c r="K848" s="126"/>
      <c r="L848" s="126"/>
      <c r="M848" s="126"/>
      <c r="N848" s="129"/>
      <c r="O848" s="125"/>
      <c r="P848" s="129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spans="1:26" ht="14.25" customHeight="1">
      <c r="A849" s="125"/>
      <c r="B849" s="125"/>
      <c r="C849" s="125"/>
      <c r="D849" s="126"/>
      <c r="E849" s="126"/>
      <c r="F849" s="125"/>
      <c r="G849" s="126"/>
      <c r="H849" s="126"/>
      <c r="I849" s="126"/>
      <c r="J849" s="126"/>
      <c r="K849" s="126"/>
      <c r="L849" s="126"/>
      <c r="M849" s="126"/>
      <c r="N849" s="129"/>
      <c r="O849" s="125"/>
      <c r="P849" s="129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spans="1:26" ht="14.25" customHeight="1">
      <c r="A850" s="125"/>
      <c r="B850" s="125"/>
      <c r="C850" s="125"/>
      <c r="D850" s="126"/>
      <c r="E850" s="126"/>
      <c r="F850" s="125"/>
      <c r="G850" s="126"/>
      <c r="H850" s="126"/>
      <c r="I850" s="126"/>
      <c r="J850" s="126"/>
      <c r="K850" s="126"/>
      <c r="L850" s="126"/>
      <c r="M850" s="126"/>
      <c r="N850" s="129"/>
      <c r="O850" s="125"/>
      <c r="P850" s="129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spans="1:26" ht="14.25" customHeight="1">
      <c r="A851" s="125"/>
      <c r="B851" s="125"/>
      <c r="C851" s="125"/>
      <c r="D851" s="126"/>
      <c r="E851" s="126"/>
      <c r="F851" s="125"/>
      <c r="G851" s="126"/>
      <c r="H851" s="126"/>
      <c r="I851" s="126"/>
      <c r="J851" s="126"/>
      <c r="K851" s="126"/>
      <c r="L851" s="126"/>
      <c r="M851" s="126"/>
      <c r="N851" s="129"/>
      <c r="O851" s="125"/>
      <c r="P851" s="129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spans="1:26" ht="14.25" customHeight="1">
      <c r="A852" s="125"/>
      <c r="B852" s="125"/>
      <c r="C852" s="125"/>
      <c r="D852" s="126"/>
      <c r="E852" s="126"/>
      <c r="F852" s="125"/>
      <c r="G852" s="126"/>
      <c r="H852" s="126"/>
      <c r="I852" s="126"/>
      <c r="J852" s="126"/>
      <c r="K852" s="126"/>
      <c r="L852" s="126"/>
      <c r="M852" s="126"/>
      <c r="N852" s="129"/>
      <c r="O852" s="125"/>
      <c r="P852" s="129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spans="1:26" ht="14.25" customHeight="1">
      <c r="A853" s="125"/>
      <c r="B853" s="125"/>
      <c r="C853" s="125"/>
      <c r="D853" s="126"/>
      <c r="E853" s="126"/>
      <c r="F853" s="125"/>
      <c r="G853" s="126"/>
      <c r="H853" s="126"/>
      <c r="I853" s="126"/>
      <c r="J853" s="126"/>
      <c r="K853" s="126"/>
      <c r="L853" s="126"/>
      <c r="M853" s="126"/>
      <c r="N853" s="129"/>
      <c r="O853" s="125"/>
      <c r="P853" s="129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spans="1:26" ht="14.25" customHeight="1">
      <c r="A854" s="125"/>
      <c r="B854" s="125"/>
      <c r="C854" s="125"/>
      <c r="D854" s="126"/>
      <c r="E854" s="126"/>
      <c r="F854" s="125"/>
      <c r="G854" s="126"/>
      <c r="H854" s="126"/>
      <c r="I854" s="126"/>
      <c r="J854" s="126"/>
      <c r="K854" s="126"/>
      <c r="L854" s="126"/>
      <c r="M854" s="126"/>
      <c r="N854" s="129"/>
      <c r="O854" s="125"/>
      <c r="P854" s="129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spans="1:26" ht="14.25" customHeight="1">
      <c r="A855" s="125"/>
      <c r="B855" s="125"/>
      <c r="C855" s="125"/>
      <c r="D855" s="126"/>
      <c r="E855" s="126"/>
      <c r="F855" s="125"/>
      <c r="G855" s="126"/>
      <c r="H855" s="126"/>
      <c r="I855" s="126"/>
      <c r="J855" s="126"/>
      <c r="K855" s="126"/>
      <c r="L855" s="126"/>
      <c r="M855" s="126"/>
      <c r="N855" s="129"/>
      <c r="O855" s="125"/>
      <c r="P855" s="129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spans="1:26" ht="14.25" customHeight="1">
      <c r="A856" s="125"/>
      <c r="B856" s="125"/>
      <c r="C856" s="125"/>
      <c r="D856" s="126"/>
      <c r="E856" s="126"/>
      <c r="F856" s="125"/>
      <c r="G856" s="126"/>
      <c r="H856" s="126"/>
      <c r="I856" s="126"/>
      <c r="J856" s="126"/>
      <c r="K856" s="126"/>
      <c r="L856" s="126"/>
      <c r="M856" s="126"/>
      <c r="N856" s="129"/>
      <c r="O856" s="125"/>
      <c r="P856" s="129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spans="1:26" ht="14.25" customHeight="1">
      <c r="A857" s="125"/>
      <c r="B857" s="125"/>
      <c r="C857" s="125"/>
      <c r="D857" s="126"/>
      <c r="E857" s="126"/>
      <c r="F857" s="125"/>
      <c r="G857" s="126"/>
      <c r="H857" s="126"/>
      <c r="I857" s="126"/>
      <c r="J857" s="126"/>
      <c r="K857" s="126"/>
      <c r="L857" s="126"/>
      <c r="M857" s="126"/>
      <c r="N857" s="129"/>
      <c r="O857" s="125"/>
      <c r="P857" s="129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spans="1:26" ht="14.25" customHeight="1">
      <c r="A858" s="125"/>
      <c r="B858" s="125"/>
      <c r="C858" s="125"/>
      <c r="D858" s="126"/>
      <c r="E858" s="126"/>
      <c r="F858" s="125"/>
      <c r="G858" s="126"/>
      <c r="H858" s="126"/>
      <c r="I858" s="126"/>
      <c r="J858" s="126"/>
      <c r="K858" s="126"/>
      <c r="L858" s="126"/>
      <c r="M858" s="126"/>
      <c r="N858" s="129"/>
      <c r="O858" s="125"/>
      <c r="P858" s="129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spans="1:26" ht="14.25" customHeight="1">
      <c r="A859" s="125"/>
      <c r="B859" s="125"/>
      <c r="C859" s="125"/>
      <c r="D859" s="126"/>
      <c r="E859" s="126"/>
      <c r="F859" s="125"/>
      <c r="G859" s="126"/>
      <c r="H859" s="126"/>
      <c r="I859" s="126"/>
      <c r="J859" s="126"/>
      <c r="K859" s="126"/>
      <c r="L859" s="126"/>
      <c r="M859" s="126"/>
      <c r="N859" s="129"/>
      <c r="O859" s="125"/>
      <c r="P859" s="129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spans="1:26" ht="14.25" customHeight="1">
      <c r="A860" s="125"/>
      <c r="B860" s="125"/>
      <c r="C860" s="125"/>
      <c r="D860" s="126"/>
      <c r="E860" s="126"/>
      <c r="F860" s="125"/>
      <c r="G860" s="126"/>
      <c r="H860" s="126"/>
      <c r="I860" s="126"/>
      <c r="J860" s="126"/>
      <c r="K860" s="126"/>
      <c r="L860" s="126"/>
      <c r="M860" s="126"/>
      <c r="N860" s="129"/>
      <c r="O860" s="125"/>
      <c r="P860" s="129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spans="1:26" ht="14.25" customHeight="1">
      <c r="A861" s="125"/>
      <c r="B861" s="125"/>
      <c r="C861" s="125"/>
      <c r="D861" s="126"/>
      <c r="E861" s="126"/>
      <c r="F861" s="125"/>
      <c r="G861" s="126"/>
      <c r="H861" s="126"/>
      <c r="I861" s="126"/>
      <c r="J861" s="126"/>
      <c r="K861" s="126"/>
      <c r="L861" s="126"/>
      <c r="M861" s="126"/>
      <c r="N861" s="129"/>
      <c r="O861" s="125"/>
      <c r="P861" s="129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spans="1:26" ht="14.25" customHeight="1">
      <c r="A862" s="125"/>
      <c r="B862" s="125"/>
      <c r="C862" s="125"/>
      <c r="D862" s="126"/>
      <c r="E862" s="126"/>
      <c r="F862" s="125"/>
      <c r="G862" s="126"/>
      <c r="H862" s="126"/>
      <c r="I862" s="126"/>
      <c r="J862" s="126"/>
      <c r="K862" s="126"/>
      <c r="L862" s="126"/>
      <c r="M862" s="126"/>
      <c r="N862" s="129"/>
      <c r="O862" s="125"/>
      <c r="P862" s="129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spans="1:26" ht="14.25" customHeight="1">
      <c r="A863" s="125"/>
      <c r="B863" s="125"/>
      <c r="C863" s="125"/>
      <c r="D863" s="126"/>
      <c r="E863" s="126"/>
      <c r="F863" s="125"/>
      <c r="G863" s="126"/>
      <c r="H863" s="126"/>
      <c r="I863" s="126"/>
      <c r="J863" s="126"/>
      <c r="K863" s="126"/>
      <c r="L863" s="126"/>
      <c r="M863" s="126"/>
      <c r="N863" s="129"/>
      <c r="O863" s="125"/>
      <c r="P863" s="129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spans="1:26" ht="14.25" customHeight="1">
      <c r="A864" s="125"/>
      <c r="B864" s="125"/>
      <c r="C864" s="125"/>
      <c r="D864" s="126"/>
      <c r="E864" s="126"/>
      <c r="F864" s="125"/>
      <c r="G864" s="126"/>
      <c r="H864" s="126"/>
      <c r="I864" s="126"/>
      <c r="J864" s="126"/>
      <c r="K864" s="126"/>
      <c r="L864" s="126"/>
      <c r="M864" s="126"/>
      <c r="N864" s="129"/>
      <c r="O864" s="125"/>
      <c r="P864" s="129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spans="1:26" ht="14.25" customHeight="1">
      <c r="A865" s="125"/>
      <c r="B865" s="125"/>
      <c r="C865" s="125"/>
      <c r="D865" s="126"/>
      <c r="E865" s="126"/>
      <c r="F865" s="125"/>
      <c r="G865" s="126"/>
      <c r="H865" s="126"/>
      <c r="I865" s="126"/>
      <c r="J865" s="126"/>
      <c r="K865" s="126"/>
      <c r="L865" s="126"/>
      <c r="M865" s="126"/>
      <c r="N865" s="129"/>
      <c r="O865" s="125"/>
      <c r="P865" s="129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spans="1:26" ht="14.25" customHeight="1">
      <c r="A866" s="125"/>
      <c r="B866" s="125"/>
      <c r="C866" s="125"/>
      <c r="D866" s="126"/>
      <c r="E866" s="126"/>
      <c r="F866" s="125"/>
      <c r="G866" s="126"/>
      <c r="H866" s="126"/>
      <c r="I866" s="126"/>
      <c r="J866" s="126"/>
      <c r="K866" s="126"/>
      <c r="L866" s="126"/>
      <c r="M866" s="126"/>
      <c r="N866" s="129"/>
      <c r="O866" s="125"/>
      <c r="P866" s="129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spans="1:26" ht="14.25" customHeight="1">
      <c r="A867" s="125"/>
      <c r="B867" s="125"/>
      <c r="C867" s="125"/>
      <c r="D867" s="126"/>
      <c r="E867" s="126"/>
      <c r="F867" s="125"/>
      <c r="G867" s="126"/>
      <c r="H867" s="126"/>
      <c r="I867" s="126"/>
      <c r="J867" s="126"/>
      <c r="K867" s="126"/>
      <c r="L867" s="126"/>
      <c r="M867" s="126"/>
      <c r="N867" s="129"/>
      <c r="O867" s="125"/>
      <c r="P867" s="129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spans="1:26" ht="14.25" customHeight="1">
      <c r="A868" s="125"/>
      <c r="B868" s="125"/>
      <c r="C868" s="125"/>
      <c r="D868" s="126"/>
      <c r="E868" s="126"/>
      <c r="F868" s="125"/>
      <c r="G868" s="126"/>
      <c r="H868" s="126"/>
      <c r="I868" s="126"/>
      <c r="J868" s="126"/>
      <c r="K868" s="126"/>
      <c r="L868" s="126"/>
      <c r="M868" s="126"/>
      <c r="N868" s="129"/>
      <c r="O868" s="125"/>
      <c r="P868" s="129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spans="1:26" ht="14.25" customHeight="1">
      <c r="A869" s="125"/>
      <c r="B869" s="125"/>
      <c r="C869" s="125"/>
      <c r="D869" s="126"/>
      <c r="E869" s="126"/>
      <c r="F869" s="125"/>
      <c r="G869" s="126"/>
      <c r="H869" s="126"/>
      <c r="I869" s="126"/>
      <c r="J869" s="126"/>
      <c r="K869" s="126"/>
      <c r="L869" s="126"/>
      <c r="M869" s="126"/>
      <c r="N869" s="129"/>
      <c r="O869" s="125"/>
      <c r="P869" s="129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spans="1:26" ht="14.25" customHeight="1">
      <c r="A870" s="125"/>
      <c r="B870" s="125"/>
      <c r="C870" s="125"/>
      <c r="D870" s="126"/>
      <c r="E870" s="126"/>
      <c r="F870" s="125"/>
      <c r="G870" s="126"/>
      <c r="H870" s="126"/>
      <c r="I870" s="126"/>
      <c r="J870" s="126"/>
      <c r="K870" s="126"/>
      <c r="L870" s="126"/>
      <c r="M870" s="126"/>
      <c r="N870" s="129"/>
      <c r="O870" s="125"/>
      <c r="P870" s="129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spans="1:26" ht="14.25" customHeight="1">
      <c r="A871" s="125"/>
      <c r="B871" s="125"/>
      <c r="C871" s="125"/>
      <c r="D871" s="126"/>
      <c r="E871" s="126"/>
      <c r="F871" s="125"/>
      <c r="G871" s="126"/>
      <c r="H871" s="126"/>
      <c r="I871" s="126"/>
      <c r="J871" s="126"/>
      <c r="K871" s="126"/>
      <c r="L871" s="126"/>
      <c r="M871" s="126"/>
      <c r="N871" s="129"/>
      <c r="O871" s="125"/>
      <c r="P871" s="129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spans="1:26" ht="14.25" customHeight="1">
      <c r="A872" s="125"/>
      <c r="B872" s="125"/>
      <c r="C872" s="125"/>
      <c r="D872" s="126"/>
      <c r="E872" s="126"/>
      <c r="F872" s="125"/>
      <c r="G872" s="126"/>
      <c r="H872" s="126"/>
      <c r="I872" s="126"/>
      <c r="J872" s="126"/>
      <c r="K872" s="126"/>
      <c r="L872" s="126"/>
      <c r="M872" s="126"/>
      <c r="N872" s="129"/>
      <c r="O872" s="125"/>
      <c r="P872" s="129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spans="1:26" ht="14.25" customHeight="1">
      <c r="A873" s="125"/>
      <c r="B873" s="125"/>
      <c r="C873" s="125"/>
      <c r="D873" s="126"/>
      <c r="E873" s="126"/>
      <c r="F873" s="125"/>
      <c r="G873" s="126"/>
      <c r="H873" s="126"/>
      <c r="I873" s="126"/>
      <c r="J873" s="126"/>
      <c r="K873" s="126"/>
      <c r="L873" s="126"/>
      <c r="M873" s="126"/>
      <c r="N873" s="129"/>
      <c r="O873" s="125"/>
      <c r="P873" s="129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spans="1:26" ht="14.25" customHeight="1">
      <c r="A874" s="125"/>
      <c r="B874" s="125"/>
      <c r="C874" s="125"/>
      <c r="D874" s="126"/>
      <c r="E874" s="126"/>
      <c r="F874" s="125"/>
      <c r="G874" s="126"/>
      <c r="H874" s="126"/>
      <c r="I874" s="126"/>
      <c r="J874" s="126"/>
      <c r="K874" s="126"/>
      <c r="L874" s="126"/>
      <c r="M874" s="126"/>
      <c r="N874" s="129"/>
      <c r="O874" s="125"/>
      <c r="P874" s="129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spans="1:26" ht="14.25" customHeight="1">
      <c r="A875" s="125"/>
      <c r="B875" s="125"/>
      <c r="C875" s="125"/>
      <c r="D875" s="126"/>
      <c r="E875" s="126"/>
      <c r="F875" s="125"/>
      <c r="G875" s="126"/>
      <c r="H875" s="126"/>
      <c r="I875" s="126"/>
      <c r="J875" s="126"/>
      <c r="K875" s="126"/>
      <c r="L875" s="126"/>
      <c r="M875" s="126"/>
      <c r="N875" s="129"/>
      <c r="O875" s="125"/>
      <c r="P875" s="129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spans="1:26" ht="14.25" customHeight="1">
      <c r="A876" s="125"/>
      <c r="B876" s="125"/>
      <c r="C876" s="125"/>
      <c r="D876" s="126"/>
      <c r="E876" s="126"/>
      <c r="F876" s="125"/>
      <c r="G876" s="126"/>
      <c r="H876" s="126"/>
      <c r="I876" s="126"/>
      <c r="J876" s="126"/>
      <c r="K876" s="126"/>
      <c r="L876" s="126"/>
      <c r="M876" s="126"/>
      <c r="N876" s="129"/>
      <c r="O876" s="125"/>
      <c r="P876" s="129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spans="1:26" ht="14.25" customHeight="1">
      <c r="A877" s="125"/>
      <c r="B877" s="125"/>
      <c r="C877" s="125"/>
      <c r="D877" s="126"/>
      <c r="E877" s="126"/>
      <c r="F877" s="125"/>
      <c r="G877" s="126"/>
      <c r="H877" s="126"/>
      <c r="I877" s="126"/>
      <c r="J877" s="126"/>
      <c r="K877" s="126"/>
      <c r="L877" s="126"/>
      <c r="M877" s="126"/>
      <c r="N877" s="129"/>
      <c r="O877" s="125"/>
      <c r="P877" s="129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spans="1:26" ht="14.25" customHeight="1">
      <c r="A878" s="125"/>
      <c r="B878" s="125"/>
      <c r="C878" s="125"/>
      <c r="D878" s="126"/>
      <c r="E878" s="126"/>
      <c r="F878" s="125"/>
      <c r="G878" s="126"/>
      <c r="H878" s="126"/>
      <c r="I878" s="126"/>
      <c r="J878" s="126"/>
      <c r="K878" s="126"/>
      <c r="L878" s="126"/>
      <c r="M878" s="126"/>
      <c r="N878" s="129"/>
      <c r="O878" s="125"/>
      <c r="P878" s="129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spans="1:26" ht="14.25" customHeight="1">
      <c r="A879" s="125"/>
      <c r="B879" s="125"/>
      <c r="C879" s="125"/>
      <c r="D879" s="126"/>
      <c r="E879" s="126"/>
      <c r="F879" s="125"/>
      <c r="G879" s="126"/>
      <c r="H879" s="126"/>
      <c r="I879" s="126"/>
      <c r="J879" s="126"/>
      <c r="K879" s="126"/>
      <c r="L879" s="126"/>
      <c r="M879" s="126"/>
      <c r="N879" s="129"/>
      <c r="O879" s="125"/>
      <c r="P879" s="129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spans="1:26" ht="14.25" customHeight="1">
      <c r="A880" s="125"/>
      <c r="B880" s="125"/>
      <c r="C880" s="125"/>
      <c r="D880" s="126"/>
      <c r="E880" s="126"/>
      <c r="F880" s="125"/>
      <c r="G880" s="126"/>
      <c r="H880" s="126"/>
      <c r="I880" s="126"/>
      <c r="J880" s="126"/>
      <c r="K880" s="126"/>
      <c r="L880" s="126"/>
      <c r="M880" s="126"/>
      <c r="N880" s="129"/>
      <c r="O880" s="125"/>
      <c r="P880" s="129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spans="1:26" ht="14.25" customHeight="1">
      <c r="A881" s="125"/>
      <c r="B881" s="125"/>
      <c r="C881" s="125"/>
      <c r="D881" s="126"/>
      <c r="E881" s="126"/>
      <c r="F881" s="125"/>
      <c r="G881" s="126"/>
      <c r="H881" s="126"/>
      <c r="I881" s="126"/>
      <c r="J881" s="126"/>
      <c r="K881" s="126"/>
      <c r="L881" s="126"/>
      <c r="M881" s="126"/>
      <c r="N881" s="129"/>
      <c r="O881" s="125"/>
      <c r="P881" s="129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spans="1:26" ht="14.25" customHeight="1">
      <c r="A882" s="125"/>
      <c r="B882" s="125"/>
      <c r="C882" s="125"/>
      <c r="D882" s="126"/>
      <c r="E882" s="126"/>
      <c r="F882" s="125"/>
      <c r="G882" s="126"/>
      <c r="H882" s="126"/>
      <c r="I882" s="126"/>
      <c r="J882" s="126"/>
      <c r="K882" s="126"/>
      <c r="L882" s="126"/>
      <c r="M882" s="126"/>
      <c r="N882" s="129"/>
      <c r="O882" s="125"/>
      <c r="P882" s="129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spans="1:26" ht="14.25" customHeight="1">
      <c r="A883" s="125"/>
      <c r="B883" s="125"/>
      <c r="C883" s="125"/>
      <c r="D883" s="126"/>
      <c r="E883" s="126"/>
      <c r="F883" s="125"/>
      <c r="G883" s="126"/>
      <c r="H883" s="126"/>
      <c r="I883" s="126"/>
      <c r="J883" s="126"/>
      <c r="K883" s="126"/>
      <c r="L883" s="126"/>
      <c r="M883" s="126"/>
      <c r="N883" s="129"/>
      <c r="O883" s="125"/>
      <c r="P883" s="129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spans="1:26" ht="14.25" customHeight="1">
      <c r="A884" s="125"/>
      <c r="B884" s="125"/>
      <c r="C884" s="125"/>
      <c r="D884" s="126"/>
      <c r="E884" s="126"/>
      <c r="F884" s="125"/>
      <c r="G884" s="126"/>
      <c r="H884" s="126"/>
      <c r="I884" s="126"/>
      <c r="J884" s="126"/>
      <c r="K884" s="126"/>
      <c r="L884" s="126"/>
      <c r="M884" s="126"/>
      <c r="N884" s="129"/>
      <c r="O884" s="125"/>
      <c r="P884" s="129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spans="1:26" ht="14.25" customHeight="1">
      <c r="A885" s="125"/>
      <c r="B885" s="125"/>
      <c r="C885" s="125"/>
      <c r="D885" s="126"/>
      <c r="E885" s="126"/>
      <c r="F885" s="125"/>
      <c r="G885" s="126"/>
      <c r="H885" s="126"/>
      <c r="I885" s="126"/>
      <c r="J885" s="126"/>
      <c r="K885" s="126"/>
      <c r="L885" s="126"/>
      <c r="M885" s="126"/>
      <c r="N885" s="129"/>
      <c r="O885" s="125"/>
      <c r="P885" s="129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spans="1:26" ht="14.25" customHeight="1">
      <c r="A886" s="125"/>
      <c r="B886" s="125"/>
      <c r="C886" s="125"/>
      <c r="D886" s="126"/>
      <c r="E886" s="126"/>
      <c r="F886" s="125"/>
      <c r="G886" s="126"/>
      <c r="H886" s="126"/>
      <c r="I886" s="126"/>
      <c r="J886" s="126"/>
      <c r="K886" s="126"/>
      <c r="L886" s="126"/>
      <c r="M886" s="126"/>
      <c r="N886" s="129"/>
      <c r="O886" s="125"/>
      <c r="P886" s="129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spans="1:26" ht="14.25" customHeight="1">
      <c r="A887" s="125"/>
      <c r="B887" s="125"/>
      <c r="C887" s="125"/>
      <c r="D887" s="126"/>
      <c r="E887" s="126"/>
      <c r="F887" s="125"/>
      <c r="G887" s="126"/>
      <c r="H887" s="126"/>
      <c r="I887" s="126"/>
      <c r="J887" s="126"/>
      <c r="K887" s="126"/>
      <c r="L887" s="126"/>
      <c r="M887" s="126"/>
      <c r="N887" s="129"/>
      <c r="O887" s="125"/>
      <c r="P887" s="129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spans="1:26" ht="14.25" customHeight="1">
      <c r="A888" s="125"/>
      <c r="B888" s="125"/>
      <c r="C888" s="125"/>
      <c r="D888" s="126"/>
      <c r="E888" s="126"/>
      <c r="F888" s="125"/>
      <c r="G888" s="126"/>
      <c r="H888" s="126"/>
      <c r="I888" s="126"/>
      <c r="J888" s="126"/>
      <c r="K888" s="126"/>
      <c r="L888" s="126"/>
      <c r="M888" s="126"/>
      <c r="N888" s="129"/>
      <c r="O888" s="125"/>
      <c r="P888" s="129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spans="1:26" ht="14.25" customHeight="1">
      <c r="A889" s="125"/>
      <c r="B889" s="125"/>
      <c r="C889" s="125"/>
      <c r="D889" s="126"/>
      <c r="E889" s="126"/>
      <c r="F889" s="125"/>
      <c r="G889" s="126"/>
      <c r="H889" s="126"/>
      <c r="I889" s="126"/>
      <c r="J889" s="126"/>
      <c r="K889" s="126"/>
      <c r="L889" s="126"/>
      <c r="M889" s="126"/>
      <c r="N889" s="129"/>
      <c r="O889" s="125"/>
      <c r="P889" s="129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spans="1:26" ht="14.25" customHeight="1">
      <c r="A890" s="125"/>
      <c r="B890" s="125"/>
      <c r="C890" s="125"/>
      <c r="D890" s="126"/>
      <c r="E890" s="126"/>
      <c r="F890" s="125"/>
      <c r="G890" s="126"/>
      <c r="H890" s="126"/>
      <c r="I890" s="126"/>
      <c r="J890" s="126"/>
      <c r="K890" s="126"/>
      <c r="L890" s="126"/>
      <c r="M890" s="126"/>
      <c r="N890" s="129"/>
      <c r="O890" s="125"/>
      <c r="P890" s="129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spans="1:26" ht="14.25" customHeight="1">
      <c r="A891" s="125"/>
      <c r="B891" s="125"/>
      <c r="C891" s="125"/>
      <c r="D891" s="126"/>
      <c r="E891" s="126"/>
      <c r="F891" s="125"/>
      <c r="G891" s="126"/>
      <c r="H891" s="126"/>
      <c r="I891" s="126"/>
      <c r="J891" s="126"/>
      <c r="K891" s="126"/>
      <c r="L891" s="126"/>
      <c r="M891" s="126"/>
      <c r="N891" s="129"/>
      <c r="O891" s="125"/>
      <c r="P891" s="129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spans="1:26" ht="14.25" customHeight="1">
      <c r="A892" s="125"/>
      <c r="B892" s="125"/>
      <c r="C892" s="125"/>
      <c r="D892" s="126"/>
      <c r="E892" s="126"/>
      <c r="F892" s="125"/>
      <c r="G892" s="126"/>
      <c r="H892" s="126"/>
      <c r="I892" s="126"/>
      <c r="J892" s="126"/>
      <c r="K892" s="126"/>
      <c r="L892" s="126"/>
      <c r="M892" s="126"/>
      <c r="N892" s="129"/>
      <c r="O892" s="125"/>
      <c r="P892" s="129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spans="1:26" ht="14.25" customHeight="1">
      <c r="A893" s="125"/>
      <c r="B893" s="125"/>
      <c r="C893" s="125"/>
      <c r="D893" s="126"/>
      <c r="E893" s="126"/>
      <c r="F893" s="125"/>
      <c r="G893" s="126"/>
      <c r="H893" s="126"/>
      <c r="I893" s="126"/>
      <c r="J893" s="126"/>
      <c r="K893" s="126"/>
      <c r="L893" s="126"/>
      <c r="M893" s="126"/>
      <c r="N893" s="129"/>
      <c r="O893" s="125"/>
      <c r="P893" s="129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spans="1:26" ht="14.25" customHeight="1">
      <c r="A894" s="125"/>
      <c r="B894" s="125"/>
      <c r="C894" s="125"/>
      <c r="D894" s="126"/>
      <c r="E894" s="126"/>
      <c r="F894" s="125"/>
      <c r="G894" s="126"/>
      <c r="H894" s="126"/>
      <c r="I894" s="126"/>
      <c r="J894" s="126"/>
      <c r="K894" s="126"/>
      <c r="L894" s="126"/>
      <c r="M894" s="126"/>
      <c r="N894" s="129"/>
      <c r="O894" s="125"/>
      <c r="P894" s="129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spans="1:26" ht="14.25" customHeight="1">
      <c r="A895" s="125"/>
      <c r="B895" s="125"/>
      <c r="C895" s="125"/>
      <c r="D895" s="126"/>
      <c r="E895" s="126"/>
      <c r="F895" s="125"/>
      <c r="G895" s="126"/>
      <c r="H895" s="126"/>
      <c r="I895" s="126"/>
      <c r="J895" s="126"/>
      <c r="K895" s="126"/>
      <c r="L895" s="126"/>
      <c r="M895" s="126"/>
      <c r="N895" s="129"/>
      <c r="O895" s="125"/>
      <c r="P895" s="129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spans="1:26" ht="14.25" customHeight="1">
      <c r="A896" s="125"/>
      <c r="B896" s="125"/>
      <c r="C896" s="125"/>
      <c r="D896" s="126"/>
      <c r="E896" s="126"/>
      <c r="F896" s="125"/>
      <c r="G896" s="126"/>
      <c r="H896" s="126"/>
      <c r="I896" s="126"/>
      <c r="J896" s="126"/>
      <c r="K896" s="126"/>
      <c r="L896" s="126"/>
      <c r="M896" s="126"/>
      <c r="N896" s="129"/>
      <c r="O896" s="125"/>
      <c r="P896" s="129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spans="1:26" ht="14.25" customHeight="1">
      <c r="A897" s="125"/>
      <c r="B897" s="125"/>
      <c r="C897" s="125"/>
      <c r="D897" s="126"/>
      <c r="E897" s="126"/>
      <c r="F897" s="125"/>
      <c r="G897" s="126"/>
      <c r="H897" s="126"/>
      <c r="I897" s="126"/>
      <c r="J897" s="126"/>
      <c r="K897" s="126"/>
      <c r="L897" s="126"/>
      <c r="M897" s="126"/>
      <c r="N897" s="129"/>
      <c r="O897" s="125"/>
      <c r="P897" s="129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spans="1:26" ht="14.25" customHeight="1">
      <c r="A898" s="125"/>
      <c r="B898" s="125"/>
      <c r="C898" s="125"/>
      <c r="D898" s="126"/>
      <c r="E898" s="126"/>
      <c r="F898" s="125"/>
      <c r="G898" s="126"/>
      <c r="H898" s="126"/>
      <c r="I898" s="126"/>
      <c r="J898" s="126"/>
      <c r="K898" s="126"/>
      <c r="L898" s="126"/>
      <c r="M898" s="126"/>
      <c r="N898" s="129"/>
      <c r="O898" s="125"/>
      <c r="P898" s="129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spans="1:26" ht="14.25" customHeight="1">
      <c r="A899" s="125"/>
      <c r="B899" s="125"/>
      <c r="C899" s="125"/>
      <c r="D899" s="126"/>
      <c r="E899" s="126"/>
      <c r="F899" s="125"/>
      <c r="G899" s="126"/>
      <c r="H899" s="126"/>
      <c r="I899" s="126"/>
      <c r="J899" s="126"/>
      <c r="K899" s="126"/>
      <c r="L899" s="126"/>
      <c r="M899" s="126"/>
      <c r="N899" s="129"/>
      <c r="O899" s="125"/>
      <c r="P899" s="129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spans="1:26" ht="14.25" customHeight="1">
      <c r="A900" s="125"/>
      <c r="B900" s="125"/>
      <c r="C900" s="125"/>
      <c r="D900" s="126"/>
      <c r="E900" s="126"/>
      <c r="F900" s="125"/>
      <c r="G900" s="126"/>
      <c r="H900" s="126"/>
      <c r="I900" s="126"/>
      <c r="J900" s="126"/>
      <c r="K900" s="126"/>
      <c r="L900" s="126"/>
      <c r="M900" s="126"/>
      <c r="N900" s="129"/>
      <c r="O900" s="125"/>
      <c r="P900" s="129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spans="1:26" ht="14.25" customHeight="1">
      <c r="A901" s="125"/>
      <c r="B901" s="125"/>
      <c r="C901" s="125"/>
      <c r="D901" s="126"/>
      <c r="E901" s="126"/>
      <c r="F901" s="125"/>
      <c r="G901" s="126"/>
      <c r="H901" s="126"/>
      <c r="I901" s="126"/>
      <c r="J901" s="126"/>
      <c r="K901" s="126"/>
      <c r="L901" s="126"/>
      <c r="M901" s="126"/>
      <c r="N901" s="129"/>
      <c r="O901" s="125"/>
      <c r="P901" s="129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spans="1:26" ht="14.25" customHeight="1">
      <c r="A902" s="125"/>
      <c r="B902" s="125"/>
      <c r="C902" s="125"/>
      <c r="D902" s="126"/>
      <c r="E902" s="126"/>
      <c r="F902" s="125"/>
      <c r="G902" s="126"/>
      <c r="H902" s="126"/>
      <c r="I902" s="126"/>
      <c r="J902" s="126"/>
      <c r="K902" s="126"/>
      <c r="L902" s="126"/>
      <c r="M902" s="126"/>
      <c r="N902" s="129"/>
      <c r="O902" s="125"/>
      <c r="P902" s="129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spans="1:26" ht="14.25" customHeight="1">
      <c r="A903" s="125"/>
      <c r="B903" s="125"/>
      <c r="C903" s="125"/>
      <c r="D903" s="126"/>
      <c r="E903" s="126"/>
      <c r="F903" s="125"/>
      <c r="G903" s="126"/>
      <c r="H903" s="126"/>
      <c r="I903" s="126"/>
      <c r="J903" s="126"/>
      <c r="K903" s="126"/>
      <c r="L903" s="126"/>
      <c r="M903" s="126"/>
      <c r="N903" s="129"/>
      <c r="O903" s="125"/>
      <c r="P903" s="129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spans="1:26" ht="14.25" customHeight="1">
      <c r="A904" s="125"/>
      <c r="B904" s="125"/>
      <c r="C904" s="125"/>
      <c r="D904" s="126"/>
      <c r="E904" s="126"/>
      <c r="F904" s="125"/>
      <c r="G904" s="126"/>
      <c r="H904" s="126"/>
      <c r="I904" s="126"/>
      <c r="J904" s="126"/>
      <c r="K904" s="126"/>
      <c r="L904" s="126"/>
      <c r="M904" s="126"/>
      <c r="N904" s="129"/>
      <c r="O904" s="125"/>
      <c r="P904" s="129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spans="1:26" ht="14.25" customHeight="1">
      <c r="A905" s="125"/>
      <c r="B905" s="125"/>
      <c r="C905" s="125"/>
      <c r="D905" s="126"/>
      <c r="E905" s="126"/>
      <c r="F905" s="125"/>
      <c r="G905" s="126"/>
      <c r="H905" s="126"/>
      <c r="I905" s="126"/>
      <c r="J905" s="126"/>
      <c r="K905" s="126"/>
      <c r="L905" s="126"/>
      <c r="M905" s="126"/>
      <c r="N905" s="129"/>
      <c r="O905" s="125"/>
      <c r="P905" s="129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spans="1:26" ht="14.25" customHeight="1">
      <c r="A906" s="125"/>
      <c r="B906" s="125"/>
      <c r="C906" s="125"/>
      <c r="D906" s="126"/>
      <c r="E906" s="126"/>
      <c r="F906" s="125"/>
      <c r="G906" s="126"/>
      <c r="H906" s="126"/>
      <c r="I906" s="126"/>
      <c r="J906" s="126"/>
      <c r="K906" s="126"/>
      <c r="L906" s="126"/>
      <c r="M906" s="126"/>
      <c r="N906" s="129"/>
      <c r="O906" s="125"/>
      <c r="P906" s="129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spans="1:26" ht="14.25" customHeight="1">
      <c r="A907" s="125"/>
      <c r="B907" s="125"/>
      <c r="C907" s="125"/>
      <c r="D907" s="126"/>
      <c r="E907" s="126"/>
      <c r="F907" s="125"/>
      <c r="G907" s="126"/>
      <c r="H907" s="126"/>
      <c r="I907" s="126"/>
      <c r="J907" s="126"/>
      <c r="K907" s="126"/>
      <c r="L907" s="126"/>
      <c r="M907" s="126"/>
      <c r="N907" s="129"/>
      <c r="O907" s="125"/>
      <c r="P907" s="129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spans="1:26" ht="14.25" customHeight="1">
      <c r="A908" s="125"/>
      <c r="B908" s="125"/>
      <c r="C908" s="125"/>
      <c r="D908" s="126"/>
      <c r="E908" s="126"/>
      <c r="F908" s="125"/>
      <c r="G908" s="126"/>
      <c r="H908" s="126"/>
      <c r="I908" s="126"/>
      <c r="J908" s="126"/>
      <c r="K908" s="126"/>
      <c r="L908" s="126"/>
      <c r="M908" s="126"/>
      <c r="N908" s="129"/>
      <c r="O908" s="125"/>
      <c r="P908" s="129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spans="1:26" ht="14.25" customHeight="1">
      <c r="A909" s="125"/>
      <c r="B909" s="125"/>
      <c r="C909" s="125"/>
      <c r="D909" s="126"/>
      <c r="E909" s="126"/>
      <c r="F909" s="125"/>
      <c r="G909" s="126"/>
      <c r="H909" s="126"/>
      <c r="I909" s="126"/>
      <c r="J909" s="126"/>
      <c r="K909" s="126"/>
      <c r="L909" s="126"/>
      <c r="M909" s="126"/>
      <c r="N909" s="129"/>
      <c r="O909" s="125"/>
      <c r="P909" s="129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spans="1:26" ht="14.25" customHeight="1">
      <c r="A910" s="125"/>
      <c r="B910" s="125"/>
      <c r="C910" s="125"/>
      <c r="D910" s="126"/>
      <c r="E910" s="126"/>
      <c r="F910" s="125"/>
      <c r="G910" s="126"/>
      <c r="H910" s="126"/>
      <c r="I910" s="126"/>
      <c r="J910" s="126"/>
      <c r="K910" s="126"/>
      <c r="L910" s="126"/>
      <c r="M910" s="126"/>
      <c r="N910" s="129"/>
      <c r="O910" s="125"/>
      <c r="P910" s="129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spans="1:26" ht="14.25" customHeight="1">
      <c r="A911" s="125"/>
      <c r="B911" s="125"/>
      <c r="C911" s="125"/>
      <c r="D911" s="126"/>
      <c r="E911" s="126"/>
      <c r="F911" s="125"/>
      <c r="G911" s="126"/>
      <c r="H911" s="126"/>
      <c r="I911" s="126"/>
      <c r="J911" s="126"/>
      <c r="K911" s="126"/>
      <c r="L911" s="126"/>
      <c r="M911" s="126"/>
      <c r="N911" s="129"/>
      <c r="O911" s="125"/>
      <c r="P911" s="129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spans="1:26" ht="14.25" customHeight="1">
      <c r="A912" s="125"/>
      <c r="B912" s="125"/>
      <c r="C912" s="125"/>
      <c r="D912" s="126"/>
      <c r="E912" s="126"/>
      <c r="F912" s="125"/>
      <c r="G912" s="126"/>
      <c r="H912" s="126"/>
      <c r="I912" s="126"/>
      <c r="J912" s="126"/>
      <c r="K912" s="126"/>
      <c r="L912" s="126"/>
      <c r="M912" s="126"/>
      <c r="N912" s="129"/>
      <c r="O912" s="125"/>
      <c r="P912" s="129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spans="1:26" ht="14.25" customHeight="1">
      <c r="A913" s="125"/>
      <c r="B913" s="125"/>
      <c r="C913" s="125"/>
      <c r="D913" s="126"/>
      <c r="E913" s="126"/>
      <c r="F913" s="125"/>
      <c r="G913" s="126"/>
      <c r="H913" s="126"/>
      <c r="I913" s="126"/>
      <c r="J913" s="126"/>
      <c r="K913" s="126"/>
      <c r="L913" s="126"/>
      <c r="M913" s="126"/>
      <c r="N913" s="129"/>
      <c r="O913" s="125"/>
      <c r="P913" s="129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spans="1:26" ht="14.25" customHeight="1">
      <c r="A914" s="125"/>
      <c r="B914" s="125"/>
      <c r="C914" s="125"/>
      <c r="D914" s="126"/>
      <c r="E914" s="126"/>
      <c r="F914" s="125"/>
      <c r="G914" s="126"/>
      <c r="H914" s="126"/>
      <c r="I914" s="126"/>
      <c r="J914" s="126"/>
      <c r="K914" s="126"/>
      <c r="L914" s="126"/>
      <c r="M914" s="126"/>
      <c r="N914" s="129"/>
      <c r="O914" s="125"/>
      <c r="P914" s="129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spans="1:26" ht="14.25" customHeight="1">
      <c r="A915" s="125"/>
      <c r="B915" s="125"/>
      <c r="C915" s="125"/>
      <c r="D915" s="126"/>
      <c r="E915" s="126"/>
      <c r="F915" s="125"/>
      <c r="G915" s="126"/>
      <c r="H915" s="126"/>
      <c r="I915" s="126"/>
      <c r="J915" s="126"/>
      <c r="K915" s="126"/>
      <c r="L915" s="126"/>
      <c r="M915" s="126"/>
      <c r="N915" s="129"/>
      <c r="O915" s="125"/>
      <c r="P915" s="129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spans="1:26" ht="14.25" customHeight="1">
      <c r="A916" s="125"/>
      <c r="B916" s="125"/>
      <c r="C916" s="125"/>
      <c r="D916" s="126"/>
      <c r="E916" s="126"/>
      <c r="F916" s="125"/>
      <c r="G916" s="126"/>
      <c r="H916" s="126"/>
      <c r="I916" s="126"/>
      <c r="J916" s="126"/>
      <c r="K916" s="126"/>
      <c r="L916" s="126"/>
      <c r="M916" s="126"/>
      <c r="N916" s="129"/>
      <c r="O916" s="125"/>
      <c r="P916" s="129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spans="1:26" ht="14.25" customHeight="1">
      <c r="A917" s="125"/>
      <c r="B917" s="125"/>
      <c r="C917" s="125"/>
      <c r="D917" s="126"/>
      <c r="E917" s="126"/>
      <c r="F917" s="125"/>
      <c r="G917" s="126"/>
      <c r="H917" s="126"/>
      <c r="I917" s="126"/>
      <c r="J917" s="126"/>
      <c r="K917" s="126"/>
      <c r="L917" s="126"/>
      <c r="M917" s="126"/>
      <c r="N917" s="129"/>
      <c r="O917" s="125"/>
      <c r="P917" s="129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spans="1:26" ht="14.25" customHeight="1">
      <c r="A918" s="125"/>
      <c r="B918" s="125"/>
      <c r="C918" s="125"/>
      <c r="D918" s="126"/>
      <c r="E918" s="126"/>
      <c r="F918" s="125"/>
      <c r="G918" s="126"/>
      <c r="H918" s="126"/>
      <c r="I918" s="126"/>
      <c r="J918" s="126"/>
      <c r="K918" s="126"/>
      <c r="L918" s="126"/>
      <c r="M918" s="126"/>
      <c r="N918" s="129"/>
      <c r="O918" s="125"/>
      <c r="P918" s="129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spans="1:26" ht="14.25" customHeight="1">
      <c r="A919" s="125"/>
      <c r="B919" s="125"/>
      <c r="C919" s="125"/>
      <c r="D919" s="126"/>
      <c r="E919" s="126"/>
      <c r="F919" s="125"/>
      <c r="G919" s="126"/>
      <c r="H919" s="126"/>
      <c r="I919" s="126"/>
      <c r="J919" s="126"/>
      <c r="K919" s="126"/>
      <c r="L919" s="126"/>
      <c r="M919" s="126"/>
      <c r="N919" s="129"/>
      <c r="O919" s="125"/>
      <c r="P919" s="129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spans="1:26" ht="14.25" customHeight="1">
      <c r="A920" s="125"/>
      <c r="B920" s="125"/>
      <c r="C920" s="125"/>
      <c r="D920" s="126"/>
      <c r="E920" s="126"/>
      <c r="F920" s="125"/>
      <c r="G920" s="126"/>
      <c r="H920" s="126"/>
      <c r="I920" s="126"/>
      <c r="J920" s="126"/>
      <c r="K920" s="126"/>
      <c r="L920" s="126"/>
      <c r="M920" s="126"/>
      <c r="N920" s="129"/>
      <c r="O920" s="125"/>
      <c r="P920" s="129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spans="1:26" ht="14.25" customHeight="1">
      <c r="A921" s="125"/>
      <c r="B921" s="125"/>
      <c r="C921" s="125"/>
      <c r="D921" s="126"/>
      <c r="E921" s="126"/>
      <c r="F921" s="125"/>
      <c r="G921" s="126"/>
      <c r="H921" s="126"/>
      <c r="I921" s="126"/>
      <c r="J921" s="126"/>
      <c r="K921" s="126"/>
      <c r="L921" s="126"/>
      <c r="M921" s="126"/>
      <c r="N921" s="129"/>
      <c r="O921" s="125"/>
      <c r="P921" s="129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spans="1:26" ht="14.25" customHeight="1">
      <c r="A922" s="125"/>
      <c r="B922" s="125"/>
      <c r="C922" s="125"/>
      <c r="D922" s="126"/>
      <c r="E922" s="126"/>
      <c r="F922" s="125"/>
      <c r="G922" s="126"/>
      <c r="H922" s="126"/>
      <c r="I922" s="126"/>
      <c r="J922" s="126"/>
      <c r="K922" s="126"/>
      <c r="L922" s="126"/>
      <c r="M922" s="126"/>
      <c r="N922" s="129"/>
      <c r="O922" s="125"/>
      <c r="P922" s="129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spans="1:26" ht="14.25" customHeight="1">
      <c r="A923" s="125"/>
      <c r="B923" s="125"/>
      <c r="C923" s="125"/>
      <c r="D923" s="126"/>
      <c r="E923" s="126"/>
      <c r="F923" s="125"/>
      <c r="G923" s="126"/>
      <c r="H923" s="126"/>
      <c r="I923" s="126"/>
      <c r="J923" s="126"/>
      <c r="K923" s="126"/>
      <c r="L923" s="126"/>
      <c r="M923" s="126"/>
      <c r="N923" s="129"/>
      <c r="O923" s="125"/>
      <c r="P923" s="129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spans="1:26" ht="14.25" customHeight="1">
      <c r="A924" s="125"/>
      <c r="B924" s="125"/>
      <c r="C924" s="125"/>
      <c r="D924" s="126"/>
      <c r="E924" s="126"/>
      <c r="F924" s="125"/>
      <c r="G924" s="126"/>
      <c r="H924" s="126"/>
      <c r="I924" s="126"/>
      <c r="J924" s="126"/>
      <c r="K924" s="126"/>
      <c r="L924" s="126"/>
      <c r="M924" s="126"/>
      <c r="N924" s="129"/>
      <c r="O924" s="125"/>
      <c r="P924" s="129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spans="1:26" ht="14.25" customHeight="1">
      <c r="A925" s="125"/>
      <c r="B925" s="125"/>
      <c r="C925" s="125"/>
      <c r="D925" s="126"/>
      <c r="E925" s="126"/>
      <c r="F925" s="125"/>
      <c r="G925" s="126"/>
      <c r="H925" s="126"/>
      <c r="I925" s="126"/>
      <c r="J925" s="126"/>
      <c r="K925" s="126"/>
      <c r="L925" s="126"/>
      <c r="M925" s="126"/>
      <c r="N925" s="129"/>
      <c r="O925" s="125"/>
      <c r="P925" s="129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spans="1:26" ht="14.25" customHeight="1">
      <c r="A926" s="125"/>
      <c r="B926" s="125"/>
      <c r="C926" s="125"/>
      <c r="D926" s="126"/>
      <c r="E926" s="126"/>
      <c r="F926" s="125"/>
      <c r="G926" s="126"/>
      <c r="H926" s="126"/>
      <c r="I926" s="126"/>
      <c r="J926" s="126"/>
      <c r="K926" s="126"/>
      <c r="L926" s="126"/>
      <c r="M926" s="126"/>
      <c r="N926" s="129"/>
      <c r="O926" s="125"/>
      <c r="P926" s="129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spans="1:26" ht="14.25" customHeight="1">
      <c r="A927" s="125"/>
      <c r="B927" s="125"/>
      <c r="C927" s="125"/>
      <c r="D927" s="126"/>
      <c r="E927" s="126"/>
      <c r="F927" s="125"/>
      <c r="G927" s="126"/>
      <c r="H927" s="126"/>
      <c r="I927" s="126"/>
      <c r="J927" s="126"/>
      <c r="K927" s="126"/>
      <c r="L927" s="126"/>
      <c r="M927" s="126"/>
      <c r="N927" s="129"/>
      <c r="O927" s="125"/>
      <c r="P927" s="129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spans="1:26" ht="14.25" customHeight="1">
      <c r="A928" s="125"/>
      <c r="B928" s="125"/>
      <c r="C928" s="125"/>
      <c r="D928" s="126"/>
      <c r="E928" s="126"/>
      <c r="F928" s="125"/>
      <c r="G928" s="126"/>
      <c r="H928" s="126"/>
      <c r="I928" s="126"/>
      <c r="J928" s="126"/>
      <c r="K928" s="126"/>
      <c r="L928" s="126"/>
      <c r="M928" s="126"/>
      <c r="N928" s="129"/>
      <c r="O928" s="125"/>
      <c r="P928" s="129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spans="1:26" ht="14.25" customHeight="1">
      <c r="A929" s="125"/>
      <c r="B929" s="125"/>
      <c r="C929" s="125"/>
      <c r="D929" s="126"/>
      <c r="E929" s="126"/>
      <c r="F929" s="125"/>
      <c r="G929" s="126"/>
      <c r="H929" s="126"/>
      <c r="I929" s="126"/>
      <c r="J929" s="126"/>
      <c r="K929" s="126"/>
      <c r="L929" s="126"/>
      <c r="M929" s="126"/>
      <c r="N929" s="129"/>
      <c r="O929" s="125"/>
      <c r="P929" s="129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spans="1:26" ht="14.25" customHeight="1">
      <c r="A930" s="125"/>
      <c r="B930" s="125"/>
      <c r="C930" s="125"/>
      <c r="D930" s="126"/>
      <c r="E930" s="126"/>
      <c r="F930" s="125"/>
      <c r="G930" s="126"/>
      <c r="H930" s="126"/>
      <c r="I930" s="126"/>
      <c r="J930" s="126"/>
      <c r="K930" s="126"/>
      <c r="L930" s="126"/>
      <c r="M930" s="126"/>
      <c r="N930" s="129"/>
      <c r="O930" s="125"/>
      <c r="P930" s="129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spans="1:26" ht="14.25" customHeight="1">
      <c r="A931" s="125"/>
      <c r="B931" s="125"/>
      <c r="C931" s="125"/>
      <c r="D931" s="126"/>
      <c r="E931" s="126"/>
      <c r="F931" s="125"/>
      <c r="G931" s="126"/>
      <c r="H931" s="126"/>
      <c r="I931" s="126"/>
      <c r="J931" s="126"/>
      <c r="K931" s="126"/>
      <c r="L931" s="126"/>
      <c r="M931" s="126"/>
      <c r="N931" s="129"/>
      <c r="O931" s="125"/>
      <c r="P931" s="129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spans="1:26" ht="14.25" customHeight="1">
      <c r="A932" s="125"/>
      <c r="B932" s="125"/>
      <c r="C932" s="125"/>
      <c r="D932" s="126"/>
      <c r="E932" s="126"/>
      <c r="F932" s="125"/>
      <c r="G932" s="126"/>
      <c r="H932" s="126"/>
      <c r="I932" s="126"/>
      <c r="J932" s="126"/>
      <c r="K932" s="126"/>
      <c r="L932" s="126"/>
      <c r="M932" s="126"/>
      <c r="N932" s="129"/>
      <c r="O932" s="125"/>
      <c r="P932" s="129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spans="1:26" ht="14.25" customHeight="1">
      <c r="A933" s="125"/>
      <c r="B933" s="125"/>
      <c r="C933" s="125"/>
      <c r="D933" s="126"/>
      <c r="E933" s="126"/>
      <c r="F933" s="125"/>
      <c r="G933" s="126"/>
      <c r="H933" s="126"/>
      <c r="I933" s="126"/>
      <c r="J933" s="126"/>
      <c r="K933" s="126"/>
      <c r="L933" s="126"/>
      <c r="M933" s="126"/>
      <c r="N933" s="129"/>
      <c r="O933" s="125"/>
      <c r="P933" s="129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spans="1:26" ht="14.25" customHeight="1">
      <c r="A934" s="125"/>
      <c r="B934" s="125"/>
      <c r="C934" s="125"/>
      <c r="D934" s="126"/>
      <c r="E934" s="126"/>
      <c r="F934" s="125"/>
      <c r="G934" s="126"/>
      <c r="H934" s="126"/>
      <c r="I934" s="126"/>
      <c r="J934" s="126"/>
      <c r="K934" s="126"/>
      <c r="L934" s="126"/>
      <c r="M934" s="126"/>
      <c r="N934" s="129"/>
      <c r="O934" s="125"/>
      <c r="P934" s="129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spans="1:26" ht="14.25" customHeight="1">
      <c r="A935" s="125"/>
      <c r="B935" s="125"/>
      <c r="C935" s="125"/>
      <c r="D935" s="126"/>
      <c r="E935" s="126"/>
      <c r="F935" s="125"/>
      <c r="G935" s="126"/>
      <c r="H935" s="126"/>
      <c r="I935" s="126"/>
      <c r="J935" s="126"/>
      <c r="K935" s="126"/>
      <c r="L935" s="126"/>
      <c r="M935" s="126"/>
      <c r="N935" s="129"/>
      <c r="O935" s="125"/>
      <c r="P935" s="129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spans="1:26" ht="14.25" customHeight="1">
      <c r="A936" s="125"/>
      <c r="B936" s="125"/>
      <c r="C936" s="125"/>
      <c r="D936" s="126"/>
      <c r="E936" s="126"/>
      <c r="F936" s="125"/>
      <c r="G936" s="126"/>
      <c r="H936" s="126"/>
      <c r="I936" s="126"/>
      <c r="J936" s="126"/>
      <c r="K936" s="126"/>
      <c r="L936" s="126"/>
      <c r="M936" s="126"/>
      <c r="N936" s="129"/>
      <c r="O936" s="125"/>
      <c r="P936" s="129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spans="1:26" ht="14.25" customHeight="1">
      <c r="A937" s="125"/>
      <c r="B937" s="125"/>
      <c r="C937" s="125"/>
      <c r="D937" s="126"/>
      <c r="E937" s="126"/>
      <c r="F937" s="125"/>
      <c r="G937" s="126"/>
      <c r="H937" s="126"/>
      <c r="I937" s="126"/>
      <c r="J937" s="126"/>
      <c r="K937" s="126"/>
      <c r="L937" s="126"/>
      <c r="M937" s="126"/>
      <c r="N937" s="129"/>
      <c r="O937" s="125"/>
      <c r="P937" s="129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spans="1:26" ht="14.25" customHeight="1">
      <c r="A938" s="125"/>
      <c r="B938" s="125"/>
      <c r="C938" s="125"/>
      <c r="D938" s="126"/>
      <c r="E938" s="126"/>
      <c r="F938" s="125"/>
      <c r="G938" s="126"/>
      <c r="H938" s="126"/>
      <c r="I938" s="126"/>
      <c r="J938" s="126"/>
      <c r="K938" s="126"/>
      <c r="L938" s="126"/>
      <c r="M938" s="126"/>
      <c r="N938" s="129"/>
      <c r="O938" s="125"/>
      <c r="P938" s="129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spans="1:26" ht="14.25" customHeight="1">
      <c r="A939" s="125"/>
      <c r="B939" s="125"/>
      <c r="C939" s="125"/>
      <c r="D939" s="126"/>
      <c r="E939" s="126"/>
      <c r="F939" s="125"/>
      <c r="G939" s="126"/>
      <c r="H939" s="126"/>
      <c r="I939" s="126"/>
      <c r="J939" s="126"/>
      <c r="K939" s="126"/>
      <c r="L939" s="126"/>
      <c r="M939" s="126"/>
      <c r="N939" s="129"/>
      <c r="O939" s="125"/>
      <c r="P939" s="129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spans="1:26" ht="14.25" customHeight="1">
      <c r="A940" s="125"/>
      <c r="B940" s="125"/>
      <c r="C940" s="125"/>
      <c r="D940" s="126"/>
      <c r="E940" s="126"/>
      <c r="F940" s="125"/>
      <c r="G940" s="126"/>
      <c r="H940" s="126"/>
      <c r="I940" s="126"/>
      <c r="J940" s="126"/>
      <c r="K940" s="126"/>
      <c r="L940" s="126"/>
      <c r="M940" s="126"/>
      <c r="N940" s="129"/>
      <c r="O940" s="125"/>
      <c r="P940" s="129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spans="1:26" ht="14.25" customHeight="1">
      <c r="A941" s="125"/>
      <c r="B941" s="125"/>
      <c r="C941" s="125"/>
      <c r="D941" s="126"/>
      <c r="E941" s="126"/>
      <c r="F941" s="125"/>
      <c r="G941" s="126"/>
      <c r="H941" s="126"/>
      <c r="I941" s="126"/>
      <c r="J941" s="126"/>
      <c r="K941" s="126"/>
      <c r="L941" s="126"/>
      <c r="M941" s="126"/>
      <c r="N941" s="129"/>
      <c r="O941" s="125"/>
      <c r="P941" s="129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spans="1:26" ht="14.25" customHeight="1">
      <c r="A942" s="125"/>
      <c r="B942" s="125"/>
      <c r="C942" s="125"/>
      <c r="D942" s="126"/>
      <c r="E942" s="126"/>
      <c r="F942" s="125"/>
      <c r="G942" s="126"/>
      <c r="H942" s="126"/>
      <c r="I942" s="126"/>
      <c r="J942" s="126"/>
      <c r="K942" s="126"/>
      <c r="L942" s="126"/>
      <c r="M942" s="126"/>
      <c r="N942" s="129"/>
      <c r="O942" s="125"/>
      <c r="P942" s="129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spans="1:26" ht="14.25" customHeight="1">
      <c r="A943" s="125"/>
      <c r="B943" s="125"/>
      <c r="C943" s="125"/>
      <c r="D943" s="126"/>
      <c r="E943" s="126"/>
      <c r="F943" s="125"/>
      <c r="G943" s="126"/>
      <c r="H943" s="126"/>
      <c r="I943" s="126"/>
      <c r="J943" s="126"/>
      <c r="K943" s="126"/>
      <c r="L943" s="126"/>
      <c r="M943" s="126"/>
      <c r="N943" s="129"/>
      <c r="O943" s="125"/>
      <c r="P943" s="129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spans="1:26" ht="14.25" customHeight="1">
      <c r="A944" s="125"/>
      <c r="B944" s="125"/>
      <c r="C944" s="125"/>
      <c r="D944" s="126"/>
      <c r="E944" s="126"/>
      <c r="F944" s="125"/>
      <c r="G944" s="126"/>
      <c r="H944" s="126"/>
      <c r="I944" s="126"/>
      <c r="J944" s="126"/>
      <c r="K944" s="126"/>
      <c r="L944" s="126"/>
      <c r="M944" s="126"/>
      <c r="N944" s="129"/>
      <c r="O944" s="125"/>
      <c r="P944" s="129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spans="1:26" ht="14.25" customHeight="1">
      <c r="A945" s="125"/>
      <c r="B945" s="125"/>
      <c r="C945" s="125"/>
      <c r="D945" s="126"/>
      <c r="E945" s="126"/>
      <c r="F945" s="125"/>
      <c r="G945" s="126"/>
      <c r="H945" s="126"/>
      <c r="I945" s="126"/>
      <c r="J945" s="126"/>
      <c r="K945" s="126"/>
      <c r="L945" s="126"/>
      <c r="M945" s="126"/>
      <c r="N945" s="129"/>
      <c r="O945" s="125"/>
      <c r="P945" s="129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spans="1:26" ht="14.25" customHeight="1">
      <c r="A946" s="125"/>
      <c r="B946" s="125"/>
      <c r="C946" s="125"/>
      <c r="D946" s="126"/>
      <c r="E946" s="126"/>
      <c r="F946" s="125"/>
      <c r="G946" s="126"/>
      <c r="H946" s="126"/>
      <c r="I946" s="126"/>
      <c r="J946" s="126"/>
      <c r="K946" s="126"/>
      <c r="L946" s="126"/>
      <c r="M946" s="126"/>
      <c r="N946" s="129"/>
      <c r="O946" s="125"/>
      <c r="P946" s="129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spans="1:26" ht="14.25" customHeight="1">
      <c r="A947" s="125"/>
      <c r="B947" s="125"/>
      <c r="C947" s="125"/>
      <c r="D947" s="126"/>
      <c r="E947" s="126"/>
      <c r="F947" s="125"/>
      <c r="G947" s="126"/>
      <c r="H947" s="126"/>
      <c r="I947" s="126"/>
      <c r="J947" s="126"/>
      <c r="K947" s="126"/>
      <c r="L947" s="126"/>
      <c r="M947" s="126"/>
      <c r="N947" s="129"/>
      <c r="O947" s="125"/>
      <c r="P947" s="129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spans="1:26" ht="14.25" customHeight="1">
      <c r="A948" s="125"/>
      <c r="B948" s="125"/>
      <c r="C948" s="125"/>
      <c r="D948" s="126"/>
      <c r="E948" s="126"/>
      <c r="F948" s="125"/>
      <c r="G948" s="126"/>
      <c r="H948" s="126"/>
      <c r="I948" s="126"/>
      <c r="J948" s="126"/>
      <c r="K948" s="126"/>
      <c r="L948" s="126"/>
      <c r="M948" s="126"/>
      <c r="N948" s="129"/>
      <c r="O948" s="125"/>
      <c r="P948" s="129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spans="1:26" ht="14.25" customHeight="1">
      <c r="A949" s="125"/>
      <c r="B949" s="125"/>
      <c r="C949" s="125"/>
      <c r="D949" s="126"/>
      <c r="E949" s="126"/>
      <c r="F949" s="125"/>
      <c r="G949" s="126"/>
      <c r="H949" s="126"/>
      <c r="I949" s="126"/>
      <c r="J949" s="126"/>
      <c r="K949" s="126"/>
      <c r="L949" s="126"/>
      <c r="M949" s="126"/>
      <c r="N949" s="129"/>
      <c r="O949" s="125"/>
      <c r="P949" s="129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spans="1:26" ht="14.25" customHeight="1">
      <c r="A950" s="125"/>
      <c r="B950" s="125"/>
      <c r="C950" s="125"/>
      <c r="D950" s="126"/>
      <c r="E950" s="126"/>
      <c r="F950" s="125"/>
      <c r="G950" s="126"/>
      <c r="H950" s="126"/>
      <c r="I950" s="126"/>
      <c r="J950" s="126"/>
      <c r="K950" s="126"/>
      <c r="L950" s="126"/>
      <c r="M950" s="126"/>
      <c r="N950" s="129"/>
      <c r="O950" s="125"/>
      <c r="P950" s="129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spans="1:26" ht="14.25" customHeight="1">
      <c r="A951" s="125"/>
      <c r="B951" s="125"/>
      <c r="C951" s="125"/>
      <c r="D951" s="126"/>
      <c r="E951" s="126"/>
      <c r="F951" s="125"/>
      <c r="G951" s="126"/>
      <c r="H951" s="126"/>
      <c r="I951" s="126"/>
      <c r="J951" s="126"/>
      <c r="K951" s="126"/>
      <c r="L951" s="126"/>
      <c r="M951" s="126"/>
      <c r="N951" s="129"/>
      <c r="O951" s="125"/>
      <c r="P951" s="129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spans="1:26" ht="14.25" customHeight="1">
      <c r="A952" s="125"/>
      <c r="B952" s="125"/>
      <c r="C952" s="125"/>
      <c r="D952" s="126"/>
      <c r="E952" s="126"/>
      <c r="F952" s="125"/>
      <c r="G952" s="126"/>
      <c r="H952" s="126"/>
      <c r="I952" s="126"/>
      <c r="J952" s="126"/>
      <c r="K952" s="126"/>
      <c r="L952" s="126"/>
      <c r="M952" s="126"/>
      <c r="N952" s="129"/>
      <c r="O952" s="125"/>
      <c r="P952" s="129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spans="1:26" ht="14.25" customHeight="1">
      <c r="A953" s="125"/>
      <c r="B953" s="125"/>
      <c r="C953" s="125"/>
      <c r="D953" s="126"/>
      <c r="E953" s="126"/>
      <c r="F953" s="125"/>
      <c r="G953" s="126"/>
      <c r="H953" s="126"/>
      <c r="I953" s="126"/>
      <c r="J953" s="126"/>
      <c r="K953" s="126"/>
      <c r="L953" s="126"/>
      <c r="M953" s="126"/>
      <c r="N953" s="129"/>
      <c r="O953" s="125"/>
      <c r="P953" s="129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spans="1:26" ht="14.25" customHeight="1">
      <c r="A954" s="125"/>
      <c r="B954" s="125"/>
      <c r="C954" s="125"/>
      <c r="D954" s="126"/>
      <c r="E954" s="126"/>
      <c r="F954" s="125"/>
      <c r="G954" s="126"/>
      <c r="H954" s="126"/>
      <c r="I954" s="126"/>
      <c r="J954" s="126"/>
      <c r="K954" s="126"/>
      <c r="L954" s="126"/>
      <c r="M954" s="126"/>
      <c r="N954" s="129"/>
      <c r="O954" s="125"/>
      <c r="P954" s="129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spans="1:26" ht="14.25" customHeight="1">
      <c r="A955" s="125"/>
      <c r="B955" s="125"/>
      <c r="C955" s="125"/>
      <c r="D955" s="126"/>
      <c r="E955" s="126"/>
      <c r="F955" s="125"/>
      <c r="G955" s="126"/>
      <c r="H955" s="126"/>
      <c r="I955" s="126"/>
      <c r="J955" s="126"/>
      <c r="K955" s="126"/>
      <c r="L955" s="126"/>
      <c r="M955" s="126"/>
      <c r="N955" s="129"/>
      <c r="O955" s="125"/>
      <c r="P955" s="129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spans="1:26" ht="14.25" customHeight="1">
      <c r="A956" s="125"/>
      <c r="B956" s="125"/>
      <c r="C956" s="125"/>
      <c r="D956" s="126"/>
      <c r="E956" s="126"/>
      <c r="F956" s="125"/>
      <c r="G956" s="126"/>
      <c r="H956" s="126"/>
      <c r="I956" s="126"/>
      <c r="J956" s="126"/>
      <c r="K956" s="126"/>
      <c r="L956" s="126"/>
      <c r="M956" s="126"/>
      <c r="N956" s="129"/>
      <c r="O956" s="125"/>
      <c r="P956" s="129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spans="1:26" ht="14.25" customHeight="1">
      <c r="A957" s="125"/>
      <c r="B957" s="125"/>
      <c r="C957" s="125"/>
      <c r="D957" s="126"/>
      <c r="E957" s="126"/>
      <c r="F957" s="125"/>
      <c r="G957" s="126"/>
      <c r="H957" s="126"/>
      <c r="I957" s="126"/>
      <c r="J957" s="126"/>
      <c r="K957" s="126"/>
      <c r="L957" s="126"/>
      <c r="M957" s="126"/>
      <c r="N957" s="129"/>
      <c r="O957" s="125"/>
      <c r="P957" s="129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spans="1:26" ht="14.25" customHeight="1">
      <c r="A958" s="125"/>
      <c r="B958" s="125"/>
      <c r="C958" s="125"/>
      <c r="D958" s="126"/>
      <c r="E958" s="126"/>
      <c r="F958" s="125"/>
      <c r="G958" s="126"/>
      <c r="H958" s="126"/>
      <c r="I958" s="126"/>
      <c r="J958" s="126"/>
      <c r="K958" s="126"/>
      <c r="L958" s="126"/>
      <c r="M958" s="126"/>
      <c r="N958" s="129"/>
      <c r="O958" s="125"/>
      <c r="P958" s="129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spans="1:26" ht="14.25" customHeight="1">
      <c r="A959" s="125"/>
      <c r="B959" s="125"/>
      <c r="C959" s="125"/>
      <c r="D959" s="126"/>
      <c r="E959" s="126"/>
      <c r="F959" s="125"/>
      <c r="G959" s="126"/>
      <c r="H959" s="126"/>
      <c r="I959" s="126"/>
      <c r="J959" s="126"/>
      <c r="K959" s="126"/>
      <c r="L959" s="126"/>
      <c r="M959" s="126"/>
      <c r="N959" s="129"/>
      <c r="O959" s="125"/>
      <c r="P959" s="129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spans="1:26" ht="14.25" customHeight="1">
      <c r="A960" s="125"/>
      <c r="B960" s="125"/>
      <c r="C960" s="125"/>
      <c r="D960" s="126"/>
      <c r="E960" s="126"/>
      <c r="F960" s="125"/>
      <c r="G960" s="126"/>
      <c r="H960" s="126"/>
      <c r="I960" s="126"/>
      <c r="J960" s="126"/>
      <c r="K960" s="126"/>
      <c r="L960" s="126"/>
      <c r="M960" s="126"/>
      <c r="N960" s="129"/>
      <c r="O960" s="125"/>
      <c r="P960" s="129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spans="1:26" ht="14.25" customHeight="1">
      <c r="A961" s="125"/>
      <c r="B961" s="125"/>
      <c r="C961" s="125"/>
      <c r="D961" s="126"/>
      <c r="E961" s="126"/>
      <c r="F961" s="125"/>
      <c r="G961" s="126"/>
      <c r="H961" s="126"/>
      <c r="I961" s="126"/>
      <c r="J961" s="126"/>
      <c r="K961" s="126"/>
      <c r="L961" s="126"/>
      <c r="M961" s="126"/>
      <c r="N961" s="129"/>
      <c r="O961" s="125"/>
      <c r="P961" s="129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spans="1:26" ht="14.25" customHeight="1">
      <c r="A962" s="125"/>
      <c r="B962" s="125"/>
      <c r="C962" s="125"/>
      <c r="D962" s="126"/>
      <c r="E962" s="126"/>
      <c r="F962" s="125"/>
      <c r="G962" s="126"/>
      <c r="H962" s="126"/>
      <c r="I962" s="126"/>
      <c r="J962" s="126"/>
      <c r="K962" s="126"/>
      <c r="L962" s="126"/>
      <c r="M962" s="126"/>
      <c r="N962" s="129"/>
      <c r="O962" s="125"/>
      <c r="P962" s="129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spans="1:26" ht="14.25" customHeight="1">
      <c r="A963" s="125"/>
      <c r="B963" s="125"/>
      <c r="C963" s="125"/>
      <c r="D963" s="126"/>
      <c r="E963" s="126"/>
      <c r="F963" s="125"/>
      <c r="G963" s="126"/>
      <c r="H963" s="126"/>
      <c r="I963" s="126"/>
      <c r="J963" s="126"/>
      <c r="K963" s="126"/>
      <c r="L963" s="126"/>
      <c r="M963" s="126"/>
      <c r="N963" s="129"/>
      <c r="O963" s="125"/>
      <c r="P963" s="129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spans="1:26" ht="14.25" customHeight="1">
      <c r="A964" s="125"/>
      <c r="B964" s="125"/>
      <c r="C964" s="125"/>
      <c r="D964" s="126"/>
      <c r="E964" s="126"/>
      <c r="F964" s="125"/>
      <c r="G964" s="126"/>
      <c r="H964" s="126"/>
      <c r="I964" s="126"/>
      <c r="J964" s="126"/>
      <c r="K964" s="126"/>
      <c r="L964" s="126"/>
      <c r="M964" s="126"/>
      <c r="N964" s="129"/>
      <c r="O964" s="125"/>
      <c r="P964" s="129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spans="1:26" ht="14.25" customHeight="1">
      <c r="A965" s="125"/>
      <c r="B965" s="125"/>
      <c r="C965" s="125"/>
      <c r="D965" s="126"/>
      <c r="E965" s="126"/>
      <c r="F965" s="125"/>
      <c r="G965" s="126"/>
      <c r="H965" s="126"/>
      <c r="I965" s="126"/>
      <c r="J965" s="126"/>
      <c r="K965" s="126"/>
      <c r="L965" s="126"/>
      <c r="M965" s="126"/>
      <c r="N965" s="129"/>
      <c r="O965" s="125"/>
      <c r="P965" s="129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spans="1:26" ht="14.25" customHeight="1">
      <c r="A966" s="125"/>
      <c r="B966" s="125"/>
      <c r="C966" s="125"/>
      <c r="D966" s="126"/>
      <c r="E966" s="126"/>
      <c r="F966" s="125"/>
      <c r="G966" s="126"/>
      <c r="H966" s="126"/>
      <c r="I966" s="126"/>
      <c r="J966" s="126"/>
      <c r="K966" s="126"/>
      <c r="L966" s="126"/>
      <c r="M966" s="126"/>
      <c r="N966" s="129"/>
      <c r="O966" s="125"/>
      <c r="P966" s="129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spans="1:26" ht="14.25" customHeight="1">
      <c r="A967" s="125"/>
      <c r="B967" s="125"/>
      <c r="C967" s="125"/>
      <c r="D967" s="126"/>
      <c r="E967" s="126"/>
      <c r="F967" s="125"/>
      <c r="G967" s="126"/>
      <c r="H967" s="126"/>
      <c r="I967" s="126"/>
      <c r="J967" s="126"/>
      <c r="K967" s="126"/>
      <c r="L967" s="126"/>
      <c r="M967" s="126"/>
      <c r="N967" s="129"/>
      <c r="O967" s="125"/>
      <c r="P967" s="129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spans="1:26" ht="14.25" customHeight="1">
      <c r="A968" s="125"/>
      <c r="B968" s="125"/>
      <c r="C968" s="125"/>
      <c r="D968" s="126"/>
      <c r="E968" s="126"/>
      <c r="F968" s="125"/>
      <c r="G968" s="126"/>
      <c r="H968" s="126"/>
      <c r="I968" s="126"/>
      <c r="J968" s="126"/>
      <c r="K968" s="126"/>
      <c r="L968" s="126"/>
      <c r="M968" s="126"/>
      <c r="N968" s="129"/>
      <c r="O968" s="125"/>
      <c r="P968" s="129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spans="1:26" ht="14.25" customHeight="1">
      <c r="A969" s="125"/>
      <c r="B969" s="125"/>
      <c r="C969" s="125"/>
      <c r="D969" s="126"/>
      <c r="E969" s="126"/>
      <c r="F969" s="125"/>
      <c r="G969" s="126"/>
      <c r="H969" s="126"/>
      <c r="I969" s="126"/>
      <c r="J969" s="126"/>
      <c r="K969" s="126"/>
      <c r="L969" s="126"/>
      <c r="M969" s="126"/>
      <c r="N969" s="129"/>
      <c r="O969" s="125"/>
      <c r="P969" s="129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spans="1:26" ht="14.25" customHeight="1">
      <c r="A970" s="125"/>
      <c r="B970" s="125"/>
      <c r="C970" s="125"/>
      <c r="D970" s="126"/>
      <c r="E970" s="126"/>
      <c r="F970" s="125"/>
      <c r="G970" s="126"/>
      <c r="H970" s="126"/>
      <c r="I970" s="126"/>
      <c r="J970" s="126"/>
      <c r="K970" s="126"/>
      <c r="L970" s="126"/>
      <c r="M970" s="126"/>
      <c r="N970" s="129"/>
      <c r="O970" s="125"/>
      <c r="P970" s="129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spans="1:26" ht="14.25" customHeight="1">
      <c r="A971" s="125"/>
      <c r="B971" s="125"/>
      <c r="C971" s="125"/>
      <c r="D971" s="126"/>
      <c r="E971" s="126"/>
      <c r="F971" s="125"/>
      <c r="G971" s="126"/>
      <c r="H971" s="126"/>
      <c r="I971" s="126"/>
      <c r="J971" s="126"/>
      <c r="K971" s="126"/>
      <c r="L971" s="126"/>
      <c r="M971" s="126"/>
      <c r="N971" s="129"/>
      <c r="O971" s="125"/>
      <c r="P971" s="129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spans="1:26" ht="14.25" customHeight="1">
      <c r="A972" s="125"/>
      <c r="B972" s="125"/>
      <c r="C972" s="125"/>
      <c r="D972" s="126"/>
      <c r="E972" s="126"/>
      <c r="F972" s="125"/>
      <c r="G972" s="126"/>
      <c r="H972" s="126"/>
      <c r="I972" s="126"/>
      <c r="J972" s="126"/>
      <c r="K972" s="126"/>
      <c r="L972" s="126"/>
      <c r="M972" s="126"/>
      <c r="N972" s="129"/>
      <c r="O972" s="125"/>
      <c r="P972" s="129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spans="1:26" ht="14.25" customHeight="1">
      <c r="A973" s="125"/>
      <c r="B973" s="125"/>
      <c r="C973" s="125"/>
      <c r="D973" s="126"/>
      <c r="E973" s="126"/>
      <c r="F973" s="125"/>
      <c r="G973" s="126"/>
      <c r="H973" s="126"/>
      <c r="I973" s="126"/>
      <c r="J973" s="126"/>
      <c r="K973" s="126"/>
      <c r="L973" s="126"/>
      <c r="M973" s="126"/>
      <c r="N973" s="129"/>
      <c r="O973" s="125"/>
      <c r="P973" s="129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spans="1:26" ht="14.25" customHeight="1">
      <c r="A974" s="125"/>
      <c r="B974" s="125"/>
      <c r="C974" s="125"/>
      <c r="D974" s="126"/>
      <c r="E974" s="126"/>
      <c r="F974" s="125"/>
      <c r="G974" s="126"/>
      <c r="H974" s="126"/>
      <c r="I974" s="126"/>
      <c r="J974" s="126"/>
      <c r="K974" s="126"/>
      <c r="L974" s="126"/>
      <c r="M974" s="126"/>
      <c r="N974" s="129"/>
      <c r="O974" s="125"/>
      <c r="P974" s="129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spans="1:26" ht="14.25" customHeight="1">
      <c r="A975" s="125"/>
      <c r="B975" s="125"/>
      <c r="C975" s="125"/>
      <c r="D975" s="126"/>
      <c r="E975" s="126"/>
      <c r="F975" s="125"/>
      <c r="G975" s="126"/>
      <c r="H975" s="126"/>
      <c r="I975" s="126"/>
      <c r="J975" s="126"/>
      <c r="K975" s="126"/>
      <c r="L975" s="126"/>
      <c r="M975" s="126"/>
      <c r="N975" s="129"/>
      <c r="O975" s="125"/>
      <c r="P975" s="129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spans="1:26" ht="14.25" customHeight="1">
      <c r="A976" s="125"/>
      <c r="B976" s="125"/>
      <c r="C976" s="125"/>
      <c r="D976" s="126"/>
      <c r="E976" s="126"/>
      <c r="F976" s="125"/>
      <c r="G976" s="126"/>
      <c r="H976" s="126"/>
      <c r="I976" s="126"/>
      <c r="J976" s="126"/>
      <c r="K976" s="126"/>
      <c r="L976" s="126"/>
      <c r="M976" s="126"/>
      <c r="N976" s="129"/>
      <c r="O976" s="125"/>
      <c r="P976" s="129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spans="1:26" ht="14.25" customHeight="1">
      <c r="A977" s="125"/>
      <c r="B977" s="125"/>
      <c r="C977" s="125"/>
      <c r="D977" s="126"/>
      <c r="E977" s="126"/>
      <c r="F977" s="125"/>
      <c r="G977" s="126"/>
      <c r="H977" s="126"/>
      <c r="I977" s="126"/>
      <c r="J977" s="126"/>
      <c r="K977" s="126"/>
      <c r="L977" s="126"/>
      <c r="M977" s="126"/>
      <c r="N977" s="129"/>
      <c r="O977" s="125"/>
      <c r="P977" s="129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spans="1:26" ht="14.25" customHeight="1">
      <c r="A978" s="125"/>
      <c r="B978" s="125"/>
      <c r="C978" s="125"/>
      <c r="D978" s="126"/>
      <c r="E978" s="126"/>
      <c r="F978" s="125"/>
      <c r="G978" s="126"/>
      <c r="H978" s="126"/>
      <c r="I978" s="126"/>
      <c r="J978" s="126"/>
      <c r="K978" s="126"/>
      <c r="L978" s="126"/>
      <c r="M978" s="126"/>
      <c r="N978" s="129"/>
      <c r="O978" s="125"/>
      <c r="P978" s="129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spans="1:26" ht="14.25" customHeight="1">
      <c r="A979" s="125"/>
      <c r="B979" s="125"/>
      <c r="C979" s="125"/>
      <c r="D979" s="126"/>
      <c r="E979" s="126"/>
      <c r="F979" s="125"/>
      <c r="G979" s="126"/>
      <c r="H979" s="126"/>
      <c r="I979" s="126"/>
      <c r="J979" s="126"/>
      <c r="K979" s="126"/>
      <c r="L979" s="126"/>
      <c r="M979" s="126"/>
      <c r="N979" s="129"/>
      <c r="O979" s="125"/>
      <c r="P979" s="129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spans="1:26" ht="14.25" customHeight="1">
      <c r="A980" s="125"/>
      <c r="B980" s="125"/>
      <c r="C980" s="125"/>
      <c r="D980" s="126"/>
      <c r="E980" s="126"/>
      <c r="F980" s="125"/>
      <c r="G980" s="126"/>
      <c r="H980" s="126"/>
      <c r="I980" s="126"/>
      <c r="J980" s="126"/>
      <c r="K980" s="126"/>
      <c r="L980" s="126"/>
      <c r="M980" s="126"/>
      <c r="N980" s="129"/>
      <c r="O980" s="125"/>
      <c r="P980" s="129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spans="1:26" ht="14.25" customHeight="1">
      <c r="A981" s="125"/>
      <c r="B981" s="125"/>
      <c r="C981" s="125"/>
      <c r="D981" s="126"/>
      <c r="E981" s="126"/>
      <c r="F981" s="125"/>
      <c r="G981" s="126"/>
      <c r="H981" s="126"/>
      <c r="I981" s="126"/>
      <c r="J981" s="126"/>
      <c r="K981" s="126"/>
      <c r="L981" s="126"/>
      <c r="M981" s="126"/>
      <c r="N981" s="129"/>
      <c r="O981" s="125"/>
      <c r="P981" s="129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spans="1:26" ht="14.25" customHeight="1">
      <c r="A982" s="125"/>
      <c r="B982" s="125"/>
      <c r="C982" s="125"/>
      <c r="D982" s="126"/>
      <c r="E982" s="126"/>
      <c r="F982" s="125"/>
      <c r="G982" s="126"/>
      <c r="H982" s="126"/>
      <c r="I982" s="126"/>
      <c r="J982" s="126"/>
      <c r="K982" s="126"/>
      <c r="L982" s="126"/>
      <c r="M982" s="126"/>
      <c r="N982" s="129"/>
      <c r="O982" s="125"/>
      <c r="P982" s="129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spans="1:26" ht="14.25" customHeight="1">
      <c r="A983" s="125"/>
      <c r="B983" s="125"/>
      <c r="C983" s="125"/>
      <c r="D983" s="126"/>
      <c r="E983" s="126"/>
      <c r="F983" s="125"/>
      <c r="G983" s="126"/>
      <c r="H983" s="126"/>
      <c r="I983" s="126"/>
      <c r="J983" s="126"/>
      <c r="K983" s="126"/>
      <c r="L983" s="126"/>
      <c r="M983" s="126"/>
      <c r="N983" s="129"/>
      <c r="O983" s="125"/>
      <c r="P983" s="129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spans="1:26" ht="14.25" customHeight="1">
      <c r="A984" s="125"/>
      <c r="B984" s="125"/>
      <c r="C984" s="125"/>
      <c r="D984" s="126"/>
      <c r="E984" s="126"/>
      <c r="F984" s="125"/>
      <c r="G984" s="126"/>
      <c r="H984" s="126"/>
      <c r="I984" s="126"/>
      <c r="J984" s="126"/>
      <c r="K984" s="126"/>
      <c r="L984" s="126"/>
      <c r="M984" s="126"/>
      <c r="N984" s="129"/>
      <c r="O984" s="125"/>
      <c r="P984" s="129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spans="1:26" ht="14.25" customHeight="1">
      <c r="A985" s="125"/>
      <c r="B985" s="125"/>
      <c r="C985" s="125"/>
      <c r="D985" s="126"/>
      <c r="E985" s="126"/>
      <c r="F985" s="125"/>
      <c r="G985" s="126"/>
      <c r="H985" s="126"/>
      <c r="I985" s="126"/>
      <c r="J985" s="126"/>
      <c r="K985" s="126"/>
      <c r="L985" s="126"/>
      <c r="M985" s="126"/>
      <c r="N985" s="129"/>
      <c r="O985" s="125"/>
      <c r="P985" s="129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spans="1:26" ht="14.25" customHeight="1">
      <c r="A986" s="125"/>
      <c r="B986" s="125"/>
      <c r="C986" s="125"/>
      <c r="D986" s="126"/>
      <c r="E986" s="126"/>
      <c r="F986" s="125"/>
      <c r="G986" s="126"/>
      <c r="H986" s="126"/>
      <c r="I986" s="126"/>
      <c r="J986" s="126"/>
      <c r="K986" s="126"/>
      <c r="L986" s="126"/>
      <c r="M986" s="126"/>
      <c r="N986" s="129"/>
      <c r="O986" s="125"/>
      <c r="P986" s="129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spans="1:26" ht="14.25" customHeight="1">
      <c r="A987" s="125"/>
      <c r="B987" s="125"/>
      <c r="C987" s="125"/>
      <c r="D987" s="126"/>
      <c r="E987" s="126"/>
      <c r="F987" s="125"/>
      <c r="G987" s="126"/>
      <c r="H987" s="126"/>
      <c r="I987" s="126"/>
      <c r="J987" s="126"/>
      <c r="K987" s="126"/>
      <c r="L987" s="126"/>
      <c r="M987" s="126"/>
      <c r="N987" s="129"/>
      <c r="O987" s="125"/>
      <c r="P987" s="129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spans="1:26" ht="14.25" customHeight="1">
      <c r="A988" s="125"/>
      <c r="B988" s="125"/>
      <c r="C988" s="125"/>
      <c r="D988" s="126"/>
      <c r="E988" s="126"/>
      <c r="F988" s="125"/>
      <c r="G988" s="126"/>
      <c r="H988" s="126"/>
      <c r="I988" s="126"/>
      <c r="J988" s="126"/>
      <c r="K988" s="126"/>
      <c r="L988" s="126"/>
      <c r="M988" s="126"/>
      <c r="N988" s="129"/>
      <c r="O988" s="125"/>
      <c r="P988" s="129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spans="1:26" ht="14.25" customHeight="1">
      <c r="A989" s="125"/>
      <c r="B989" s="125"/>
      <c r="C989" s="125"/>
      <c r="D989" s="126"/>
      <c r="E989" s="126"/>
      <c r="F989" s="125"/>
      <c r="G989" s="126"/>
      <c r="H989" s="126"/>
      <c r="I989" s="126"/>
      <c r="J989" s="126"/>
      <c r="K989" s="126"/>
      <c r="L989" s="126"/>
      <c r="M989" s="126"/>
      <c r="N989" s="129"/>
      <c r="O989" s="125"/>
      <c r="P989" s="129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spans="1:26" ht="14.25" customHeight="1">
      <c r="A990" s="125"/>
      <c r="B990" s="125"/>
      <c r="C990" s="125"/>
      <c r="D990" s="126"/>
      <c r="E990" s="126"/>
      <c r="F990" s="125"/>
      <c r="G990" s="126"/>
      <c r="H990" s="126"/>
      <c r="I990" s="126"/>
      <c r="J990" s="126"/>
      <c r="K990" s="126"/>
      <c r="L990" s="126"/>
      <c r="M990" s="126"/>
      <c r="N990" s="129"/>
      <c r="O990" s="125"/>
      <c r="P990" s="129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spans="1:26" ht="14.25" customHeight="1">
      <c r="A991" s="125"/>
      <c r="B991" s="125"/>
      <c r="C991" s="125"/>
      <c r="D991" s="126"/>
      <c r="E991" s="126"/>
      <c r="F991" s="125"/>
      <c r="G991" s="126"/>
      <c r="H991" s="126"/>
      <c r="I991" s="126"/>
      <c r="J991" s="126"/>
      <c r="K991" s="126"/>
      <c r="L991" s="126"/>
      <c r="M991" s="126"/>
      <c r="N991" s="129"/>
      <c r="O991" s="125"/>
      <c r="P991" s="129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spans="1:26" ht="14.25" customHeight="1">
      <c r="A992" s="125"/>
      <c r="B992" s="125"/>
      <c r="C992" s="125"/>
      <c r="D992" s="126"/>
      <c r="E992" s="126"/>
      <c r="F992" s="125"/>
      <c r="G992" s="126"/>
      <c r="H992" s="126"/>
      <c r="I992" s="126"/>
      <c r="J992" s="126"/>
      <c r="K992" s="126"/>
      <c r="L992" s="126"/>
      <c r="M992" s="126"/>
      <c r="N992" s="129"/>
      <c r="O992" s="125"/>
      <c r="P992" s="129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spans="1:26" ht="14.25" customHeight="1">
      <c r="A993" s="125"/>
      <c r="B993" s="125"/>
      <c r="C993" s="125"/>
      <c r="D993" s="126"/>
      <c r="E993" s="126"/>
      <c r="F993" s="125"/>
      <c r="G993" s="126"/>
      <c r="H993" s="126"/>
      <c r="I993" s="126"/>
      <c r="J993" s="126"/>
      <c r="K993" s="126"/>
      <c r="L993" s="126"/>
      <c r="M993" s="126"/>
      <c r="N993" s="129"/>
      <c r="O993" s="125"/>
      <c r="P993" s="129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spans="1:26" ht="14.25" customHeight="1">
      <c r="A994" s="125"/>
      <c r="B994" s="125"/>
      <c r="C994" s="125"/>
      <c r="D994" s="126"/>
      <c r="E994" s="126"/>
      <c r="F994" s="125"/>
      <c r="G994" s="126"/>
      <c r="H994" s="126"/>
      <c r="I994" s="126"/>
      <c r="J994" s="126"/>
      <c r="K994" s="126"/>
      <c r="L994" s="126"/>
      <c r="M994" s="126"/>
      <c r="N994" s="129"/>
      <c r="O994" s="125"/>
      <c r="P994" s="129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spans="1:26" ht="14.25" customHeight="1">
      <c r="A995" s="125"/>
      <c r="B995" s="125"/>
      <c r="C995" s="125"/>
      <c r="D995" s="126"/>
      <c r="E995" s="126"/>
      <c r="F995" s="125"/>
      <c r="G995" s="126"/>
      <c r="H995" s="126"/>
      <c r="I995" s="126"/>
      <c r="J995" s="126"/>
      <c r="K995" s="126"/>
      <c r="L995" s="126"/>
      <c r="M995" s="126"/>
      <c r="N995" s="129"/>
      <c r="O995" s="125"/>
      <c r="P995" s="129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spans="1:26" ht="14.25" customHeight="1">
      <c r="A996" s="125"/>
      <c r="B996" s="125"/>
      <c r="C996" s="125"/>
      <c r="D996" s="126"/>
      <c r="E996" s="126"/>
      <c r="F996" s="125"/>
      <c r="G996" s="126"/>
      <c r="H996" s="126"/>
      <c r="I996" s="126"/>
      <c r="J996" s="126"/>
      <c r="K996" s="126"/>
      <c r="L996" s="126"/>
      <c r="M996" s="126"/>
      <c r="N996" s="129"/>
      <c r="O996" s="125"/>
      <c r="P996" s="129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spans="1:26" ht="14.25" customHeight="1">
      <c r="A997" s="125"/>
      <c r="B997" s="125"/>
      <c r="C997" s="125"/>
      <c r="D997" s="126"/>
      <c r="E997" s="126"/>
      <c r="F997" s="125"/>
      <c r="G997" s="126"/>
      <c r="H997" s="126"/>
      <c r="I997" s="126"/>
      <c r="J997" s="126"/>
      <c r="K997" s="126"/>
      <c r="L997" s="126"/>
      <c r="M997" s="126"/>
      <c r="N997" s="129"/>
      <c r="O997" s="125"/>
      <c r="P997" s="129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spans="1:26" ht="14.25" customHeight="1">
      <c r="A998" s="125"/>
      <c r="B998" s="125"/>
      <c r="C998" s="125"/>
      <c r="D998" s="126"/>
      <c r="E998" s="126"/>
      <c r="F998" s="125"/>
      <c r="G998" s="126"/>
      <c r="H998" s="126"/>
      <c r="I998" s="126"/>
      <c r="J998" s="126"/>
      <c r="K998" s="126"/>
      <c r="L998" s="126"/>
      <c r="M998" s="126"/>
      <c r="N998" s="129"/>
      <c r="O998" s="125"/>
      <c r="P998" s="129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spans="1:26" ht="14.25" customHeight="1">
      <c r="A999" s="125"/>
      <c r="B999" s="125"/>
      <c r="C999" s="125"/>
      <c r="D999" s="126"/>
      <c r="E999" s="126"/>
      <c r="F999" s="125"/>
      <c r="G999" s="126"/>
      <c r="H999" s="126"/>
      <c r="I999" s="126"/>
      <c r="J999" s="126"/>
      <c r="K999" s="126"/>
      <c r="L999" s="126"/>
      <c r="M999" s="126"/>
      <c r="N999" s="129"/>
      <c r="O999" s="125"/>
      <c r="P999" s="129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spans="1:26" ht="14.25" customHeight="1">
      <c r="A1000" s="125"/>
      <c r="B1000" s="125"/>
      <c r="C1000" s="125"/>
      <c r="D1000" s="126"/>
      <c r="E1000" s="126"/>
      <c r="F1000" s="125"/>
      <c r="G1000" s="126"/>
      <c r="H1000" s="126"/>
      <c r="I1000" s="126"/>
      <c r="J1000" s="126"/>
      <c r="K1000" s="126"/>
      <c r="L1000" s="126"/>
      <c r="M1000" s="126"/>
      <c r="N1000" s="129"/>
      <c r="O1000" s="125"/>
      <c r="P1000" s="129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autoFilter ref="B5:N142" xr:uid="{00000000-0009-0000-0000-000002000000}"/>
  <mergeCells count="1">
    <mergeCell ref="C1:D2"/>
  </mergeCells>
  <pageMargins left="0.7" right="0.7" top="0.75" bottom="0.75" header="0" footer="0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200-000000000000}">
          <x14:formula1>
            <xm:f>Mapping!$J$2:$J$53</xm:f>
          </x14:formula1>
          <xm:sqref>C4</xm:sqref>
        </x14:dataValidation>
        <x14:dataValidation type="list" allowBlank="1" showErrorMessage="1" xr:uid="{00000000-0002-0000-0200-000001000000}">
          <x14:formula1>
            <xm:f>Mapping!$C$2:$C$6549</xm:f>
          </x14:formula1>
          <xm:sqref>B4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E1000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3" sqref="F3"/>
    </sheetView>
  </sheetViews>
  <sheetFormatPr defaultColWidth="14.42578125" defaultRowHeight="15" customHeight="1"/>
  <cols>
    <col min="1" max="26" width="8.7109375" customWidth="1"/>
  </cols>
  <sheetData>
    <row r="1" spans="2:5" ht="14.25" customHeight="1"/>
    <row r="2" spans="2:5" ht="14.25" customHeight="1">
      <c r="B2" s="201" t="s">
        <v>3</v>
      </c>
      <c r="C2" s="202" t="s">
        <v>644</v>
      </c>
      <c r="D2" s="203" t="s">
        <v>645</v>
      </c>
      <c r="E2" s="203" t="s">
        <v>646</v>
      </c>
    </row>
    <row r="3" spans="2:5" ht="14.25" customHeight="1">
      <c r="B3" s="204" t="s">
        <v>647</v>
      </c>
      <c r="C3" s="205">
        <v>600</v>
      </c>
      <c r="D3" s="206">
        <v>12000</v>
      </c>
      <c r="E3" s="206">
        <v>21</v>
      </c>
    </row>
    <row r="4" spans="2:5" ht="14.25" customHeight="1">
      <c r="B4" s="204" t="s">
        <v>648</v>
      </c>
      <c r="C4" s="205">
        <v>600</v>
      </c>
      <c r="D4" s="206">
        <v>12000</v>
      </c>
      <c r="E4" s="206">
        <v>30</v>
      </c>
    </row>
    <row r="5" spans="2:5" ht="14.25" customHeight="1">
      <c r="B5" s="204" t="s">
        <v>649</v>
      </c>
      <c r="C5" s="205">
        <v>1000</v>
      </c>
      <c r="D5" s="206">
        <v>12000</v>
      </c>
      <c r="E5" s="206">
        <v>30</v>
      </c>
    </row>
    <row r="6" spans="2:5" ht="14.25" customHeight="1">
      <c r="B6" s="204" t="s">
        <v>650</v>
      </c>
      <c r="C6" s="205">
        <v>600</v>
      </c>
      <c r="D6" s="206">
        <v>9600</v>
      </c>
      <c r="E6" s="206">
        <v>30</v>
      </c>
    </row>
    <row r="7" spans="2:5" ht="14.25" customHeight="1">
      <c r="B7" s="204" t="s">
        <v>651</v>
      </c>
      <c r="C7" s="205">
        <v>500</v>
      </c>
      <c r="D7" s="206">
        <v>10000</v>
      </c>
      <c r="E7" s="206">
        <v>30</v>
      </c>
    </row>
    <row r="8" spans="2:5" ht="14.25" customHeight="1">
      <c r="B8" s="204" t="s">
        <v>652</v>
      </c>
      <c r="C8" s="205">
        <v>400</v>
      </c>
      <c r="D8" s="206">
        <v>4800</v>
      </c>
      <c r="E8" s="206">
        <v>30</v>
      </c>
    </row>
    <row r="9" spans="2:5" ht="14.25" customHeight="1">
      <c r="B9" s="204" t="s">
        <v>653</v>
      </c>
      <c r="C9" s="205">
        <v>800</v>
      </c>
      <c r="D9" s="206">
        <v>9600</v>
      </c>
      <c r="E9" s="206">
        <v>30</v>
      </c>
    </row>
    <row r="10" spans="2:5" ht="14.25" customHeight="1">
      <c r="B10" s="204" t="s">
        <v>654</v>
      </c>
      <c r="C10" s="205">
        <v>800</v>
      </c>
      <c r="D10" s="206">
        <v>9600</v>
      </c>
      <c r="E10" s="206">
        <v>30</v>
      </c>
    </row>
    <row r="11" spans="2:5" ht="14.25" customHeight="1">
      <c r="B11" s="204" t="s">
        <v>655</v>
      </c>
      <c r="C11" s="205">
        <v>1000</v>
      </c>
      <c r="D11" s="206">
        <v>12000</v>
      </c>
      <c r="E11" s="206">
        <v>30</v>
      </c>
    </row>
    <row r="12" spans="2:5" ht="14.25" customHeight="1">
      <c r="B12" s="204" t="s">
        <v>656</v>
      </c>
      <c r="C12" s="205">
        <v>800</v>
      </c>
      <c r="D12" s="206">
        <v>12800</v>
      </c>
      <c r="E12" s="206">
        <v>30</v>
      </c>
    </row>
    <row r="13" spans="2:5" ht="14.25" customHeight="1">
      <c r="B13" s="204" t="s">
        <v>657</v>
      </c>
      <c r="C13" s="205">
        <v>500</v>
      </c>
      <c r="D13" s="206">
        <v>10000</v>
      </c>
      <c r="E13" s="206">
        <v>52</v>
      </c>
    </row>
    <row r="14" spans="2:5" ht="14.25" customHeight="1">
      <c r="B14" s="204" t="s">
        <v>658</v>
      </c>
      <c r="C14" s="205">
        <v>500</v>
      </c>
      <c r="D14" s="206">
        <v>10000</v>
      </c>
      <c r="E14" s="206">
        <v>52</v>
      </c>
    </row>
    <row r="15" spans="2:5" ht="14.25" customHeight="1">
      <c r="B15" s="204" t="s">
        <v>659</v>
      </c>
      <c r="C15" s="205">
        <v>800</v>
      </c>
      <c r="D15" s="206">
        <v>9600</v>
      </c>
      <c r="E15" s="206">
        <v>30</v>
      </c>
    </row>
    <row r="16" spans="2:5" ht="14.25" customHeight="1">
      <c r="B16" s="204" t="s">
        <v>660</v>
      </c>
      <c r="C16" s="205">
        <v>500</v>
      </c>
      <c r="D16" s="206">
        <v>10000</v>
      </c>
      <c r="E16" s="206">
        <v>30</v>
      </c>
    </row>
    <row r="17" spans="2:5" ht="14.25" customHeight="1">
      <c r="B17" s="204" t="s">
        <v>661</v>
      </c>
      <c r="C17" s="205">
        <v>800</v>
      </c>
      <c r="D17" s="206">
        <v>9600</v>
      </c>
      <c r="E17" s="206">
        <v>30</v>
      </c>
    </row>
    <row r="18" spans="2:5" ht="14.25" customHeight="1">
      <c r="B18" s="204" t="s">
        <v>662</v>
      </c>
      <c r="C18" s="205">
        <v>600</v>
      </c>
      <c r="D18" s="206">
        <v>9600</v>
      </c>
      <c r="E18" s="206">
        <v>30</v>
      </c>
    </row>
    <row r="19" spans="2:5" ht="14.25" customHeight="1">
      <c r="B19" s="204" t="s">
        <v>663</v>
      </c>
      <c r="C19" s="205">
        <v>800</v>
      </c>
      <c r="D19" s="206">
        <v>9600</v>
      </c>
      <c r="E19" s="206">
        <v>30</v>
      </c>
    </row>
    <row r="20" spans="2:5" ht="14.25" customHeight="1">
      <c r="B20" s="204" t="s">
        <v>664</v>
      </c>
      <c r="C20" s="205">
        <v>600</v>
      </c>
      <c r="D20" s="206">
        <v>9600</v>
      </c>
      <c r="E20" s="206">
        <v>30</v>
      </c>
    </row>
    <row r="21" spans="2:5" ht="14.25" customHeight="1">
      <c r="B21" s="204" t="s">
        <v>665</v>
      </c>
      <c r="C21" s="205">
        <v>500</v>
      </c>
      <c r="D21" s="206">
        <v>10000</v>
      </c>
      <c r="E21" s="206">
        <v>52</v>
      </c>
    </row>
    <row r="22" spans="2:5" ht="14.25" customHeight="1">
      <c r="B22" s="204" t="s">
        <v>666</v>
      </c>
      <c r="C22" s="205">
        <v>600</v>
      </c>
      <c r="D22" s="206">
        <v>9600</v>
      </c>
      <c r="E22" s="206">
        <v>30</v>
      </c>
    </row>
    <row r="23" spans="2:5" ht="14.25" customHeight="1">
      <c r="B23" s="204" t="s">
        <v>667</v>
      </c>
      <c r="C23" s="205">
        <v>600</v>
      </c>
      <c r="D23" s="206">
        <v>9600</v>
      </c>
      <c r="E23" s="206">
        <v>21</v>
      </c>
    </row>
    <row r="24" spans="2:5" ht="14.25" customHeight="1">
      <c r="B24" s="204" t="s">
        <v>668</v>
      </c>
      <c r="C24" s="205">
        <v>600</v>
      </c>
      <c r="D24" s="206">
        <v>9600</v>
      </c>
      <c r="E24" s="206">
        <v>30</v>
      </c>
    </row>
    <row r="25" spans="2:5" ht="14.25" customHeight="1">
      <c r="B25" s="204" t="s">
        <v>669</v>
      </c>
      <c r="C25" s="205">
        <v>1000</v>
      </c>
      <c r="D25" s="206">
        <v>12000</v>
      </c>
      <c r="E25" s="206">
        <v>30</v>
      </c>
    </row>
    <row r="26" spans="2:5" ht="14.25" customHeight="1">
      <c r="B26" s="204" t="s">
        <v>670</v>
      </c>
      <c r="C26" s="205">
        <v>1000</v>
      </c>
      <c r="D26" s="206">
        <v>12000</v>
      </c>
      <c r="E26" s="206">
        <v>30</v>
      </c>
    </row>
    <row r="27" spans="2:5" ht="14.25" customHeight="1">
      <c r="B27" s="204" t="s">
        <v>671</v>
      </c>
      <c r="C27" s="205">
        <v>1000</v>
      </c>
      <c r="D27" s="206">
        <v>12000</v>
      </c>
      <c r="E27" s="206">
        <v>30</v>
      </c>
    </row>
    <row r="28" spans="2:5" ht="14.25" customHeight="1">
      <c r="B28" s="204" t="s">
        <v>672</v>
      </c>
      <c r="C28" s="205">
        <v>1000</v>
      </c>
      <c r="D28" s="206">
        <v>12000</v>
      </c>
      <c r="E28" s="206">
        <v>30</v>
      </c>
    </row>
    <row r="29" spans="2:5" ht="14.25" customHeight="1">
      <c r="B29" s="204" t="s">
        <v>673</v>
      </c>
      <c r="C29" s="205">
        <v>600</v>
      </c>
      <c r="D29" s="206">
        <v>9600</v>
      </c>
      <c r="E29" s="206">
        <v>30</v>
      </c>
    </row>
    <row r="30" spans="2:5" ht="14.25" customHeight="1">
      <c r="B30" s="204" t="s">
        <v>674</v>
      </c>
      <c r="C30" s="205">
        <v>200</v>
      </c>
      <c r="D30" s="206">
        <v>10000</v>
      </c>
      <c r="E30" s="206">
        <v>30</v>
      </c>
    </row>
    <row r="31" spans="2:5" ht="14.25" customHeight="1">
      <c r="B31" s="204" t="s">
        <v>675</v>
      </c>
      <c r="C31" s="205">
        <v>800</v>
      </c>
      <c r="D31" s="206">
        <v>9600</v>
      </c>
      <c r="E31" s="206">
        <v>30</v>
      </c>
    </row>
    <row r="32" spans="2:5" ht="14.25" customHeight="1">
      <c r="B32" s="204" t="s">
        <v>676</v>
      </c>
      <c r="C32" s="205">
        <v>500</v>
      </c>
      <c r="D32" s="206">
        <v>10000</v>
      </c>
      <c r="E32" s="206">
        <v>52</v>
      </c>
    </row>
    <row r="33" spans="2:5" ht="14.25" customHeight="1">
      <c r="B33" s="204" t="s">
        <v>677</v>
      </c>
      <c r="C33" s="205">
        <v>500</v>
      </c>
      <c r="D33" s="206">
        <v>10000</v>
      </c>
      <c r="E33" s="206">
        <v>52</v>
      </c>
    </row>
    <row r="34" spans="2:5" ht="14.25" customHeight="1">
      <c r="B34" s="204" t="s">
        <v>678</v>
      </c>
      <c r="C34" s="205">
        <v>500</v>
      </c>
      <c r="D34" s="206">
        <v>10000</v>
      </c>
      <c r="E34" s="206">
        <v>52</v>
      </c>
    </row>
    <row r="35" spans="2:5" ht="14.25" customHeight="1">
      <c r="B35" s="204" t="s">
        <v>679</v>
      </c>
      <c r="C35" s="205">
        <v>800</v>
      </c>
      <c r="D35" s="206">
        <v>9600</v>
      </c>
      <c r="E35" s="206">
        <v>30</v>
      </c>
    </row>
    <row r="36" spans="2:5" ht="14.25" customHeight="1">
      <c r="B36" s="204" t="s">
        <v>680</v>
      </c>
      <c r="C36" s="205">
        <v>800</v>
      </c>
      <c r="D36" s="206">
        <v>9600</v>
      </c>
      <c r="E36" s="206">
        <v>30</v>
      </c>
    </row>
    <row r="37" spans="2:5" ht="14.25" customHeight="1">
      <c r="B37" s="204" t="s">
        <v>681</v>
      </c>
      <c r="C37" s="205">
        <v>800</v>
      </c>
      <c r="D37" s="206">
        <v>9600</v>
      </c>
      <c r="E37" s="206">
        <v>30</v>
      </c>
    </row>
    <row r="38" spans="2:5" ht="14.25" customHeight="1">
      <c r="B38" s="204" t="s">
        <v>682</v>
      </c>
      <c r="C38" s="205">
        <v>800</v>
      </c>
      <c r="D38" s="206">
        <v>9600</v>
      </c>
      <c r="E38" s="206">
        <v>32</v>
      </c>
    </row>
    <row r="39" spans="2:5" ht="14.25" customHeight="1">
      <c r="B39" s="204" t="s">
        <v>683</v>
      </c>
      <c r="C39" s="205">
        <v>800</v>
      </c>
      <c r="D39" s="206">
        <v>9600</v>
      </c>
      <c r="E39" s="206">
        <v>30</v>
      </c>
    </row>
    <row r="40" spans="2:5" ht="14.25" customHeight="1">
      <c r="B40" s="204" t="s">
        <v>684</v>
      </c>
      <c r="C40" s="205">
        <v>500</v>
      </c>
      <c r="D40" s="206">
        <v>10000</v>
      </c>
      <c r="E40" s="206">
        <v>30</v>
      </c>
    </row>
    <row r="41" spans="2:5" ht="14.25" customHeight="1">
      <c r="B41" s="204" t="s">
        <v>685</v>
      </c>
      <c r="C41" s="205">
        <v>600</v>
      </c>
      <c r="D41" s="206">
        <v>9600</v>
      </c>
      <c r="E41" s="206">
        <v>32</v>
      </c>
    </row>
    <row r="42" spans="2:5" ht="14.25" customHeight="1">
      <c r="B42" s="204" t="s">
        <v>686</v>
      </c>
      <c r="C42" s="205">
        <v>800</v>
      </c>
      <c r="D42" s="206">
        <v>12800</v>
      </c>
      <c r="E42" s="206">
        <v>32</v>
      </c>
    </row>
    <row r="43" spans="2:5" ht="14.25" customHeight="1">
      <c r="B43" s="204" t="s">
        <v>687</v>
      </c>
      <c r="C43" s="205">
        <v>800</v>
      </c>
      <c r="D43" s="206">
        <v>9600</v>
      </c>
      <c r="E43" s="206">
        <v>32</v>
      </c>
    </row>
    <row r="44" spans="2:5" ht="14.25" customHeight="1">
      <c r="B44" s="204" t="s">
        <v>92</v>
      </c>
      <c r="C44" s="205">
        <v>1000</v>
      </c>
      <c r="D44" s="206">
        <v>12000</v>
      </c>
      <c r="E44" s="206">
        <v>32</v>
      </c>
    </row>
    <row r="45" spans="2:5" ht="14.25" customHeight="1">
      <c r="B45" s="204" t="s">
        <v>688</v>
      </c>
      <c r="C45" s="205">
        <v>1000</v>
      </c>
      <c r="D45" s="206">
        <v>12000</v>
      </c>
      <c r="E45" s="206">
        <v>32</v>
      </c>
    </row>
    <row r="46" spans="2:5" ht="14.25" customHeight="1">
      <c r="B46" s="204" t="s">
        <v>689</v>
      </c>
      <c r="C46" s="205">
        <v>800</v>
      </c>
      <c r="D46" s="206">
        <v>9600</v>
      </c>
      <c r="E46" s="206">
        <v>32</v>
      </c>
    </row>
    <row r="47" spans="2:5" ht="14.25" customHeight="1">
      <c r="B47" s="204" t="s">
        <v>690</v>
      </c>
      <c r="C47" s="205">
        <v>600</v>
      </c>
      <c r="D47" s="206">
        <v>9600</v>
      </c>
      <c r="E47" s="206">
        <v>30</v>
      </c>
    </row>
    <row r="48" spans="2:5" ht="14.25" customHeight="1">
      <c r="B48" s="204" t="s">
        <v>691</v>
      </c>
      <c r="C48" s="205">
        <v>800</v>
      </c>
      <c r="D48" s="206">
        <v>9600</v>
      </c>
      <c r="E48" s="206">
        <v>30</v>
      </c>
    </row>
    <row r="49" spans="2:5" ht="14.25" customHeight="1">
      <c r="B49" s="204" t="s">
        <v>692</v>
      </c>
      <c r="C49" s="205">
        <v>800</v>
      </c>
      <c r="D49" s="206">
        <v>9600</v>
      </c>
      <c r="E49" s="206">
        <v>32</v>
      </c>
    </row>
    <row r="50" spans="2:5" ht="14.25" customHeight="1">
      <c r="B50" s="204" t="s">
        <v>693</v>
      </c>
      <c r="C50" s="205">
        <v>800</v>
      </c>
      <c r="D50" s="206">
        <v>9600</v>
      </c>
      <c r="E50" s="206">
        <v>32</v>
      </c>
    </row>
    <row r="51" spans="2:5" ht="14.25" customHeight="1">
      <c r="B51" s="204" t="s">
        <v>694</v>
      </c>
      <c r="C51" s="205">
        <v>800</v>
      </c>
      <c r="D51" s="206">
        <v>9600</v>
      </c>
      <c r="E51" s="206">
        <v>32</v>
      </c>
    </row>
    <row r="52" spans="2:5" ht="14.25" customHeight="1">
      <c r="B52" s="204" t="s">
        <v>29</v>
      </c>
      <c r="C52" s="205">
        <v>800</v>
      </c>
      <c r="D52" s="206">
        <v>9600</v>
      </c>
      <c r="E52" s="206">
        <v>32</v>
      </c>
    </row>
    <row r="53" spans="2:5" ht="14.25" customHeight="1">
      <c r="B53" s="204" t="s">
        <v>120</v>
      </c>
      <c r="C53" s="205">
        <v>800</v>
      </c>
      <c r="D53" s="206">
        <v>9600</v>
      </c>
      <c r="E53" s="206">
        <v>32</v>
      </c>
    </row>
    <row r="54" spans="2:5" ht="14.25" customHeight="1">
      <c r="B54" s="204" t="s">
        <v>192</v>
      </c>
      <c r="C54" s="205">
        <v>800</v>
      </c>
      <c r="D54" s="206">
        <v>9600</v>
      </c>
      <c r="E54" s="206">
        <v>32</v>
      </c>
    </row>
    <row r="55" spans="2:5" ht="14.25" customHeight="1">
      <c r="B55" s="204" t="s">
        <v>695</v>
      </c>
      <c r="C55" s="205">
        <v>800</v>
      </c>
      <c r="D55" s="206">
        <v>9600</v>
      </c>
      <c r="E55" s="206">
        <v>32</v>
      </c>
    </row>
    <row r="56" spans="2:5" ht="14.25" customHeight="1">
      <c r="B56" s="204" t="s">
        <v>696</v>
      </c>
      <c r="C56" s="205">
        <v>800</v>
      </c>
      <c r="D56" s="206">
        <v>9600</v>
      </c>
      <c r="E56" s="206">
        <v>32</v>
      </c>
    </row>
    <row r="57" spans="2:5" ht="14.25" customHeight="1">
      <c r="B57" s="204" t="s">
        <v>37</v>
      </c>
      <c r="C57" s="205">
        <v>800</v>
      </c>
      <c r="D57" s="206">
        <v>9600</v>
      </c>
      <c r="E57" s="206">
        <v>32</v>
      </c>
    </row>
    <row r="58" spans="2:5" ht="14.25" customHeight="1">
      <c r="B58" s="204" t="s">
        <v>697</v>
      </c>
      <c r="C58" s="205">
        <v>800</v>
      </c>
      <c r="D58" s="206">
        <v>9600</v>
      </c>
      <c r="E58" s="206">
        <v>30</v>
      </c>
    </row>
    <row r="59" spans="2:5" ht="14.25" customHeight="1">
      <c r="B59" s="204" t="s">
        <v>698</v>
      </c>
      <c r="C59" s="205">
        <v>600</v>
      </c>
      <c r="D59" s="206">
        <v>9600</v>
      </c>
      <c r="E59" s="206">
        <v>32</v>
      </c>
    </row>
    <row r="60" spans="2:5" ht="14.25" customHeight="1">
      <c r="B60" s="204" t="s">
        <v>699</v>
      </c>
      <c r="C60" s="205">
        <v>800</v>
      </c>
      <c r="D60" s="206">
        <v>9600</v>
      </c>
      <c r="E60" s="206">
        <v>30</v>
      </c>
    </row>
    <row r="61" spans="2:5" ht="14.25" customHeight="1">
      <c r="B61" s="204" t="s">
        <v>700</v>
      </c>
      <c r="C61" s="205">
        <v>800</v>
      </c>
      <c r="D61" s="206">
        <v>9600</v>
      </c>
      <c r="E61" s="206">
        <v>32</v>
      </c>
    </row>
    <row r="62" spans="2:5" ht="14.25" customHeight="1">
      <c r="B62" s="204" t="s">
        <v>701</v>
      </c>
      <c r="C62" s="205">
        <v>800</v>
      </c>
      <c r="D62" s="206">
        <v>9600</v>
      </c>
      <c r="E62" s="206">
        <v>30</v>
      </c>
    </row>
    <row r="63" spans="2:5" ht="14.25" customHeight="1">
      <c r="B63" s="204" t="s">
        <v>702</v>
      </c>
      <c r="C63" s="205">
        <v>800</v>
      </c>
      <c r="D63" s="206">
        <v>9600</v>
      </c>
      <c r="E63" s="206">
        <v>30</v>
      </c>
    </row>
    <row r="64" spans="2:5" ht="14.25" customHeight="1">
      <c r="B64" s="204" t="s">
        <v>703</v>
      </c>
      <c r="C64" s="205">
        <v>600</v>
      </c>
      <c r="D64" s="206">
        <v>9600</v>
      </c>
      <c r="E64" s="206">
        <v>30</v>
      </c>
    </row>
    <row r="65" spans="2:5" ht="14.25" customHeight="1">
      <c r="B65" s="204" t="s">
        <v>67</v>
      </c>
      <c r="C65" s="205">
        <v>800</v>
      </c>
      <c r="D65" s="206">
        <v>12800</v>
      </c>
      <c r="E65" s="206">
        <v>32</v>
      </c>
    </row>
    <row r="66" spans="2:5" ht="14.25" customHeight="1">
      <c r="B66" s="204" t="s">
        <v>64</v>
      </c>
      <c r="C66" s="205">
        <v>800</v>
      </c>
      <c r="D66" s="206">
        <v>12800</v>
      </c>
      <c r="E66" s="206">
        <v>32</v>
      </c>
    </row>
    <row r="67" spans="2:5" ht="14.25" customHeight="1">
      <c r="B67" s="204" t="s">
        <v>704</v>
      </c>
      <c r="C67" s="205">
        <v>600</v>
      </c>
      <c r="D67" s="206">
        <v>9600</v>
      </c>
      <c r="E67" s="206">
        <v>32</v>
      </c>
    </row>
    <row r="68" spans="2:5" ht="14.25" customHeight="1">
      <c r="B68" s="204" t="s">
        <v>145</v>
      </c>
      <c r="C68" s="205">
        <v>600</v>
      </c>
      <c r="D68" s="206">
        <v>12000</v>
      </c>
      <c r="E68" s="206">
        <v>32</v>
      </c>
    </row>
    <row r="69" spans="2:5" ht="14.25" customHeight="1">
      <c r="B69" s="204" t="s">
        <v>77</v>
      </c>
      <c r="C69" s="205">
        <v>600</v>
      </c>
      <c r="D69" s="206">
        <v>9600</v>
      </c>
      <c r="E69" s="206">
        <v>32</v>
      </c>
    </row>
    <row r="70" spans="2:5" ht="14.25" customHeight="1">
      <c r="B70" s="204" t="s">
        <v>74</v>
      </c>
      <c r="C70" s="205">
        <v>800</v>
      </c>
      <c r="D70" s="206">
        <v>9600</v>
      </c>
      <c r="E70" s="206">
        <v>32</v>
      </c>
    </row>
    <row r="71" spans="2:5" ht="14.25" customHeight="1">
      <c r="B71" s="204" t="s">
        <v>79</v>
      </c>
      <c r="C71" s="205">
        <v>800</v>
      </c>
      <c r="D71" s="206">
        <v>9600</v>
      </c>
      <c r="E71" s="206">
        <v>32</v>
      </c>
    </row>
    <row r="72" spans="2:5" ht="14.25" customHeight="1">
      <c r="B72" s="204" t="s">
        <v>186</v>
      </c>
      <c r="C72" s="205">
        <v>800</v>
      </c>
      <c r="D72" s="206">
        <v>9600</v>
      </c>
      <c r="E72" s="206">
        <v>32</v>
      </c>
    </row>
    <row r="73" spans="2:5" ht="14.25" customHeight="1">
      <c r="B73" s="204" t="s">
        <v>57</v>
      </c>
      <c r="C73" s="205">
        <v>600</v>
      </c>
      <c r="D73" s="206">
        <v>12000</v>
      </c>
      <c r="E73" s="206">
        <v>40</v>
      </c>
    </row>
    <row r="74" spans="2:5" ht="14.25" customHeight="1">
      <c r="B74" s="204" t="s">
        <v>81</v>
      </c>
      <c r="C74" s="205">
        <v>800</v>
      </c>
      <c r="D74" s="206">
        <v>9600</v>
      </c>
      <c r="E74" s="206">
        <v>32</v>
      </c>
    </row>
    <row r="75" spans="2:5" ht="14.25" customHeight="1">
      <c r="B75" s="204" t="s">
        <v>203</v>
      </c>
      <c r="C75" s="205">
        <v>600</v>
      </c>
      <c r="D75" s="206">
        <v>7200</v>
      </c>
      <c r="E75" s="206">
        <v>32</v>
      </c>
    </row>
    <row r="76" spans="2:5" ht="14.25" customHeight="1">
      <c r="B76" s="204" t="s">
        <v>157</v>
      </c>
      <c r="C76" s="205">
        <v>800</v>
      </c>
      <c r="D76" s="206">
        <v>8000</v>
      </c>
      <c r="E76" s="206">
        <v>32</v>
      </c>
    </row>
    <row r="77" spans="2:5" ht="14.25" customHeight="1">
      <c r="B77" s="204" t="s">
        <v>160</v>
      </c>
      <c r="C77" s="205">
        <v>800</v>
      </c>
      <c r="D77" s="206">
        <v>9600</v>
      </c>
      <c r="E77" s="206">
        <v>32</v>
      </c>
    </row>
    <row r="78" spans="2:5" ht="14.25" customHeight="1">
      <c r="B78" s="204" t="s">
        <v>224</v>
      </c>
      <c r="C78" s="205">
        <v>600</v>
      </c>
      <c r="D78" s="206">
        <v>9600</v>
      </c>
      <c r="E78" s="206">
        <v>32</v>
      </c>
    </row>
    <row r="79" spans="2:5" ht="14.25" customHeight="1">
      <c r="B79" s="204" t="s">
        <v>227</v>
      </c>
      <c r="C79" s="205">
        <v>600</v>
      </c>
      <c r="D79" s="206">
        <v>9600</v>
      </c>
      <c r="E79" s="206">
        <v>32</v>
      </c>
    </row>
    <row r="80" spans="2:5" ht="14.25" customHeight="1">
      <c r="B80" s="204" t="s">
        <v>705</v>
      </c>
      <c r="C80" s="205">
        <v>800</v>
      </c>
      <c r="D80" s="206">
        <v>9600</v>
      </c>
      <c r="E80" s="206">
        <v>30</v>
      </c>
    </row>
    <row r="81" spans="2:5" ht="14.25" customHeight="1">
      <c r="B81" s="204" t="s">
        <v>25</v>
      </c>
      <c r="C81" s="205">
        <v>800</v>
      </c>
      <c r="D81" s="206">
        <v>9600</v>
      </c>
      <c r="E81" s="206">
        <v>32</v>
      </c>
    </row>
    <row r="82" spans="2:5" ht="14.25" customHeight="1">
      <c r="B82" s="204" t="s">
        <v>46</v>
      </c>
      <c r="C82" s="205">
        <v>500</v>
      </c>
      <c r="D82" s="207">
        <v>10000</v>
      </c>
      <c r="E82" s="206">
        <v>52</v>
      </c>
    </row>
    <row r="83" spans="2:5" ht="14.25" customHeight="1">
      <c r="B83" s="204" t="s">
        <v>107</v>
      </c>
      <c r="C83" s="205">
        <v>800</v>
      </c>
      <c r="D83" s="206">
        <v>9600</v>
      </c>
      <c r="E83" s="206">
        <v>32</v>
      </c>
    </row>
    <row r="84" spans="2:5" ht="14.25" customHeight="1">
      <c r="B84" s="204" t="s">
        <v>148</v>
      </c>
      <c r="C84" s="205">
        <v>600</v>
      </c>
      <c r="D84" s="206">
        <v>9600</v>
      </c>
      <c r="E84" s="206">
        <v>32</v>
      </c>
    </row>
    <row r="85" spans="2:5" ht="14.25" customHeight="1">
      <c r="B85" s="204" t="s">
        <v>126</v>
      </c>
      <c r="C85" s="205">
        <v>800</v>
      </c>
      <c r="D85" s="206">
        <v>9600</v>
      </c>
      <c r="E85" s="206">
        <v>32</v>
      </c>
    </row>
    <row r="86" spans="2:5" ht="14.25" customHeight="1">
      <c r="B86" s="204" t="s">
        <v>230</v>
      </c>
      <c r="C86" s="205">
        <v>600</v>
      </c>
      <c r="D86" s="206">
        <v>9600</v>
      </c>
      <c r="E86" s="206">
        <v>32</v>
      </c>
    </row>
    <row r="87" spans="2:5" ht="14.25" customHeight="1">
      <c r="B87" s="204" t="s">
        <v>129</v>
      </c>
      <c r="C87" s="205">
        <v>800</v>
      </c>
      <c r="D87" s="206">
        <v>9600</v>
      </c>
      <c r="E87" s="206">
        <v>32</v>
      </c>
    </row>
    <row r="88" spans="2:5" ht="14.25" customHeight="1">
      <c r="B88" s="204" t="s">
        <v>134</v>
      </c>
      <c r="C88" s="205">
        <v>800</v>
      </c>
      <c r="D88" s="206">
        <v>9600</v>
      </c>
      <c r="E88" s="206">
        <v>32</v>
      </c>
    </row>
    <row r="89" spans="2:5" ht="14.25" customHeight="1">
      <c r="B89" s="204" t="s">
        <v>189</v>
      </c>
      <c r="C89" s="205">
        <v>800</v>
      </c>
      <c r="D89" s="206">
        <v>9600</v>
      </c>
      <c r="E89" s="206">
        <v>32</v>
      </c>
    </row>
    <row r="90" spans="2:5" ht="14.25" customHeight="1">
      <c r="B90" s="204" t="s">
        <v>99</v>
      </c>
      <c r="C90" s="205">
        <v>600</v>
      </c>
      <c r="D90" s="206">
        <v>9600</v>
      </c>
      <c r="E90" s="206">
        <v>32</v>
      </c>
    </row>
    <row r="91" spans="2:5" ht="14.25" customHeight="1">
      <c r="B91" s="204" t="s">
        <v>101</v>
      </c>
      <c r="C91" s="205">
        <v>600</v>
      </c>
      <c r="D91" s="206">
        <v>9600</v>
      </c>
      <c r="E91" s="206">
        <v>32</v>
      </c>
    </row>
    <row r="92" spans="2:5" ht="14.25" customHeight="1">
      <c r="B92" s="204" t="s">
        <v>245</v>
      </c>
      <c r="C92" s="205">
        <v>800</v>
      </c>
      <c r="D92" s="206">
        <v>9600</v>
      </c>
      <c r="E92" s="206">
        <v>32</v>
      </c>
    </row>
    <row r="93" spans="2:5" ht="14.25" customHeight="1">
      <c r="B93" s="204" t="s">
        <v>247</v>
      </c>
      <c r="C93" s="205">
        <v>600</v>
      </c>
      <c r="D93" s="206">
        <v>12000</v>
      </c>
      <c r="E93" s="206">
        <v>32</v>
      </c>
    </row>
    <row r="94" spans="2:5" ht="14.25" customHeight="1">
      <c r="B94" s="204" t="s">
        <v>250</v>
      </c>
      <c r="C94" s="205">
        <v>800</v>
      </c>
      <c r="D94" s="206">
        <v>9600</v>
      </c>
      <c r="E94" s="206">
        <v>32</v>
      </c>
    </row>
    <row r="95" spans="2:5" ht="14.25" customHeight="1">
      <c r="B95" s="204" t="s">
        <v>252</v>
      </c>
      <c r="C95" s="205">
        <v>600</v>
      </c>
      <c r="D95" s="206">
        <v>9600</v>
      </c>
      <c r="E95" s="206">
        <v>32</v>
      </c>
    </row>
    <row r="96" spans="2:5" ht="14.25" customHeight="1">
      <c r="B96" s="204" t="s">
        <v>275</v>
      </c>
      <c r="C96" s="205">
        <v>600</v>
      </c>
      <c r="D96" s="206">
        <v>12000</v>
      </c>
      <c r="E96" s="206">
        <v>32</v>
      </c>
    </row>
    <row r="97" spans="2:5" ht="14.25" customHeight="1">
      <c r="B97" s="204" t="s">
        <v>273</v>
      </c>
      <c r="C97" s="205">
        <v>800</v>
      </c>
      <c r="D97" s="206">
        <v>9600</v>
      </c>
      <c r="E97" s="206">
        <v>32</v>
      </c>
    </row>
    <row r="98" spans="2:5" ht="14.25" customHeight="1">
      <c r="B98" s="204" t="s">
        <v>279</v>
      </c>
      <c r="C98" s="205">
        <v>800</v>
      </c>
      <c r="D98" s="206">
        <v>9600</v>
      </c>
      <c r="E98" s="206">
        <v>32</v>
      </c>
    </row>
    <row r="99" spans="2:5" ht="14.25" customHeight="1">
      <c r="B99" s="204" t="s">
        <v>281</v>
      </c>
      <c r="C99" s="205">
        <v>600</v>
      </c>
      <c r="D99" s="206">
        <v>9600</v>
      </c>
      <c r="E99" s="206">
        <v>32</v>
      </c>
    </row>
    <row r="100" spans="2:5" ht="14.25" customHeight="1">
      <c r="B100" s="204" t="s">
        <v>254</v>
      </c>
      <c r="C100" s="205">
        <v>600</v>
      </c>
      <c r="D100" s="206">
        <v>9600</v>
      </c>
      <c r="E100" s="206">
        <v>32</v>
      </c>
    </row>
    <row r="101" spans="2:5" ht="14.25" customHeight="1">
      <c r="B101" s="204" t="s">
        <v>239</v>
      </c>
      <c r="C101" s="205">
        <v>800</v>
      </c>
      <c r="D101" s="206">
        <v>9600</v>
      </c>
      <c r="E101" s="206">
        <v>32</v>
      </c>
    </row>
    <row r="102" spans="2:5" ht="14.25" customHeight="1">
      <c r="B102" s="204" t="s">
        <v>109</v>
      </c>
      <c r="C102" s="205">
        <v>600</v>
      </c>
      <c r="D102" s="206">
        <v>9600</v>
      </c>
      <c r="E102" s="206">
        <v>32</v>
      </c>
    </row>
    <row r="103" spans="2:5" ht="14.25" customHeight="1">
      <c r="B103" s="204" t="s">
        <v>268</v>
      </c>
      <c r="C103" s="205">
        <v>800</v>
      </c>
      <c r="D103" s="206">
        <v>9600</v>
      </c>
      <c r="E103" s="206">
        <v>32</v>
      </c>
    </row>
    <row r="104" spans="2:5" ht="14.25" customHeight="1">
      <c r="B104" s="204" t="s">
        <v>264</v>
      </c>
      <c r="C104" s="205">
        <v>800</v>
      </c>
      <c r="D104" s="206">
        <v>9600</v>
      </c>
      <c r="E104" s="206">
        <v>32</v>
      </c>
    </row>
    <row r="105" spans="2:5" ht="14.25" customHeight="1">
      <c r="B105" s="204" t="s">
        <v>266</v>
      </c>
      <c r="C105" s="205">
        <v>600</v>
      </c>
      <c r="D105" s="206">
        <v>9600</v>
      </c>
      <c r="E105" s="206">
        <v>32</v>
      </c>
    </row>
    <row r="106" spans="2:5" ht="14.25" customHeight="1">
      <c r="B106" s="204" t="s">
        <v>258</v>
      </c>
      <c r="C106" s="205">
        <v>800</v>
      </c>
      <c r="D106" s="206">
        <v>9600</v>
      </c>
      <c r="E106" s="206">
        <v>32</v>
      </c>
    </row>
    <row r="107" spans="2:5" ht="14.25" customHeight="1">
      <c r="B107" s="204" t="s">
        <v>260</v>
      </c>
      <c r="C107" s="205">
        <v>600</v>
      </c>
      <c r="D107" s="206">
        <v>9600</v>
      </c>
      <c r="E107" s="206">
        <v>32</v>
      </c>
    </row>
    <row r="108" spans="2:5" ht="14.25" customHeight="1">
      <c r="B108" s="204" t="s">
        <v>262</v>
      </c>
      <c r="C108" s="205">
        <v>800</v>
      </c>
      <c r="D108" s="206">
        <v>9600</v>
      </c>
      <c r="E108" s="206">
        <v>32</v>
      </c>
    </row>
    <row r="109" spans="2:5" ht="14.25" customHeight="1">
      <c r="B109" s="204" t="s">
        <v>256</v>
      </c>
      <c r="C109" s="205">
        <v>600</v>
      </c>
      <c r="D109" s="206">
        <v>7200</v>
      </c>
      <c r="E109" s="206">
        <v>32</v>
      </c>
    </row>
    <row r="110" spans="2:5" ht="14.25" customHeight="1">
      <c r="B110" s="204" t="s">
        <v>137</v>
      </c>
      <c r="C110" s="205">
        <v>600</v>
      </c>
      <c r="D110" s="206">
        <v>9600</v>
      </c>
      <c r="E110" s="206">
        <v>32</v>
      </c>
    </row>
    <row r="111" spans="2:5" ht="14.25" customHeight="1">
      <c r="B111" s="204" t="s">
        <v>151</v>
      </c>
      <c r="C111" s="205">
        <v>600</v>
      </c>
      <c r="D111" s="206">
        <v>9600</v>
      </c>
      <c r="E111" s="206">
        <v>32</v>
      </c>
    </row>
    <row r="112" spans="2:5" ht="14.25" customHeight="1">
      <c r="B112" s="204" t="s">
        <v>85</v>
      </c>
      <c r="C112" s="205">
        <v>800</v>
      </c>
      <c r="D112" s="206">
        <v>12800</v>
      </c>
      <c r="E112" s="206">
        <v>32</v>
      </c>
    </row>
    <row r="113" spans="2:5" ht="14.25" customHeight="1">
      <c r="B113" s="204" t="s">
        <v>49</v>
      </c>
      <c r="C113" s="205">
        <v>800</v>
      </c>
      <c r="D113" s="206">
        <v>9600</v>
      </c>
      <c r="E113" s="206">
        <v>32</v>
      </c>
    </row>
    <row r="114" spans="2:5" ht="14.25" customHeight="1">
      <c r="B114" s="204" t="s">
        <v>34</v>
      </c>
      <c r="C114" s="205">
        <v>800</v>
      </c>
      <c r="D114" s="206">
        <v>9600</v>
      </c>
      <c r="E114" s="206">
        <v>32</v>
      </c>
    </row>
    <row r="115" spans="2:5" ht="14.25" customHeight="1">
      <c r="B115" s="204" t="s">
        <v>706</v>
      </c>
      <c r="C115" s="205">
        <v>600</v>
      </c>
      <c r="D115" s="206">
        <v>9600</v>
      </c>
      <c r="E115" s="206">
        <v>30</v>
      </c>
    </row>
    <row r="116" spans="2:5" ht="14.25" customHeight="1">
      <c r="B116" s="204" t="s">
        <v>707</v>
      </c>
      <c r="C116" s="205">
        <v>400</v>
      </c>
      <c r="D116" s="206">
        <v>4800</v>
      </c>
      <c r="E116" s="206">
        <v>30</v>
      </c>
    </row>
    <row r="117" spans="2:5" ht="14.25" customHeight="1">
      <c r="B117" s="204" t="s">
        <v>708</v>
      </c>
      <c r="C117" s="205">
        <v>800</v>
      </c>
      <c r="D117" s="206">
        <v>9600</v>
      </c>
      <c r="E117" s="206">
        <v>30</v>
      </c>
    </row>
    <row r="118" spans="2:5" ht="14.25" customHeight="1">
      <c r="B118" s="204" t="s">
        <v>286</v>
      </c>
      <c r="C118" s="205">
        <v>600</v>
      </c>
      <c r="D118" s="206">
        <v>9600</v>
      </c>
      <c r="E118" s="206">
        <v>40</v>
      </c>
    </row>
    <row r="119" spans="2:5" ht="14.25" customHeight="1">
      <c r="B119" s="204" t="s">
        <v>88</v>
      </c>
      <c r="C119" s="205">
        <v>800</v>
      </c>
      <c r="D119" s="206">
        <v>9600</v>
      </c>
      <c r="E119" s="206">
        <v>40</v>
      </c>
    </row>
    <row r="120" spans="2:5" ht="14.25" customHeight="1">
      <c r="B120" s="204" t="s">
        <v>41</v>
      </c>
      <c r="C120" s="205">
        <v>800</v>
      </c>
      <c r="D120" s="206">
        <v>9600</v>
      </c>
      <c r="E120" s="206">
        <v>32</v>
      </c>
    </row>
    <row r="121" spans="2:5" ht="14.25" customHeight="1">
      <c r="B121" s="204" t="s">
        <v>123</v>
      </c>
      <c r="C121" s="205">
        <v>600</v>
      </c>
      <c r="D121" s="206">
        <v>9600</v>
      </c>
      <c r="E121" s="206">
        <v>32</v>
      </c>
    </row>
    <row r="122" spans="2:5" ht="14.25" customHeight="1">
      <c r="B122" s="204" t="s">
        <v>288</v>
      </c>
      <c r="C122" s="205">
        <v>600</v>
      </c>
      <c r="D122" s="206">
        <v>9600</v>
      </c>
      <c r="E122" s="206">
        <v>40</v>
      </c>
    </row>
    <row r="123" spans="2:5" ht="14.25" customHeight="1">
      <c r="B123" s="204" t="s">
        <v>60</v>
      </c>
      <c r="C123" s="205">
        <v>800</v>
      </c>
      <c r="D123" s="206">
        <v>9600</v>
      </c>
      <c r="E123" s="206">
        <v>40</v>
      </c>
    </row>
    <row r="124" spans="2:5" ht="14.25" customHeight="1">
      <c r="B124" s="204" t="s">
        <v>210</v>
      </c>
      <c r="C124" s="205">
        <v>800</v>
      </c>
      <c r="D124" s="206">
        <v>9600</v>
      </c>
      <c r="E124" s="206">
        <v>32</v>
      </c>
    </row>
    <row r="125" spans="2:5" ht="14.25" customHeight="1">
      <c r="B125" s="204" t="s">
        <v>234</v>
      </c>
      <c r="C125" s="205">
        <v>600</v>
      </c>
      <c r="D125" s="206">
        <v>9600</v>
      </c>
      <c r="E125" s="206">
        <v>32</v>
      </c>
    </row>
    <row r="126" spans="2:5" ht="14.25" customHeight="1">
      <c r="B126" s="204" t="s">
        <v>232</v>
      </c>
      <c r="C126" s="205">
        <v>600</v>
      </c>
      <c r="D126" s="206">
        <v>9600</v>
      </c>
      <c r="E126" s="206">
        <v>32</v>
      </c>
    </row>
    <row r="127" spans="2:5" ht="14.25" customHeight="1">
      <c r="B127" s="204" t="s">
        <v>104</v>
      </c>
      <c r="C127" s="205">
        <v>600</v>
      </c>
      <c r="D127" s="206">
        <v>9600</v>
      </c>
      <c r="E127" s="206">
        <v>32</v>
      </c>
    </row>
    <row r="128" spans="2:5" ht="14.25" customHeight="1">
      <c r="B128" s="204" t="s">
        <v>142</v>
      </c>
      <c r="C128" s="205">
        <v>800</v>
      </c>
      <c r="D128" s="206">
        <v>9600</v>
      </c>
      <c r="E128" s="206">
        <v>32</v>
      </c>
    </row>
    <row r="129" spans="2:5" ht="14.25" customHeight="1">
      <c r="B129" s="204" t="s">
        <v>709</v>
      </c>
      <c r="C129" s="205">
        <v>480</v>
      </c>
      <c r="D129" s="206">
        <v>7680</v>
      </c>
      <c r="E129" s="206">
        <v>30</v>
      </c>
    </row>
    <row r="130" spans="2:5" ht="14.25" customHeight="1">
      <c r="B130" s="204" t="s">
        <v>710</v>
      </c>
      <c r="C130" s="205">
        <v>800</v>
      </c>
      <c r="D130" s="206">
        <v>9600</v>
      </c>
      <c r="E130" s="206">
        <v>30</v>
      </c>
    </row>
    <row r="131" spans="2:5" ht="14.25" customHeight="1">
      <c r="B131" s="204" t="s">
        <v>153</v>
      </c>
      <c r="C131" s="205">
        <v>600</v>
      </c>
      <c r="D131" s="206">
        <v>12000</v>
      </c>
      <c r="E131" s="206">
        <v>32</v>
      </c>
    </row>
    <row r="132" spans="2:5" ht="14.25" customHeight="1">
      <c r="B132" s="204" t="s">
        <v>711</v>
      </c>
      <c r="C132" s="205">
        <v>400</v>
      </c>
      <c r="D132" s="206">
        <v>4800</v>
      </c>
      <c r="E132" s="206">
        <v>30</v>
      </c>
    </row>
    <row r="133" spans="2:5" ht="14.25" customHeight="1">
      <c r="B133" s="204" t="s">
        <v>712</v>
      </c>
      <c r="C133" s="205">
        <v>800</v>
      </c>
      <c r="D133" s="206">
        <v>9600</v>
      </c>
      <c r="E133" s="206">
        <v>30</v>
      </c>
    </row>
    <row r="134" spans="2:5" ht="14.25" customHeight="1">
      <c r="B134" s="204" t="s">
        <v>713</v>
      </c>
      <c r="C134" s="205">
        <v>600</v>
      </c>
      <c r="D134" s="206">
        <v>9600</v>
      </c>
      <c r="E134" s="206">
        <v>30</v>
      </c>
    </row>
    <row r="135" spans="2:5" ht="14.25" customHeight="1">
      <c r="B135" s="204" t="s">
        <v>714</v>
      </c>
      <c r="C135" s="205">
        <v>1000</v>
      </c>
      <c r="D135" s="206">
        <v>12000</v>
      </c>
      <c r="E135" s="206">
        <v>30</v>
      </c>
    </row>
    <row r="136" spans="2:5" ht="14.25" customHeight="1">
      <c r="B136" s="204" t="s">
        <v>715</v>
      </c>
      <c r="C136" s="205">
        <v>800</v>
      </c>
      <c r="D136" s="206">
        <v>9600</v>
      </c>
      <c r="E136" s="206">
        <v>30</v>
      </c>
    </row>
    <row r="137" spans="2:5" ht="14.25" customHeight="1">
      <c r="B137" s="204" t="s">
        <v>716</v>
      </c>
      <c r="C137" s="205">
        <v>800</v>
      </c>
      <c r="D137" s="206">
        <v>9600</v>
      </c>
      <c r="E137" s="206">
        <v>30</v>
      </c>
    </row>
    <row r="138" spans="2:5" ht="14.25" customHeight="1">
      <c r="B138" s="204" t="s">
        <v>717</v>
      </c>
      <c r="C138" s="205">
        <v>600</v>
      </c>
      <c r="D138" s="206">
        <v>9600</v>
      </c>
      <c r="E138" s="206">
        <v>30</v>
      </c>
    </row>
    <row r="139" spans="2:5" ht="14.25" customHeight="1">
      <c r="B139" s="204" t="s">
        <v>718</v>
      </c>
      <c r="C139" s="205">
        <v>400</v>
      </c>
      <c r="D139" s="206">
        <v>4800</v>
      </c>
      <c r="E139" s="206">
        <v>30</v>
      </c>
    </row>
    <row r="140" spans="2:5" ht="14.25" customHeight="1">
      <c r="B140" s="204" t="s">
        <v>719</v>
      </c>
      <c r="C140" s="205">
        <v>600</v>
      </c>
      <c r="D140" s="206">
        <v>9600</v>
      </c>
      <c r="E140" s="206">
        <v>30</v>
      </c>
    </row>
    <row r="141" spans="2:5" ht="14.25" customHeight="1">
      <c r="B141" s="204" t="s">
        <v>166</v>
      </c>
      <c r="C141" s="205">
        <v>800</v>
      </c>
      <c r="D141" s="206">
        <v>9600</v>
      </c>
      <c r="E141" s="206">
        <v>32</v>
      </c>
    </row>
    <row r="142" spans="2:5" ht="14.25" customHeight="1">
      <c r="B142" s="204" t="s">
        <v>169</v>
      </c>
      <c r="C142" s="205">
        <v>600</v>
      </c>
      <c r="D142" s="206">
        <v>9600</v>
      </c>
      <c r="E142" s="206">
        <v>32</v>
      </c>
    </row>
    <row r="143" spans="2:5" ht="14.25" customHeight="1">
      <c r="B143" s="204" t="s">
        <v>171</v>
      </c>
      <c r="C143" s="205">
        <v>600</v>
      </c>
      <c r="D143" s="206">
        <v>12000</v>
      </c>
      <c r="E143" s="206">
        <v>32</v>
      </c>
    </row>
    <row r="144" spans="2:5" ht="14.25" customHeight="1">
      <c r="B144" s="204" t="s">
        <v>720</v>
      </c>
      <c r="C144" s="205">
        <v>800</v>
      </c>
      <c r="D144" s="206">
        <v>9600</v>
      </c>
      <c r="E144" s="206">
        <v>30</v>
      </c>
    </row>
    <row r="145" spans="2:5" ht="14.25" customHeight="1">
      <c r="B145" s="204" t="s">
        <v>721</v>
      </c>
      <c r="C145" s="205">
        <v>800</v>
      </c>
      <c r="D145" s="206">
        <v>9600</v>
      </c>
      <c r="E145" s="206">
        <v>30</v>
      </c>
    </row>
    <row r="146" spans="2:5" ht="14.25" customHeight="1">
      <c r="B146" s="204" t="s">
        <v>722</v>
      </c>
      <c r="C146" s="205">
        <v>600</v>
      </c>
      <c r="D146" s="206">
        <v>9600</v>
      </c>
      <c r="E146" s="206">
        <v>30</v>
      </c>
    </row>
    <row r="147" spans="2:5" ht="14.25" customHeight="1">
      <c r="B147" s="204" t="s">
        <v>723</v>
      </c>
      <c r="C147" s="205">
        <v>600</v>
      </c>
      <c r="D147" s="206">
        <v>12000</v>
      </c>
      <c r="E147" s="206">
        <v>30</v>
      </c>
    </row>
    <row r="148" spans="2:5" ht="14.25" customHeight="1">
      <c r="B148" s="204" t="s">
        <v>724</v>
      </c>
      <c r="C148" s="205">
        <v>800</v>
      </c>
      <c r="D148" s="206">
        <v>9600</v>
      </c>
      <c r="E148" s="206">
        <v>30</v>
      </c>
    </row>
    <row r="149" spans="2:5" ht="14.25" customHeight="1">
      <c r="B149" s="204" t="s">
        <v>725</v>
      </c>
      <c r="C149" s="205">
        <v>800</v>
      </c>
      <c r="D149" s="206">
        <v>9600</v>
      </c>
      <c r="E149" s="206">
        <v>30</v>
      </c>
    </row>
    <row r="150" spans="2:5" ht="14.25" customHeight="1">
      <c r="B150" s="204" t="s">
        <v>726</v>
      </c>
      <c r="C150" s="205">
        <v>800</v>
      </c>
      <c r="D150" s="206">
        <v>9600</v>
      </c>
      <c r="E150" s="206">
        <v>30</v>
      </c>
    </row>
    <row r="151" spans="2:5" ht="14.25" customHeight="1">
      <c r="B151" s="204" t="s">
        <v>727</v>
      </c>
      <c r="C151" s="205">
        <v>800</v>
      </c>
      <c r="D151" s="206">
        <v>9600</v>
      </c>
      <c r="E151" s="206">
        <v>30</v>
      </c>
    </row>
    <row r="152" spans="2:5" ht="14.25" customHeight="1">
      <c r="B152" s="204" t="s">
        <v>728</v>
      </c>
      <c r="C152" s="205">
        <v>800</v>
      </c>
      <c r="D152" s="206">
        <v>9600</v>
      </c>
      <c r="E152" s="206">
        <v>30</v>
      </c>
    </row>
    <row r="153" spans="2:5" ht="14.25" customHeight="1">
      <c r="B153" s="204" t="s">
        <v>729</v>
      </c>
      <c r="C153" s="205">
        <v>500</v>
      </c>
      <c r="D153" s="206">
        <v>10000</v>
      </c>
      <c r="E153" s="206">
        <v>30</v>
      </c>
    </row>
    <row r="154" spans="2:5" ht="14.25" customHeight="1">
      <c r="B154" s="204" t="s">
        <v>730</v>
      </c>
      <c r="C154" s="205">
        <v>500</v>
      </c>
      <c r="D154" s="206">
        <v>10000</v>
      </c>
      <c r="E154" s="206">
        <v>30</v>
      </c>
    </row>
    <row r="155" spans="2:5" ht="14.25" customHeight="1">
      <c r="B155" s="204" t="s">
        <v>731</v>
      </c>
      <c r="C155" s="205">
        <v>800</v>
      </c>
      <c r="D155" s="206">
        <v>9600</v>
      </c>
      <c r="E155" s="206">
        <v>30</v>
      </c>
    </row>
    <row r="156" spans="2:5" ht="14.25" customHeight="1">
      <c r="B156" s="204" t="s">
        <v>732</v>
      </c>
      <c r="C156" s="205">
        <v>800</v>
      </c>
      <c r="D156" s="206">
        <v>9600</v>
      </c>
      <c r="E156" s="206">
        <v>30</v>
      </c>
    </row>
    <row r="157" spans="2:5" ht="14.25" customHeight="1">
      <c r="B157" s="204" t="s">
        <v>733</v>
      </c>
      <c r="C157" s="205">
        <v>800</v>
      </c>
      <c r="D157" s="206">
        <v>9600</v>
      </c>
      <c r="E157" s="206">
        <v>30</v>
      </c>
    </row>
    <row r="158" spans="2:5" ht="14.25" customHeight="1">
      <c r="B158" s="204" t="s">
        <v>112</v>
      </c>
      <c r="C158" s="205">
        <v>480</v>
      </c>
      <c r="D158" s="206">
        <v>9600</v>
      </c>
      <c r="E158" s="206"/>
    </row>
    <row r="159" spans="2:5" ht="14.25" customHeight="1">
      <c r="B159" s="204" t="s">
        <v>32</v>
      </c>
      <c r="C159" s="205">
        <v>800</v>
      </c>
      <c r="D159" s="206">
        <v>9600</v>
      </c>
      <c r="E159" s="206"/>
    </row>
    <row r="160" spans="2:5" ht="14.25" customHeight="1">
      <c r="B160" s="204" t="s">
        <v>52</v>
      </c>
      <c r="C160" s="205">
        <v>800</v>
      </c>
      <c r="D160" s="206">
        <v>9600</v>
      </c>
      <c r="E160" s="206"/>
    </row>
    <row r="161" spans="2:5" ht="14.25" customHeight="1">
      <c r="B161" s="204" t="s">
        <v>236</v>
      </c>
      <c r="C161" s="205">
        <v>600</v>
      </c>
      <c r="D161" s="206">
        <v>9600</v>
      </c>
      <c r="E161" s="206"/>
    </row>
    <row r="162" spans="2:5" ht="14.25" customHeight="1">
      <c r="B162" s="204" t="s">
        <v>83</v>
      </c>
      <c r="C162" s="205">
        <v>600</v>
      </c>
      <c r="D162" s="206">
        <v>12000</v>
      </c>
      <c r="E162" s="206"/>
    </row>
    <row r="163" spans="2:5" ht="14.25" customHeight="1">
      <c r="B163" s="204" t="s">
        <v>216</v>
      </c>
      <c r="C163" s="205">
        <v>1000</v>
      </c>
      <c r="D163" s="206">
        <v>12000</v>
      </c>
      <c r="E163" s="206"/>
    </row>
    <row r="164" spans="2:5" ht="14.25" customHeight="1">
      <c r="B164" s="204" t="s">
        <v>114</v>
      </c>
      <c r="C164" s="205">
        <v>800</v>
      </c>
      <c r="D164" s="206">
        <v>9600</v>
      </c>
      <c r="E164" s="206"/>
    </row>
    <row r="165" spans="2:5" ht="14.25" customHeight="1">
      <c r="B165" s="204" t="s">
        <v>117</v>
      </c>
      <c r="C165" s="205">
        <v>600</v>
      </c>
      <c r="D165" s="206">
        <v>12000</v>
      </c>
      <c r="E165" s="206"/>
    </row>
    <row r="166" spans="2:5" ht="14.25" customHeight="1">
      <c r="B166" s="204" t="s">
        <v>734</v>
      </c>
      <c r="C166" s="205">
        <v>800</v>
      </c>
      <c r="D166" s="206">
        <v>9600</v>
      </c>
      <c r="E166" s="206"/>
    </row>
    <row r="167" spans="2:5" ht="14.25" customHeight="1">
      <c r="B167" s="204" t="s">
        <v>199</v>
      </c>
      <c r="C167" s="205">
        <v>800</v>
      </c>
      <c r="D167" s="206">
        <v>9600</v>
      </c>
      <c r="E167" s="206"/>
    </row>
    <row r="168" spans="2:5" ht="14.25" customHeight="1">
      <c r="B168" s="204" t="s">
        <v>284</v>
      </c>
      <c r="C168" s="205">
        <v>600</v>
      </c>
      <c r="D168" s="206">
        <v>12000</v>
      </c>
      <c r="E168" s="206"/>
    </row>
    <row r="169" spans="2:5" ht="14.25" customHeight="1">
      <c r="B169" s="204" t="s">
        <v>277</v>
      </c>
      <c r="C169" s="205">
        <v>600</v>
      </c>
      <c r="D169" s="206">
        <v>12000</v>
      </c>
      <c r="E169" s="206"/>
    </row>
    <row r="170" spans="2:5" ht="14.25" customHeight="1">
      <c r="B170" s="204" t="s">
        <v>132</v>
      </c>
      <c r="C170" s="205">
        <v>800</v>
      </c>
      <c r="D170" s="206">
        <v>9600</v>
      </c>
      <c r="E170" s="206"/>
    </row>
    <row r="171" spans="2:5" ht="14.25" customHeight="1">
      <c r="B171" s="204" t="s">
        <v>735</v>
      </c>
      <c r="C171" s="205">
        <v>600</v>
      </c>
      <c r="D171" s="206">
        <v>12000</v>
      </c>
      <c r="E171" s="206"/>
    </row>
    <row r="172" spans="2:5" ht="14.25" customHeight="1">
      <c r="B172" s="204" t="s">
        <v>736</v>
      </c>
      <c r="C172" s="205">
        <v>600</v>
      </c>
      <c r="D172" s="206">
        <v>9600</v>
      </c>
      <c r="E172" s="206"/>
    </row>
    <row r="173" spans="2:5" ht="14.25" customHeight="1">
      <c r="B173" s="204" t="s">
        <v>737</v>
      </c>
      <c r="C173" s="205">
        <v>400</v>
      </c>
      <c r="D173" s="206">
        <v>4800</v>
      </c>
      <c r="E173" s="206"/>
    </row>
    <row r="174" spans="2:5" ht="14.25" customHeight="1">
      <c r="B174" s="204" t="s">
        <v>195</v>
      </c>
      <c r="C174" s="205">
        <v>800</v>
      </c>
      <c r="D174" s="206">
        <v>9600</v>
      </c>
      <c r="E174" s="206"/>
    </row>
    <row r="175" spans="2:5" ht="14.25" customHeight="1">
      <c r="B175" s="204" t="s">
        <v>173</v>
      </c>
      <c r="C175" s="205">
        <v>600</v>
      </c>
      <c r="D175" s="206">
        <v>9600</v>
      </c>
      <c r="E175" s="206"/>
    </row>
    <row r="176" spans="2:5" ht="14.25" customHeight="1">
      <c r="B176" s="204" t="s">
        <v>71</v>
      </c>
      <c r="C176" s="205">
        <v>800</v>
      </c>
      <c r="D176" s="206">
        <v>9600</v>
      </c>
      <c r="E176" s="206"/>
    </row>
    <row r="177" spans="2:5" ht="14.25" customHeight="1">
      <c r="B177" s="204" t="s">
        <v>220</v>
      </c>
      <c r="C177" s="205">
        <v>800</v>
      </c>
      <c r="D177" s="206">
        <v>9600</v>
      </c>
      <c r="E177" s="206"/>
    </row>
    <row r="178" spans="2:5" ht="14.25" customHeight="1">
      <c r="B178" s="204" t="s">
        <v>206</v>
      </c>
      <c r="C178" s="205">
        <v>1000</v>
      </c>
      <c r="D178" s="206">
        <v>12000</v>
      </c>
      <c r="E178" s="206"/>
    </row>
    <row r="179" spans="2:5" ht="14.25" customHeight="1">
      <c r="B179" s="204" t="s">
        <v>738</v>
      </c>
      <c r="C179" s="205">
        <v>800</v>
      </c>
      <c r="D179" s="206">
        <v>9600</v>
      </c>
      <c r="E179" s="206"/>
    </row>
    <row r="180" spans="2:5" ht="14.25" customHeight="1">
      <c r="B180" s="204" t="s">
        <v>176</v>
      </c>
      <c r="C180" s="205">
        <v>800</v>
      </c>
      <c r="D180" s="206">
        <v>9600</v>
      </c>
      <c r="E180" s="206">
        <v>30</v>
      </c>
    </row>
    <row r="181" spans="2:5" ht="14.25" customHeight="1">
      <c r="B181" s="204" t="s">
        <v>179</v>
      </c>
      <c r="C181" s="205">
        <v>800</v>
      </c>
      <c r="D181" s="206">
        <v>9600</v>
      </c>
      <c r="E181" s="206">
        <v>30</v>
      </c>
    </row>
    <row r="182" spans="2:5" ht="14.25" customHeight="1">
      <c r="B182" s="204" t="s">
        <v>182</v>
      </c>
      <c r="C182" s="205">
        <v>800</v>
      </c>
      <c r="D182" s="206">
        <v>9600</v>
      </c>
      <c r="E182" s="206">
        <v>30</v>
      </c>
    </row>
    <row r="183" spans="2:5" ht="14.25" customHeight="1">
      <c r="B183" s="204" t="s">
        <v>241</v>
      </c>
      <c r="C183" s="205">
        <v>600</v>
      </c>
      <c r="D183" s="206">
        <v>9600</v>
      </c>
    </row>
    <row r="184" spans="2:5" ht="14.25" customHeight="1">
      <c r="B184" s="204" t="s">
        <v>243</v>
      </c>
      <c r="C184" s="205">
        <v>600</v>
      </c>
      <c r="D184" s="206">
        <v>9600</v>
      </c>
    </row>
    <row r="185" spans="2:5" ht="14.25" customHeight="1">
      <c r="B185" s="204" t="s">
        <v>163</v>
      </c>
      <c r="C185" s="205">
        <v>800</v>
      </c>
      <c r="D185" s="206">
        <v>8000</v>
      </c>
    </row>
    <row r="186" spans="2:5" ht="14.25" customHeight="1">
      <c r="B186" s="204" t="s">
        <v>96</v>
      </c>
      <c r="C186" s="205">
        <v>600</v>
      </c>
      <c r="D186" s="206">
        <v>9600</v>
      </c>
    </row>
    <row r="187" spans="2:5" ht="14.25" customHeight="1">
      <c r="B187" s="204" t="s">
        <v>213</v>
      </c>
      <c r="C187" s="205">
        <v>600</v>
      </c>
      <c r="D187" s="206">
        <v>9600</v>
      </c>
    </row>
    <row r="188" spans="2:5" ht="14.25" customHeight="1"/>
    <row r="189" spans="2:5" ht="14.25" customHeight="1"/>
    <row r="190" spans="2:5" ht="14.25" customHeight="1"/>
    <row r="191" spans="2:5" ht="14.25" customHeight="1"/>
    <row r="192" spans="2:5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00"/>
  <sheetViews>
    <sheetView showGridLines="0"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50.5703125" customWidth="1"/>
    <col min="4" max="4" width="75.5703125" customWidth="1"/>
    <col min="5" max="5" width="13.28515625" hidden="1" customWidth="1"/>
    <col min="6" max="6" width="8.42578125" hidden="1" customWidth="1"/>
    <col min="7" max="7" width="1.5703125" hidden="1" customWidth="1"/>
    <col min="8" max="15" width="8.7109375" hidden="1" customWidth="1"/>
    <col min="16" max="16" width="1.5703125" hidden="1" customWidth="1"/>
    <col min="17" max="24" width="8.7109375" hidden="1" customWidth="1"/>
    <col min="25" max="26" width="8.7109375" customWidth="1"/>
  </cols>
  <sheetData>
    <row r="1" spans="1:26" ht="14.25" customHeight="1">
      <c r="D1" s="208"/>
    </row>
    <row r="2" spans="1:26" ht="14.25" customHeight="1">
      <c r="B2" s="1" t="s">
        <v>739</v>
      </c>
      <c r="C2" s="1">
        <f>'KPS #48'!$C$2</f>
        <v>48</v>
      </c>
      <c r="D2" s="208"/>
    </row>
    <row r="3" spans="1:26" ht="14.25" customHeight="1">
      <c r="D3" s="208"/>
      <c r="E3" s="318" t="s">
        <v>740</v>
      </c>
      <c r="F3" s="319"/>
      <c r="G3" s="319"/>
      <c r="H3" s="319"/>
      <c r="I3" s="319"/>
      <c r="J3" s="319"/>
      <c r="K3" s="319"/>
      <c r="L3" s="319"/>
      <c r="M3" s="319"/>
      <c r="N3" s="319"/>
      <c r="O3" s="319"/>
      <c r="Q3" s="318" t="s">
        <v>741</v>
      </c>
      <c r="R3" s="319"/>
      <c r="S3" s="319"/>
      <c r="T3" s="319"/>
      <c r="U3" s="319"/>
      <c r="V3" s="319"/>
      <c r="W3" s="319"/>
      <c r="X3" s="319"/>
    </row>
    <row r="4" spans="1:26" ht="14.25" customHeight="1">
      <c r="B4" s="209" t="s">
        <v>2</v>
      </c>
      <c r="C4" s="209" t="s">
        <v>742</v>
      </c>
      <c r="D4" s="209" t="s">
        <v>17</v>
      </c>
      <c r="E4" s="210" t="s">
        <v>743</v>
      </c>
      <c r="F4" s="210" t="s">
        <v>744</v>
      </c>
      <c r="H4" s="211" t="s">
        <v>745</v>
      </c>
      <c r="I4" s="211" t="s">
        <v>746</v>
      </c>
      <c r="J4" s="211" t="s">
        <v>747</v>
      </c>
      <c r="K4" s="211" t="s">
        <v>748</v>
      </c>
      <c r="L4" s="211" t="s">
        <v>749</v>
      </c>
      <c r="M4" s="211" t="s">
        <v>750</v>
      </c>
      <c r="N4" s="211" t="s">
        <v>751</v>
      </c>
      <c r="O4" s="211" t="s">
        <v>752</v>
      </c>
      <c r="Q4" s="211" t="s">
        <v>745</v>
      </c>
      <c r="R4" s="211" t="s">
        <v>746</v>
      </c>
      <c r="S4" s="211" t="s">
        <v>747</v>
      </c>
      <c r="T4" s="211" t="s">
        <v>748</v>
      </c>
      <c r="U4" s="211" t="s">
        <v>749</v>
      </c>
      <c r="V4" s="211" t="s">
        <v>750</v>
      </c>
      <c r="W4" s="211" t="s">
        <v>751</v>
      </c>
      <c r="X4" s="211" t="s">
        <v>752</v>
      </c>
    </row>
    <row r="5" spans="1:26" ht="14.25" customHeight="1">
      <c r="B5" s="212" t="s">
        <v>107</v>
      </c>
      <c r="C5" s="212" t="s">
        <v>753</v>
      </c>
      <c r="D5" s="212" t="s">
        <v>754</v>
      </c>
      <c r="E5" s="213"/>
      <c r="F5" s="213"/>
      <c r="H5" s="214"/>
      <c r="I5" s="214"/>
      <c r="J5" s="214"/>
      <c r="K5" s="214"/>
      <c r="L5" s="214"/>
      <c r="M5" s="214"/>
      <c r="N5" s="214"/>
      <c r="O5" s="213"/>
      <c r="Q5" s="214"/>
      <c r="R5" s="214"/>
      <c r="S5" s="214"/>
      <c r="T5" s="214"/>
      <c r="U5" s="214"/>
      <c r="V5" s="214"/>
      <c r="W5" s="214"/>
      <c r="X5" s="213"/>
    </row>
    <row r="6" spans="1:26" ht="14.25" customHeight="1">
      <c r="B6" s="212" t="s">
        <v>109</v>
      </c>
      <c r="C6" s="212" t="s">
        <v>753</v>
      </c>
      <c r="D6" s="212" t="s">
        <v>754</v>
      </c>
      <c r="E6" s="213"/>
      <c r="F6" s="213"/>
      <c r="H6" s="214"/>
      <c r="I6" s="214"/>
      <c r="J6" s="214"/>
      <c r="K6" s="214"/>
      <c r="L6" s="214"/>
      <c r="M6" s="214"/>
      <c r="N6" s="214"/>
      <c r="O6" s="213"/>
      <c r="Q6" s="214"/>
      <c r="R6" s="214"/>
      <c r="S6" s="214"/>
      <c r="T6" s="214"/>
      <c r="U6" s="214"/>
      <c r="V6" s="214"/>
      <c r="W6" s="214"/>
      <c r="X6" s="213"/>
    </row>
    <row r="7" spans="1:26" ht="14.25" customHeight="1">
      <c r="B7" s="215" t="s">
        <v>112</v>
      </c>
      <c r="C7" s="212" t="s">
        <v>753</v>
      </c>
      <c r="D7" s="212" t="s">
        <v>754</v>
      </c>
      <c r="E7" s="213"/>
      <c r="F7" s="213"/>
      <c r="H7" s="214"/>
      <c r="I7" s="214"/>
      <c r="J7" s="214"/>
      <c r="K7" s="214"/>
      <c r="L7" s="214"/>
      <c r="M7" s="214"/>
      <c r="N7" s="214"/>
      <c r="O7" s="213"/>
      <c r="Q7" s="214"/>
      <c r="R7" s="214"/>
      <c r="S7" s="214"/>
      <c r="T7" s="214"/>
      <c r="U7" s="214"/>
      <c r="V7" s="214"/>
      <c r="W7" s="214"/>
      <c r="X7" s="213"/>
    </row>
    <row r="8" spans="1:26" ht="14.25" customHeight="1">
      <c r="B8" s="215"/>
      <c r="C8" s="215"/>
      <c r="D8" s="215"/>
      <c r="E8" s="213"/>
      <c r="F8" s="213"/>
      <c r="H8" s="214"/>
      <c r="I8" s="214"/>
      <c r="J8" s="214"/>
      <c r="K8" s="214"/>
      <c r="L8" s="214"/>
      <c r="M8" s="214"/>
      <c r="N8" s="214"/>
      <c r="O8" s="213"/>
      <c r="Q8" s="214"/>
      <c r="R8" s="214"/>
      <c r="S8" s="214"/>
      <c r="T8" s="214"/>
      <c r="U8" s="214"/>
      <c r="V8" s="214"/>
      <c r="W8" s="214"/>
      <c r="X8" s="213"/>
    </row>
    <row r="9" spans="1:26" ht="14.25" customHeight="1">
      <c r="B9" s="215"/>
      <c r="C9" s="215"/>
      <c r="D9" s="215"/>
      <c r="E9" s="213"/>
      <c r="F9" s="213"/>
      <c r="H9" s="214"/>
      <c r="I9" s="214"/>
      <c r="J9" s="214"/>
      <c r="K9" s="214"/>
      <c r="L9" s="214"/>
      <c r="M9" s="214"/>
      <c r="N9" s="214"/>
      <c r="O9" s="213"/>
      <c r="Q9" s="214"/>
      <c r="R9" s="214"/>
      <c r="S9" s="214"/>
      <c r="T9" s="214"/>
      <c r="U9" s="214"/>
      <c r="V9" s="214"/>
      <c r="W9" s="214"/>
      <c r="X9" s="213"/>
    </row>
    <row r="10" spans="1:26" ht="14.25" customHeight="1">
      <c r="B10" s="215"/>
      <c r="C10" s="215"/>
      <c r="D10" s="215"/>
      <c r="E10" s="213"/>
      <c r="F10" s="213"/>
      <c r="H10" s="214"/>
      <c r="I10" s="214"/>
      <c r="J10" s="214"/>
      <c r="K10" s="214"/>
      <c r="L10" s="214"/>
      <c r="M10" s="214"/>
      <c r="N10" s="214"/>
      <c r="O10" s="213"/>
      <c r="Q10" s="214"/>
      <c r="R10" s="214"/>
      <c r="S10" s="214"/>
      <c r="T10" s="214"/>
      <c r="U10" s="214"/>
      <c r="V10" s="214"/>
      <c r="W10" s="214"/>
      <c r="X10" s="213"/>
    </row>
    <row r="11" spans="1:26" ht="14.25" customHeight="1">
      <c r="B11" s="215"/>
      <c r="C11" s="215"/>
      <c r="D11" s="215"/>
      <c r="E11" s="213"/>
      <c r="F11" s="213"/>
      <c r="H11" s="214"/>
      <c r="I11" s="214"/>
      <c r="J11" s="214"/>
      <c r="K11" s="214"/>
      <c r="L11" s="214"/>
      <c r="M11" s="214"/>
      <c r="N11" s="214"/>
      <c r="O11" s="213"/>
      <c r="Q11" s="214"/>
      <c r="R11" s="214"/>
      <c r="S11" s="214"/>
      <c r="T11" s="214"/>
      <c r="U11" s="214"/>
      <c r="V11" s="214"/>
      <c r="W11" s="214"/>
      <c r="X11" s="213"/>
    </row>
    <row r="12" spans="1:26" ht="14.25" customHeight="1">
      <c r="B12" s="215"/>
      <c r="C12" s="215"/>
      <c r="D12" s="215"/>
      <c r="E12" s="213"/>
      <c r="F12" s="213"/>
      <c r="H12" s="214"/>
      <c r="I12" s="214"/>
      <c r="J12" s="214"/>
      <c r="K12" s="214"/>
      <c r="L12" s="214"/>
      <c r="M12" s="214"/>
      <c r="N12" s="214"/>
      <c r="O12" s="213"/>
      <c r="Q12" s="214"/>
      <c r="R12" s="214"/>
      <c r="S12" s="214"/>
      <c r="T12" s="214"/>
      <c r="U12" s="214"/>
      <c r="V12" s="214"/>
      <c r="W12" s="214"/>
      <c r="X12" s="213"/>
    </row>
    <row r="13" spans="1:26" ht="14.25" customHeight="1">
      <c r="A13" s="136"/>
      <c r="B13" s="212"/>
      <c r="C13" s="212"/>
      <c r="D13" s="212"/>
      <c r="E13" s="213"/>
      <c r="F13" s="213"/>
      <c r="G13" s="136"/>
      <c r="H13" s="214"/>
      <c r="I13" s="216"/>
      <c r="J13" s="216"/>
      <c r="K13" s="216"/>
      <c r="L13" s="216"/>
      <c r="M13" s="216"/>
      <c r="N13" s="216"/>
      <c r="O13" s="217"/>
      <c r="P13" s="136"/>
      <c r="Q13" s="214"/>
      <c r="R13" s="214"/>
      <c r="S13" s="214"/>
      <c r="T13" s="214"/>
      <c r="U13" s="214"/>
      <c r="V13" s="214"/>
      <c r="W13" s="214"/>
      <c r="X13" s="213"/>
      <c r="Y13" s="136"/>
      <c r="Z13" s="136"/>
    </row>
    <row r="14" spans="1:26" ht="14.25" customHeight="1">
      <c r="B14" s="212"/>
      <c r="C14" s="212"/>
      <c r="D14" s="212"/>
      <c r="E14" s="213"/>
      <c r="F14" s="213"/>
      <c r="H14" s="214"/>
      <c r="I14" s="214"/>
      <c r="J14" s="214"/>
      <c r="K14" s="214"/>
      <c r="L14" s="214"/>
      <c r="M14" s="214"/>
      <c r="N14" s="214"/>
      <c r="O14" s="213"/>
      <c r="Q14" s="214"/>
      <c r="R14" s="214"/>
      <c r="S14" s="214"/>
      <c r="T14" s="214"/>
      <c r="U14" s="214"/>
      <c r="V14" s="214"/>
      <c r="W14" s="214"/>
      <c r="X14" s="213"/>
    </row>
    <row r="15" spans="1:26" ht="14.25" customHeight="1">
      <c r="B15" s="212"/>
      <c r="C15" s="212"/>
      <c r="D15" s="212"/>
      <c r="E15" s="213"/>
      <c r="F15" s="213"/>
      <c r="H15" s="214"/>
      <c r="I15" s="214"/>
      <c r="J15" s="214"/>
      <c r="K15" s="214"/>
      <c r="L15" s="214"/>
      <c r="M15" s="214"/>
      <c r="N15" s="214"/>
      <c r="O15" s="213"/>
      <c r="Q15" s="214"/>
      <c r="R15" s="214"/>
      <c r="S15" s="214"/>
      <c r="T15" s="214"/>
      <c r="U15" s="214"/>
      <c r="V15" s="214"/>
      <c r="W15" s="214"/>
      <c r="X15" s="213"/>
    </row>
    <row r="16" spans="1:26" ht="14.25" customHeight="1">
      <c r="B16" s="212"/>
      <c r="C16" s="212"/>
      <c r="D16" s="212"/>
      <c r="E16" s="213"/>
      <c r="F16" s="213"/>
      <c r="H16" s="214"/>
      <c r="I16" s="214"/>
      <c r="J16" s="214"/>
      <c r="K16" s="214"/>
      <c r="L16" s="214"/>
      <c r="M16" s="214"/>
      <c r="N16" s="214"/>
      <c r="O16" s="213"/>
      <c r="Q16" s="214"/>
      <c r="R16" s="214"/>
      <c r="S16" s="214"/>
      <c r="T16" s="214"/>
      <c r="U16" s="214"/>
      <c r="V16" s="214"/>
      <c r="W16" s="214"/>
      <c r="X16" s="213"/>
    </row>
    <row r="17" spans="2:24" ht="14.25" customHeight="1">
      <c r="B17" s="212"/>
      <c r="C17" s="212"/>
      <c r="D17" s="212"/>
      <c r="E17" s="213"/>
      <c r="F17" s="213"/>
      <c r="H17" s="214"/>
      <c r="I17" s="214"/>
      <c r="J17" s="214"/>
      <c r="K17" s="214"/>
      <c r="L17" s="214"/>
      <c r="M17" s="214"/>
      <c r="N17" s="214"/>
      <c r="O17" s="213"/>
      <c r="Q17" s="214"/>
      <c r="R17" s="214"/>
      <c r="S17" s="214"/>
      <c r="T17" s="214"/>
      <c r="U17" s="214"/>
      <c r="V17" s="214"/>
      <c r="W17" s="214"/>
      <c r="X17" s="213"/>
    </row>
    <row r="18" spans="2:24" ht="14.25" customHeight="1">
      <c r="B18" s="212"/>
      <c r="C18" s="212"/>
      <c r="D18" s="212"/>
      <c r="E18" s="213"/>
      <c r="F18" s="213"/>
      <c r="H18" s="214"/>
      <c r="I18" s="214"/>
      <c r="J18" s="214"/>
      <c r="K18" s="214"/>
      <c r="L18" s="214"/>
      <c r="M18" s="214"/>
      <c r="N18" s="214"/>
      <c r="O18" s="213"/>
      <c r="Q18" s="214"/>
      <c r="R18" s="214"/>
      <c r="S18" s="214"/>
      <c r="T18" s="214"/>
      <c r="U18" s="214"/>
      <c r="V18" s="214"/>
      <c r="W18" s="214"/>
      <c r="X18" s="213"/>
    </row>
    <row r="19" spans="2:24" ht="14.25" customHeight="1"/>
    <row r="20" spans="2:24" ht="14.25" customHeight="1"/>
    <row r="21" spans="2:24" ht="14.25" customHeight="1"/>
    <row r="22" spans="2:24" ht="14.25" customHeight="1"/>
    <row r="23" spans="2:24" ht="14.25" customHeight="1"/>
    <row r="24" spans="2:24" ht="14.25" customHeight="1"/>
    <row r="25" spans="2:24" ht="14.25" customHeight="1"/>
    <row r="26" spans="2:24" ht="14.25" customHeight="1"/>
    <row r="27" spans="2:24" ht="14.25" customHeight="1"/>
    <row r="28" spans="2:24" ht="14.25" customHeight="1"/>
    <row r="29" spans="2:24" ht="14.25" customHeight="1"/>
    <row r="30" spans="2:24" ht="14.25" customHeight="1"/>
    <row r="31" spans="2:24" ht="14.25" customHeight="1"/>
    <row r="32" spans="2:2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3:O3"/>
    <mergeCell ref="Q3:X3"/>
  </mergeCells>
  <conditionalFormatting sqref="E5:E18">
    <cfRule type="cellIs" dxfId="6" priority="1" operator="equal">
      <formula>X5</formula>
    </cfRule>
    <cfRule type="cellIs" dxfId="5" priority="2" operator="lessThan">
      <formula>X5</formula>
    </cfRule>
    <cfRule type="cellIs" dxfId="4" priority="3" operator="greaterThan">
      <formula>X5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/>
  </sheetViews>
  <sheetFormatPr defaultColWidth="14.42578125" defaultRowHeight="15" customHeight="1"/>
  <cols>
    <col min="1" max="7" width="12.7109375" customWidth="1"/>
    <col min="8" max="8" width="11.7109375" customWidth="1"/>
    <col min="9" max="9" width="4.42578125" customWidth="1"/>
    <col min="10" max="10" width="8.7109375" customWidth="1"/>
    <col min="11" max="13" width="4.42578125" customWidth="1"/>
    <col min="14" max="26" width="8.7109375" customWidth="1"/>
  </cols>
  <sheetData>
    <row r="1" spans="1:17" ht="14.25" customHeight="1">
      <c r="A1" s="201" t="s">
        <v>755</v>
      </c>
      <c r="B1" s="218" t="s">
        <v>756</v>
      </c>
      <c r="C1" s="218" t="s">
        <v>3</v>
      </c>
      <c r="D1" s="218" t="s">
        <v>757</v>
      </c>
      <c r="E1" s="218" t="s">
        <v>758</v>
      </c>
      <c r="F1" s="219" t="s">
        <v>759</v>
      </c>
      <c r="G1" s="203" t="s">
        <v>760</v>
      </c>
      <c r="H1" s="220"/>
      <c r="I1" s="221"/>
      <c r="J1" s="222" t="s">
        <v>320</v>
      </c>
      <c r="N1" s="201" t="s">
        <v>3</v>
      </c>
      <c r="O1" s="202" t="s">
        <v>644</v>
      </c>
      <c r="P1" s="203" t="s">
        <v>645</v>
      </c>
      <c r="Q1" s="203" t="s">
        <v>646</v>
      </c>
    </row>
    <row r="2" spans="1:17" ht="14.25" customHeight="1">
      <c r="A2" s="204" t="s">
        <v>761</v>
      </c>
      <c r="B2" s="205" t="s">
        <v>762</v>
      </c>
      <c r="C2" s="205" t="s">
        <v>81</v>
      </c>
      <c r="D2" s="205" t="s">
        <v>763</v>
      </c>
      <c r="E2" s="205"/>
      <c r="F2" s="206">
        <v>2022</v>
      </c>
      <c r="G2" s="206" t="str">
        <f t="shared" ref="G2:G3" si="0">C2&amp;F2</f>
        <v>ARB122022</v>
      </c>
      <c r="J2" s="223">
        <v>1</v>
      </c>
      <c r="N2" s="205" t="s">
        <v>647</v>
      </c>
      <c r="O2" s="205">
        <v>600</v>
      </c>
      <c r="P2" s="205">
        <v>12000</v>
      </c>
      <c r="Q2" s="205">
        <v>21</v>
      </c>
    </row>
    <row r="3" spans="1:17" ht="14.25" customHeight="1">
      <c r="A3" s="204" t="s">
        <v>761</v>
      </c>
      <c r="B3" s="205" t="s">
        <v>764</v>
      </c>
      <c r="C3" s="205" t="s">
        <v>81</v>
      </c>
      <c r="D3" s="205" t="s">
        <v>765</v>
      </c>
      <c r="E3" s="205"/>
      <c r="F3" s="206">
        <v>2022</v>
      </c>
      <c r="G3" s="206" t="str">
        <f t="shared" si="0"/>
        <v>ARB122022</v>
      </c>
      <c r="J3" s="223">
        <v>2</v>
      </c>
      <c r="N3" s="205" t="s">
        <v>648</v>
      </c>
      <c r="O3" s="205">
        <v>600</v>
      </c>
      <c r="P3" s="205">
        <v>12000</v>
      </c>
      <c r="Q3" s="205">
        <v>30</v>
      </c>
    </row>
    <row r="4" spans="1:17" ht="14.25" customHeight="1">
      <c r="A4" s="204" t="s">
        <v>761</v>
      </c>
      <c r="B4" s="205" t="s">
        <v>766</v>
      </c>
      <c r="C4" s="205" t="s">
        <v>81</v>
      </c>
      <c r="D4" s="205" t="s">
        <v>767</v>
      </c>
      <c r="E4" s="205"/>
      <c r="F4" s="206">
        <v>2022</v>
      </c>
      <c r="G4" s="206" t="s">
        <v>768</v>
      </c>
      <c r="J4" s="223">
        <v>3</v>
      </c>
      <c r="N4" s="205" t="s">
        <v>649</v>
      </c>
      <c r="O4" s="205">
        <v>1000</v>
      </c>
      <c r="P4" s="205">
        <v>12000</v>
      </c>
      <c r="Q4" s="205">
        <v>30</v>
      </c>
    </row>
    <row r="5" spans="1:17" ht="14.25" customHeight="1">
      <c r="A5" s="204" t="s">
        <v>769</v>
      </c>
      <c r="B5" s="205" t="s">
        <v>770</v>
      </c>
      <c r="C5" s="205" t="s">
        <v>79</v>
      </c>
      <c r="D5" s="205" t="s">
        <v>771</v>
      </c>
      <c r="E5" s="205"/>
      <c r="F5" s="206">
        <v>2022</v>
      </c>
      <c r="G5" s="206" t="str">
        <f t="shared" ref="G5:G6" si="1">C5&amp;F5</f>
        <v>ARK122022</v>
      </c>
      <c r="J5" s="223">
        <v>4</v>
      </c>
      <c r="N5" s="205" t="s">
        <v>650</v>
      </c>
      <c r="O5" s="205">
        <v>600</v>
      </c>
      <c r="P5" s="205">
        <v>9600</v>
      </c>
      <c r="Q5" s="205">
        <v>30</v>
      </c>
    </row>
    <row r="6" spans="1:17" ht="14.25" customHeight="1">
      <c r="A6" s="204" t="s">
        <v>772</v>
      </c>
      <c r="B6" s="205" t="s">
        <v>773</v>
      </c>
      <c r="C6" s="205" t="s">
        <v>74</v>
      </c>
      <c r="D6" s="205" t="s">
        <v>774</v>
      </c>
      <c r="E6" s="205"/>
      <c r="F6" s="206">
        <v>2022</v>
      </c>
      <c r="G6" s="206" t="str">
        <f t="shared" si="1"/>
        <v>ARM122022</v>
      </c>
      <c r="J6" s="223">
        <v>5</v>
      </c>
      <c r="N6" s="205" t="s">
        <v>651</v>
      </c>
      <c r="O6" s="205">
        <v>500</v>
      </c>
      <c r="P6" s="205">
        <v>10000</v>
      </c>
      <c r="Q6" s="205">
        <v>30</v>
      </c>
    </row>
    <row r="7" spans="1:17" ht="14.25" customHeight="1">
      <c r="A7" s="204" t="s">
        <v>772</v>
      </c>
      <c r="B7" s="205" t="s">
        <v>775</v>
      </c>
      <c r="C7" s="205" t="s">
        <v>74</v>
      </c>
      <c r="D7" s="205" t="s">
        <v>776</v>
      </c>
      <c r="E7" s="205"/>
      <c r="F7" s="206">
        <v>2022</v>
      </c>
      <c r="G7" s="206" t="s">
        <v>777</v>
      </c>
      <c r="J7" s="223">
        <v>6</v>
      </c>
      <c r="N7" s="205" t="s">
        <v>652</v>
      </c>
      <c r="O7" s="205">
        <v>400</v>
      </c>
      <c r="P7" s="205">
        <v>4800</v>
      </c>
      <c r="Q7" s="205">
        <v>30</v>
      </c>
    </row>
    <row r="8" spans="1:17" ht="14.25" customHeight="1">
      <c r="A8" s="204" t="s">
        <v>778</v>
      </c>
      <c r="B8" s="205" t="s">
        <v>779</v>
      </c>
      <c r="C8" s="205" t="s">
        <v>77</v>
      </c>
      <c r="D8" s="205" t="s">
        <v>780</v>
      </c>
      <c r="E8" s="205"/>
      <c r="F8" s="206">
        <v>2022</v>
      </c>
      <c r="G8" s="206" t="s">
        <v>777</v>
      </c>
      <c r="J8" s="223">
        <v>7</v>
      </c>
      <c r="N8" s="205" t="s">
        <v>653</v>
      </c>
      <c r="O8" s="205">
        <v>800</v>
      </c>
      <c r="P8" s="205">
        <v>9600</v>
      </c>
      <c r="Q8" s="205">
        <v>30</v>
      </c>
    </row>
    <row r="9" spans="1:17" ht="14.25" customHeight="1">
      <c r="A9" s="204" t="s">
        <v>778</v>
      </c>
      <c r="B9" s="205" t="s">
        <v>781</v>
      </c>
      <c r="C9" s="205" t="s">
        <v>77</v>
      </c>
      <c r="D9" s="205" t="s">
        <v>782</v>
      </c>
      <c r="E9" s="205"/>
      <c r="F9" s="206">
        <v>2022</v>
      </c>
      <c r="G9" s="206" t="str">
        <f t="shared" ref="G9:G10" si="2">C9&amp;F9</f>
        <v>ARM162022</v>
      </c>
      <c r="J9" s="223">
        <v>8</v>
      </c>
      <c r="N9" s="205" t="s">
        <v>654</v>
      </c>
      <c r="O9" s="205">
        <v>800</v>
      </c>
      <c r="P9" s="205">
        <v>9600</v>
      </c>
      <c r="Q9" s="205">
        <v>30</v>
      </c>
    </row>
    <row r="10" spans="1:17" ht="14.25" customHeight="1">
      <c r="A10" s="204" t="s">
        <v>783</v>
      </c>
      <c r="B10" s="205" t="s">
        <v>784</v>
      </c>
      <c r="C10" s="205" t="s">
        <v>691</v>
      </c>
      <c r="D10" s="205" t="s">
        <v>785</v>
      </c>
      <c r="E10" s="205"/>
      <c r="F10" s="206">
        <v>2022</v>
      </c>
      <c r="G10" s="206" t="str">
        <f t="shared" si="2"/>
        <v>AUL122022</v>
      </c>
      <c r="J10" s="223">
        <v>9</v>
      </c>
      <c r="N10" s="205" t="s">
        <v>655</v>
      </c>
      <c r="O10" s="205">
        <v>1000</v>
      </c>
      <c r="P10" s="205">
        <v>12000</v>
      </c>
      <c r="Q10" s="205">
        <v>30</v>
      </c>
    </row>
    <row r="11" spans="1:17" ht="14.25" customHeight="1">
      <c r="A11" s="204" t="s">
        <v>786</v>
      </c>
      <c r="B11" s="205" t="s">
        <v>784</v>
      </c>
      <c r="C11" s="205" t="s">
        <v>691</v>
      </c>
      <c r="D11" s="205" t="s">
        <v>785</v>
      </c>
      <c r="E11" s="205"/>
      <c r="F11" s="206">
        <v>2022</v>
      </c>
      <c r="G11" s="206" t="s">
        <v>787</v>
      </c>
      <c r="J11" s="223">
        <v>10</v>
      </c>
      <c r="N11" s="205" t="s">
        <v>656</v>
      </c>
      <c r="O11" s="205">
        <v>800</v>
      </c>
      <c r="P11" s="205">
        <v>12800</v>
      </c>
      <c r="Q11" s="205">
        <v>30</v>
      </c>
    </row>
    <row r="12" spans="1:17" ht="14.25" customHeight="1">
      <c r="A12" s="204" t="s">
        <v>788</v>
      </c>
      <c r="B12" s="205" t="s">
        <v>789</v>
      </c>
      <c r="C12" s="205" t="s">
        <v>690</v>
      </c>
      <c r="D12" s="205" t="s">
        <v>790</v>
      </c>
      <c r="E12" s="205"/>
      <c r="F12" s="206">
        <v>2022</v>
      </c>
      <c r="G12" s="206" t="str">
        <f t="shared" ref="G12:G13" si="3">C12&amp;F12</f>
        <v>AUL162022</v>
      </c>
      <c r="J12" s="223">
        <v>11</v>
      </c>
      <c r="N12" s="205" t="s">
        <v>657</v>
      </c>
      <c r="O12" s="205">
        <v>500</v>
      </c>
      <c r="P12" s="205">
        <v>10000</v>
      </c>
      <c r="Q12" s="205">
        <v>52</v>
      </c>
    </row>
    <row r="13" spans="1:17" ht="14.25" customHeight="1">
      <c r="A13" s="204" t="s">
        <v>791</v>
      </c>
      <c r="B13" s="205" t="s">
        <v>789</v>
      </c>
      <c r="C13" s="205" t="s">
        <v>690</v>
      </c>
      <c r="D13" s="205" t="s">
        <v>790</v>
      </c>
      <c r="E13" s="205"/>
      <c r="F13" s="206">
        <v>2022</v>
      </c>
      <c r="G13" s="206" t="str">
        <f t="shared" si="3"/>
        <v>AUL162022</v>
      </c>
      <c r="J13" s="223">
        <v>12</v>
      </c>
      <c r="N13" s="205" t="s">
        <v>658</v>
      </c>
      <c r="O13" s="205">
        <v>500</v>
      </c>
      <c r="P13" s="205">
        <v>10000</v>
      </c>
      <c r="Q13" s="205">
        <v>52</v>
      </c>
    </row>
    <row r="14" spans="1:17" ht="14.25" customHeight="1">
      <c r="A14" s="204" t="s">
        <v>792</v>
      </c>
      <c r="B14" s="205" t="s">
        <v>793</v>
      </c>
      <c r="C14" s="205" t="s">
        <v>647</v>
      </c>
      <c r="D14" s="205" t="s">
        <v>794</v>
      </c>
      <c r="E14" s="205"/>
      <c r="F14" s="206">
        <v>2022</v>
      </c>
      <c r="G14" s="206" t="s">
        <v>795</v>
      </c>
      <c r="J14" s="223">
        <v>13</v>
      </c>
      <c r="N14" s="205" t="s">
        <v>659</v>
      </c>
      <c r="O14" s="205">
        <v>800</v>
      </c>
      <c r="P14" s="205">
        <v>9600</v>
      </c>
      <c r="Q14" s="205">
        <v>30</v>
      </c>
    </row>
    <row r="15" spans="1:17" ht="14.25" customHeight="1">
      <c r="A15" s="204" t="s">
        <v>796</v>
      </c>
      <c r="B15" s="205" t="s">
        <v>793</v>
      </c>
      <c r="C15" s="205" t="s">
        <v>647</v>
      </c>
      <c r="D15" s="205" t="s">
        <v>794</v>
      </c>
      <c r="E15" s="205"/>
      <c r="F15" s="206">
        <v>2022</v>
      </c>
      <c r="G15" s="206" t="s">
        <v>795</v>
      </c>
      <c r="J15" s="223">
        <v>14</v>
      </c>
      <c r="N15" s="205" t="s">
        <v>660</v>
      </c>
      <c r="O15" s="205">
        <v>500</v>
      </c>
      <c r="P15" s="205">
        <v>10000</v>
      </c>
      <c r="Q15" s="205">
        <v>30</v>
      </c>
    </row>
    <row r="16" spans="1:17" ht="14.25" customHeight="1">
      <c r="A16" s="204" t="s">
        <v>797</v>
      </c>
      <c r="B16" s="205" t="s">
        <v>793</v>
      </c>
      <c r="C16" s="205" t="s">
        <v>647</v>
      </c>
      <c r="D16" s="205" t="s">
        <v>794</v>
      </c>
      <c r="E16" s="205"/>
      <c r="F16" s="206">
        <v>2022</v>
      </c>
      <c r="G16" s="206" t="s">
        <v>795</v>
      </c>
      <c r="J16" s="223">
        <v>15</v>
      </c>
      <c r="N16" s="205" t="s">
        <v>661</v>
      </c>
      <c r="O16" s="205">
        <v>800</v>
      </c>
      <c r="P16" s="205">
        <v>9600</v>
      </c>
      <c r="Q16" s="205">
        <v>30</v>
      </c>
    </row>
    <row r="17" spans="1:17" ht="14.25" customHeight="1">
      <c r="A17" s="204" t="s">
        <v>798</v>
      </c>
      <c r="B17" s="205" t="s">
        <v>799</v>
      </c>
      <c r="C17" s="205" t="s">
        <v>648</v>
      </c>
      <c r="D17" s="205" t="s">
        <v>800</v>
      </c>
      <c r="E17" s="205"/>
      <c r="F17" s="206">
        <v>2022</v>
      </c>
      <c r="G17" s="206" t="s">
        <v>801</v>
      </c>
      <c r="J17" s="223">
        <v>16</v>
      </c>
      <c r="N17" s="205" t="s">
        <v>662</v>
      </c>
      <c r="O17" s="205">
        <v>600</v>
      </c>
      <c r="P17" s="205">
        <v>9600</v>
      </c>
      <c r="Q17" s="205">
        <v>30</v>
      </c>
    </row>
    <row r="18" spans="1:17" ht="14.25" customHeight="1">
      <c r="A18" s="204" t="s">
        <v>802</v>
      </c>
      <c r="B18" s="205" t="s">
        <v>799</v>
      </c>
      <c r="C18" s="205" t="s">
        <v>648</v>
      </c>
      <c r="D18" s="205" t="s">
        <v>800</v>
      </c>
      <c r="E18" s="205"/>
      <c r="F18" s="206">
        <v>2022</v>
      </c>
      <c r="G18" s="206" t="str">
        <f t="shared" ref="G18:G23" si="4">C18&amp;F18</f>
        <v>AVR202022</v>
      </c>
      <c r="J18" s="223">
        <v>17</v>
      </c>
      <c r="N18" s="205" t="s">
        <v>663</v>
      </c>
      <c r="O18" s="205">
        <v>800</v>
      </c>
      <c r="P18" s="205">
        <v>9600</v>
      </c>
      <c r="Q18" s="205">
        <v>30</v>
      </c>
    </row>
    <row r="19" spans="1:17" ht="14.25" customHeight="1">
      <c r="A19" s="204" t="s">
        <v>803</v>
      </c>
      <c r="B19" s="205" t="s">
        <v>799</v>
      </c>
      <c r="C19" s="205" t="s">
        <v>648</v>
      </c>
      <c r="D19" s="205" t="s">
        <v>800</v>
      </c>
      <c r="E19" s="205"/>
      <c r="F19" s="206">
        <v>2022</v>
      </c>
      <c r="G19" s="206" t="str">
        <f t="shared" si="4"/>
        <v>AVR202022</v>
      </c>
      <c r="J19" s="223">
        <v>18</v>
      </c>
      <c r="N19" s="205" t="s">
        <v>664</v>
      </c>
      <c r="O19" s="205">
        <v>600</v>
      </c>
      <c r="P19" s="205">
        <v>9600</v>
      </c>
      <c r="Q19" s="205">
        <v>30</v>
      </c>
    </row>
    <row r="20" spans="1:17" ht="14.25" customHeight="1">
      <c r="A20" s="204" t="s">
        <v>804</v>
      </c>
      <c r="B20" s="205" t="s">
        <v>805</v>
      </c>
      <c r="C20" s="205" t="s">
        <v>120</v>
      </c>
      <c r="D20" s="205" t="s">
        <v>806</v>
      </c>
      <c r="E20" s="205"/>
      <c r="F20" s="206">
        <v>2022</v>
      </c>
      <c r="G20" s="206" t="str">
        <f t="shared" si="4"/>
        <v>BAJ122022</v>
      </c>
      <c r="J20" s="223">
        <v>19</v>
      </c>
      <c r="N20" s="205" t="s">
        <v>665</v>
      </c>
      <c r="O20" s="205">
        <v>500</v>
      </c>
      <c r="P20" s="205">
        <v>10000</v>
      </c>
      <c r="Q20" s="205">
        <v>52</v>
      </c>
    </row>
    <row r="21" spans="1:17" ht="14.25" customHeight="1">
      <c r="A21" s="204" t="s">
        <v>807</v>
      </c>
      <c r="B21" s="205" t="s">
        <v>808</v>
      </c>
      <c r="C21" s="205" t="s">
        <v>29</v>
      </c>
      <c r="D21" s="205" t="s">
        <v>809</v>
      </c>
      <c r="E21" s="205"/>
      <c r="F21" s="206">
        <v>2022</v>
      </c>
      <c r="G21" s="206" t="str">
        <f t="shared" si="4"/>
        <v>BGS122022</v>
      </c>
      <c r="J21" s="223">
        <v>20</v>
      </c>
      <c r="N21" s="205" t="s">
        <v>666</v>
      </c>
      <c r="O21" s="205">
        <v>600</v>
      </c>
      <c r="P21" s="205">
        <v>9600</v>
      </c>
      <c r="Q21" s="205">
        <v>30</v>
      </c>
    </row>
    <row r="22" spans="1:17" ht="14.25" customHeight="1">
      <c r="A22" s="204" t="s">
        <v>810</v>
      </c>
      <c r="B22" s="205" t="s">
        <v>811</v>
      </c>
      <c r="C22" s="205" t="s">
        <v>203</v>
      </c>
      <c r="D22" s="205" t="s">
        <v>812</v>
      </c>
      <c r="E22" s="205"/>
      <c r="F22" s="206">
        <v>2022</v>
      </c>
      <c r="G22" s="206" t="str">
        <f t="shared" si="4"/>
        <v>BHU122022</v>
      </c>
      <c r="J22" s="223">
        <v>21</v>
      </c>
      <c r="N22" s="205" t="s">
        <v>667</v>
      </c>
      <c r="O22" s="205">
        <v>600</v>
      </c>
      <c r="P22" s="205">
        <v>9600</v>
      </c>
      <c r="Q22" s="205">
        <v>21</v>
      </c>
    </row>
    <row r="23" spans="1:17" ht="14.25" customHeight="1">
      <c r="A23" s="204" t="s">
        <v>813</v>
      </c>
      <c r="B23" s="205" t="s">
        <v>814</v>
      </c>
      <c r="C23" s="205" t="s">
        <v>815</v>
      </c>
      <c r="D23" s="205" t="s">
        <v>816</v>
      </c>
      <c r="E23" s="205"/>
      <c r="F23" s="206">
        <v>2022</v>
      </c>
      <c r="G23" s="206" t="str">
        <f t="shared" si="4"/>
        <v>BLE122022</v>
      </c>
      <c r="J23" s="223">
        <v>22</v>
      </c>
      <c r="N23" s="205" t="s">
        <v>668</v>
      </c>
      <c r="O23" s="205">
        <v>600</v>
      </c>
      <c r="P23" s="205">
        <v>9600</v>
      </c>
      <c r="Q23" s="205">
        <v>30</v>
      </c>
    </row>
    <row r="24" spans="1:17" ht="14.25" customHeight="1">
      <c r="A24" s="204" t="s">
        <v>817</v>
      </c>
      <c r="B24" s="205" t="s">
        <v>818</v>
      </c>
      <c r="C24" s="205" t="s">
        <v>692</v>
      </c>
      <c r="D24" s="205" t="s">
        <v>819</v>
      </c>
      <c r="E24" s="205"/>
      <c r="F24" s="206">
        <v>2022</v>
      </c>
      <c r="G24" s="206" t="s">
        <v>820</v>
      </c>
      <c r="J24" s="223">
        <v>23</v>
      </c>
      <c r="N24" s="205" t="s">
        <v>669</v>
      </c>
      <c r="O24" s="205">
        <v>1000</v>
      </c>
      <c r="P24" s="205">
        <v>12000</v>
      </c>
      <c r="Q24" s="205">
        <v>30</v>
      </c>
    </row>
    <row r="25" spans="1:17" ht="14.25" customHeight="1">
      <c r="A25" s="204" t="s">
        <v>821</v>
      </c>
      <c r="B25" s="205" t="s">
        <v>822</v>
      </c>
      <c r="C25" s="205" t="s">
        <v>693</v>
      </c>
      <c r="D25" s="205" t="s">
        <v>823</v>
      </c>
      <c r="E25" s="205"/>
      <c r="F25" s="206">
        <v>2022</v>
      </c>
      <c r="G25" s="206" t="s">
        <v>824</v>
      </c>
      <c r="J25" s="223">
        <v>24</v>
      </c>
      <c r="N25" s="205" t="s">
        <v>670</v>
      </c>
      <c r="O25" s="205">
        <v>1000</v>
      </c>
      <c r="P25" s="205">
        <v>12000</v>
      </c>
      <c r="Q25" s="205">
        <v>30</v>
      </c>
    </row>
    <row r="26" spans="1:17" ht="14.25" customHeight="1">
      <c r="A26" s="204" t="s">
        <v>825</v>
      </c>
      <c r="B26" s="205" t="s">
        <v>826</v>
      </c>
      <c r="C26" s="205" t="s">
        <v>694</v>
      </c>
      <c r="D26" s="205" t="s">
        <v>827</v>
      </c>
      <c r="E26" s="205"/>
      <c r="F26" s="206">
        <v>2022</v>
      </c>
      <c r="G26" s="206" t="str">
        <f t="shared" ref="G26:G28" si="5">C26&amp;F26</f>
        <v>BRJ122022</v>
      </c>
      <c r="J26" s="223">
        <v>25</v>
      </c>
      <c r="N26" s="205" t="s">
        <v>671</v>
      </c>
      <c r="O26" s="205">
        <v>1000</v>
      </c>
      <c r="P26" s="205">
        <v>12000</v>
      </c>
      <c r="Q26" s="205">
        <v>30</v>
      </c>
    </row>
    <row r="27" spans="1:17" ht="14.25" customHeight="1">
      <c r="A27" s="204" t="s">
        <v>828</v>
      </c>
      <c r="B27" s="205" t="s">
        <v>829</v>
      </c>
      <c r="C27" s="205" t="s">
        <v>64</v>
      </c>
      <c r="D27" s="205" t="s">
        <v>830</v>
      </c>
      <c r="E27" s="205"/>
      <c r="F27" s="206">
        <v>2022</v>
      </c>
      <c r="G27" s="206" t="str">
        <f t="shared" si="5"/>
        <v>CTL162022</v>
      </c>
      <c r="J27" s="223">
        <v>26</v>
      </c>
      <c r="N27" s="205" t="s">
        <v>672</v>
      </c>
      <c r="O27" s="205">
        <v>1000</v>
      </c>
      <c r="P27" s="205">
        <v>12000</v>
      </c>
      <c r="Q27" s="205">
        <v>30</v>
      </c>
    </row>
    <row r="28" spans="1:17" ht="14.25" customHeight="1">
      <c r="A28" s="204" t="s">
        <v>831</v>
      </c>
      <c r="B28" s="205" t="s">
        <v>832</v>
      </c>
      <c r="C28" s="205" t="s">
        <v>649</v>
      </c>
      <c r="D28" s="205" t="s">
        <v>833</v>
      </c>
      <c r="E28" s="205"/>
      <c r="F28" s="206">
        <v>2022</v>
      </c>
      <c r="G28" s="206" t="str">
        <f t="shared" si="5"/>
        <v>DLE122022</v>
      </c>
      <c r="J28" s="223">
        <v>27</v>
      </c>
      <c r="N28" s="205" t="s">
        <v>673</v>
      </c>
      <c r="O28" s="205">
        <v>600</v>
      </c>
      <c r="P28" s="205">
        <v>9600</v>
      </c>
      <c r="Q28" s="205">
        <v>30</v>
      </c>
    </row>
    <row r="29" spans="1:17" ht="14.25" customHeight="1">
      <c r="A29" s="204" t="s">
        <v>834</v>
      </c>
      <c r="B29" s="205" t="s">
        <v>832</v>
      </c>
      <c r="C29" s="205" t="s">
        <v>649</v>
      </c>
      <c r="D29" s="205" t="s">
        <v>833</v>
      </c>
      <c r="E29" s="205"/>
      <c r="F29" s="206">
        <v>2022</v>
      </c>
      <c r="G29" s="206" t="s">
        <v>835</v>
      </c>
      <c r="J29" s="223">
        <v>28</v>
      </c>
      <c r="N29" s="205" t="s">
        <v>674</v>
      </c>
      <c r="O29" s="205">
        <v>200</v>
      </c>
      <c r="P29" s="205">
        <v>10000</v>
      </c>
      <c r="Q29" s="205">
        <v>30</v>
      </c>
    </row>
    <row r="30" spans="1:17" ht="14.25" customHeight="1">
      <c r="A30" s="204" t="s">
        <v>836</v>
      </c>
      <c r="B30" s="205" t="s">
        <v>837</v>
      </c>
      <c r="C30" s="205" t="s">
        <v>697</v>
      </c>
      <c r="D30" s="205" t="s">
        <v>838</v>
      </c>
      <c r="E30" s="205"/>
      <c r="F30" s="206">
        <v>2022</v>
      </c>
      <c r="G30" s="206" t="str">
        <f t="shared" ref="G30:G31" si="6">C30&amp;F30</f>
        <v>DMC122022</v>
      </c>
      <c r="J30" s="223">
        <v>29</v>
      </c>
      <c r="N30" s="205" t="s">
        <v>675</v>
      </c>
      <c r="O30" s="205">
        <v>800</v>
      </c>
      <c r="P30" s="205">
        <v>9600</v>
      </c>
      <c r="Q30" s="205">
        <v>30</v>
      </c>
    </row>
    <row r="31" spans="1:17" ht="14.25" customHeight="1">
      <c r="A31" s="204" t="s">
        <v>839</v>
      </c>
      <c r="B31" s="205" t="s">
        <v>837</v>
      </c>
      <c r="C31" s="205" t="s">
        <v>697</v>
      </c>
      <c r="D31" s="205" t="s">
        <v>838</v>
      </c>
      <c r="E31" s="205"/>
      <c r="F31" s="206">
        <v>2022</v>
      </c>
      <c r="G31" s="206" t="str">
        <f t="shared" si="6"/>
        <v>DMC122022</v>
      </c>
      <c r="J31" s="223">
        <v>30</v>
      </c>
      <c r="N31" s="205" t="s">
        <v>676</v>
      </c>
      <c r="O31" s="205">
        <v>500</v>
      </c>
      <c r="P31" s="205">
        <v>10000</v>
      </c>
      <c r="Q31" s="205">
        <v>52</v>
      </c>
    </row>
    <row r="32" spans="1:17" ht="14.25" customHeight="1">
      <c r="A32" s="204" t="s">
        <v>840</v>
      </c>
      <c r="B32" s="205" t="s">
        <v>837</v>
      </c>
      <c r="C32" s="205" t="s">
        <v>697</v>
      </c>
      <c r="D32" s="205" t="s">
        <v>838</v>
      </c>
      <c r="E32" s="205"/>
      <c r="F32" s="206">
        <v>2022</v>
      </c>
      <c r="G32" s="206" t="s">
        <v>841</v>
      </c>
      <c r="J32" s="223">
        <v>31</v>
      </c>
      <c r="N32" s="205" t="s">
        <v>677</v>
      </c>
      <c r="O32" s="205">
        <v>500</v>
      </c>
      <c r="P32" s="205">
        <v>10000</v>
      </c>
      <c r="Q32" s="205">
        <v>52</v>
      </c>
    </row>
    <row r="33" spans="1:17" ht="14.25" customHeight="1">
      <c r="A33" s="204" t="s">
        <v>842</v>
      </c>
      <c r="B33" s="205" t="s">
        <v>843</v>
      </c>
      <c r="C33" s="205" t="s">
        <v>650</v>
      </c>
      <c r="D33" s="205" t="s">
        <v>844</v>
      </c>
      <c r="E33" s="205" t="s">
        <v>845</v>
      </c>
      <c r="F33" s="206">
        <v>2022</v>
      </c>
      <c r="G33" s="206" t="str">
        <f t="shared" ref="G33:G37" si="7">C33&amp;F33</f>
        <v>DMM162022</v>
      </c>
      <c r="J33" s="223">
        <v>32</v>
      </c>
      <c r="N33" s="205" t="s">
        <v>678</v>
      </c>
      <c r="O33" s="205">
        <v>500</v>
      </c>
      <c r="P33" s="205">
        <v>10000</v>
      </c>
      <c r="Q33" s="205">
        <v>52</v>
      </c>
    </row>
    <row r="34" spans="1:17" ht="14.25" customHeight="1">
      <c r="A34" s="204" t="s">
        <v>846</v>
      </c>
      <c r="B34" s="205" t="s">
        <v>843</v>
      </c>
      <c r="C34" s="205" t="s">
        <v>650</v>
      </c>
      <c r="D34" s="205" t="s">
        <v>844</v>
      </c>
      <c r="E34" s="205" t="s">
        <v>845</v>
      </c>
      <c r="F34" s="206">
        <v>2022</v>
      </c>
      <c r="G34" s="206" t="str">
        <f t="shared" si="7"/>
        <v>DMM162022</v>
      </c>
      <c r="J34" s="223">
        <v>33</v>
      </c>
      <c r="N34" s="205" t="s">
        <v>679</v>
      </c>
      <c r="O34" s="205">
        <v>800</v>
      </c>
      <c r="P34" s="205">
        <v>9600</v>
      </c>
      <c r="Q34" s="205">
        <v>30</v>
      </c>
    </row>
    <row r="35" spans="1:17" ht="14.25" customHeight="1">
      <c r="A35" s="204" t="s">
        <v>847</v>
      </c>
      <c r="B35" s="205" t="s">
        <v>843</v>
      </c>
      <c r="C35" s="205" t="s">
        <v>650</v>
      </c>
      <c r="D35" s="205" t="s">
        <v>844</v>
      </c>
      <c r="E35" s="205" t="s">
        <v>845</v>
      </c>
      <c r="F35" s="206">
        <v>2022</v>
      </c>
      <c r="G35" s="206" t="str">
        <f t="shared" si="7"/>
        <v>DMM162022</v>
      </c>
      <c r="J35" s="223">
        <v>34</v>
      </c>
      <c r="N35" s="205" t="s">
        <v>680</v>
      </c>
      <c r="O35" s="205">
        <v>800</v>
      </c>
      <c r="P35" s="205">
        <v>9600</v>
      </c>
      <c r="Q35" s="205">
        <v>30</v>
      </c>
    </row>
    <row r="36" spans="1:17" ht="14.25" customHeight="1">
      <c r="A36" s="204" t="s">
        <v>848</v>
      </c>
      <c r="B36" s="205" t="s">
        <v>843</v>
      </c>
      <c r="C36" s="205" t="s">
        <v>650</v>
      </c>
      <c r="D36" s="205" t="s">
        <v>844</v>
      </c>
      <c r="E36" s="205" t="s">
        <v>845</v>
      </c>
      <c r="F36" s="206">
        <v>2022</v>
      </c>
      <c r="G36" s="206" t="str">
        <f t="shared" si="7"/>
        <v>DMM162022</v>
      </c>
      <c r="J36" s="223">
        <v>35</v>
      </c>
      <c r="N36" s="205" t="s">
        <v>681</v>
      </c>
      <c r="O36" s="205">
        <v>800</v>
      </c>
      <c r="P36" s="205">
        <v>9600</v>
      </c>
      <c r="Q36" s="205">
        <v>30</v>
      </c>
    </row>
    <row r="37" spans="1:17" ht="14.25" customHeight="1">
      <c r="A37" s="204" t="s">
        <v>849</v>
      </c>
      <c r="B37" s="205" t="s">
        <v>850</v>
      </c>
      <c r="C37" s="205" t="s">
        <v>650</v>
      </c>
      <c r="D37" s="205" t="s">
        <v>851</v>
      </c>
      <c r="E37" s="205" t="s">
        <v>852</v>
      </c>
      <c r="F37" s="206">
        <v>2022</v>
      </c>
      <c r="G37" s="206" t="str">
        <f t="shared" si="7"/>
        <v>DMM162022</v>
      </c>
      <c r="J37" s="223">
        <v>36</v>
      </c>
      <c r="N37" s="205" t="s">
        <v>682</v>
      </c>
      <c r="O37" s="205">
        <v>800</v>
      </c>
      <c r="P37" s="205">
        <v>9600</v>
      </c>
      <c r="Q37" s="205">
        <v>32</v>
      </c>
    </row>
    <row r="38" spans="1:17" ht="14.25" customHeight="1">
      <c r="A38" s="204" t="s">
        <v>853</v>
      </c>
      <c r="B38" s="205" t="s">
        <v>850</v>
      </c>
      <c r="C38" s="205" t="s">
        <v>650</v>
      </c>
      <c r="D38" s="205" t="s">
        <v>851</v>
      </c>
      <c r="E38" s="205" t="s">
        <v>852</v>
      </c>
      <c r="F38" s="206">
        <v>2022</v>
      </c>
      <c r="G38" s="206" t="s">
        <v>854</v>
      </c>
      <c r="J38" s="223">
        <v>37</v>
      </c>
      <c r="N38" s="205" t="s">
        <v>683</v>
      </c>
      <c r="O38" s="205">
        <v>800</v>
      </c>
      <c r="P38" s="205">
        <v>9600</v>
      </c>
      <c r="Q38" s="205">
        <v>30</v>
      </c>
    </row>
    <row r="39" spans="1:17" ht="14.25" customHeight="1">
      <c r="A39" s="204" t="s">
        <v>855</v>
      </c>
      <c r="B39" s="205" t="s">
        <v>850</v>
      </c>
      <c r="C39" s="205" t="s">
        <v>650</v>
      </c>
      <c r="D39" s="205" t="s">
        <v>851</v>
      </c>
      <c r="E39" s="205" t="s">
        <v>852</v>
      </c>
      <c r="F39" s="206">
        <v>2022</v>
      </c>
      <c r="G39" s="206" t="str">
        <f t="shared" ref="G39:G42" si="8">C39&amp;F39</f>
        <v>DMM162022</v>
      </c>
      <c r="J39" s="223">
        <v>38</v>
      </c>
      <c r="N39" s="205" t="s">
        <v>684</v>
      </c>
      <c r="O39" s="205">
        <v>500</v>
      </c>
      <c r="P39" s="205">
        <v>10000</v>
      </c>
      <c r="Q39" s="205">
        <v>30</v>
      </c>
    </row>
    <row r="40" spans="1:17" ht="14.25" customHeight="1">
      <c r="A40" s="204" t="s">
        <v>856</v>
      </c>
      <c r="B40" s="205" t="s">
        <v>857</v>
      </c>
      <c r="C40" s="205" t="s">
        <v>651</v>
      </c>
      <c r="D40" s="205" t="s">
        <v>858</v>
      </c>
      <c r="E40" s="205"/>
      <c r="F40" s="206">
        <v>2022</v>
      </c>
      <c r="G40" s="206" t="str">
        <f t="shared" si="8"/>
        <v>DMM202022</v>
      </c>
      <c r="J40" s="223">
        <v>39</v>
      </c>
      <c r="N40" s="205" t="s">
        <v>685</v>
      </c>
      <c r="O40" s="205">
        <v>600</v>
      </c>
      <c r="P40" s="205">
        <v>9600</v>
      </c>
      <c r="Q40" s="205">
        <v>32</v>
      </c>
    </row>
    <row r="41" spans="1:17" ht="14.25" customHeight="1">
      <c r="A41" s="204" t="s">
        <v>859</v>
      </c>
      <c r="B41" s="205" t="s">
        <v>857</v>
      </c>
      <c r="C41" s="205" t="s">
        <v>651</v>
      </c>
      <c r="D41" s="205" t="s">
        <v>858</v>
      </c>
      <c r="E41" s="205"/>
      <c r="F41" s="206">
        <v>2022</v>
      </c>
      <c r="G41" s="206" t="str">
        <f t="shared" si="8"/>
        <v>DMM202022</v>
      </c>
      <c r="J41" s="223">
        <v>40</v>
      </c>
      <c r="N41" s="205" t="s">
        <v>686</v>
      </c>
      <c r="O41" s="205">
        <v>800</v>
      </c>
      <c r="P41" s="205">
        <v>12800</v>
      </c>
      <c r="Q41" s="205">
        <v>32</v>
      </c>
    </row>
    <row r="42" spans="1:17" ht="14.25" customHeight="1">
      <c r="A42" s="204" t="s">
        <v>860</v>
      </c>
      <c r="B42" s="205" t="s">
        <v>857</v>
      </c>
      <c r="C42" s="205" t="s">
        <v>651</v>
      </c>
      <c r="D42" s="205" t="s">
        <v>858</v>
      </c>
      <c r="E42" s="205"/>
      <c r="F42" s="206">
        <v>2022</v>
      </c>
      <c r="G42" s="206" t="str">
        <f t="shared" si="8"/>
        <v>DMM202022</v>
      </c>
      <c r="J42" s="223">
        <v>41</v>
      </c>
      <c r="N42" s="205" t="s">
        <v>687</v>
      </c>
      <c r="O42" s="205">
        <v>800</v>
      </c>
      <c r="P42" s="205">
        <v>9600</v>
      </c>
      <c r="Q42" s="205">
        <v>32</v>
      </c>
    </row>
    <row r="43" spans="1:17" ht="14.25" customHeight="1">
      <c r="A43" s="204" t="s">
        <v>861</v>
      </c>
      <c r="B43" s="205" t="s">
        <v>862</v>
      </c>
      <c r="C43" s="205" t="s">
        <v>686</v>
      </c>
      <c r="D43" s="205" t="s">
        <v>863</v>
      </c>
      <c r="E43" s="205"/>
      <c r="F43" s="206">
        <v>2022</v>
      </c>
      <c r="G43" s="206" t="s">
        <v>864</v>
      </c>
      <c r="J43" s="223">
        <v>42</v>
      </c>
      <c r="N43" s="205" t="s">
        <v>92</v>
      </c>
      <c r="O43" s="205">
        <v>1000</v>
      </c>
      <c r="P43" s="205">
        <v>12000</v>
      </c>
      <c r="Q43" s="205">
        <v>32</v>
      </c>
    </row>
    <row r="44" spans="1:17" ht="14.25" customHeight="1">
      <c r="A44" s="204" t="s">
        <v>865</v>
      </c>
      <c r="B44" s="205" t="s">
        <v>866</v>
      </c>
      <c r="C44" s="205" t="s">
        <v>687</v>
      </c>
      <c r="D44" s="205" t="s">
        <v>867</v>
      </c>
      <c r="E44" s="205"/>
      <c r="F44" s="206">
        <v>2022</v>
      </c>
      <c r="G44" s="206" t="str">
        <f t="shared" ref="G44:G53" si="9">C44&amp;F44</f>
        <v>DRT122022</v>
      </c>
      <c r="J44" s="223">
        <v>43</v>
      </c>
      <c r="N44" s="205" t="s">
        <v>688</v>
      </c>
      <c r="O44" s="205">
        <v>1000</v>
      </c>
      <c r="P44" s="205">
        <v>12000</v>
      </c>
      <c r="Q44" s="205">
        <v>32</v>
      </c>
    </row>
    <row r="45" spans="1:17" ht="14.25" customHeight="1">
      <c r="A45" s="204" t="s">
        <v>868</v>
      </c>
      <c r="B45" s="205" t="s">
        <v>869</v>
      </c>
      <c r="C45" s="205" t="s">
        <v>652</v>
      </c>
      <c r="D45" s="205" t="s">
        <v>870</v>
      </c>
      <c r="E45" s="205"/>
      <c r="F45" s="206">
        <v>2022</v>
      </c>
      <c r="G45" s="206" t="str">
        <f t="shared" si="9"/>
        <v>DSB122022</v>
      </c>
      <c r="J45" s="223">
        <v>44</v>
      </c>
      <c r="N45" s="205" t="s">
        <v>689</v>
      </c>
      <c r="O45" s="205">
        <v>800</v>
      </c>
      <c r="P45" s="205">
        <v>9600</v>
      </c>
      <c r="Q45" s="205">
        <v>32</v>
      </c>
    </row>
    <row r="46" spans="1:17" ht="14.25" customHeight="1">
      <c r="A46" s="204" t="s">
        <v>871</v>
      </c>
      <c r="B46" s="205" t="s">
        <v>869</v>
      </c>
      <c r="C46" s="205" t="s">
        <v>652</v>
      </c>
      <c r="D46" s="205" t="s">
        <v>870</v>
      </c>
      <c r="E46" s="205"/>
      <c r="F46" s="206">
        <v>2022</v>
      </c>
      <c r="G46" s="206" t="str">
        <f t="shared" si="9"/>
        <v>DSB122022</v>
      </c>
      <c r="J46" s="223">
        <v>45</v>
      </c>
      <c r="N46" s="205" t="s">
        <v>690</v>
      </c>
      <c r="O46" s="205">
        <v>600</v>
      </c>
      <c r="P46" s="205">
        <v>9600</v>
      </c>
      <c r="Q46" s="205">
        <v>30</v>
      </c>
    </row>
    <row r="47" spans="1:17" ht="14.25" customHeight="1">
      <c r="A47" s="204" t="s">
        <v>872</v>
      </c>
      <c r="B47" s="205" t="s">
        <v>873</v>
      </c>
      <c r="C47" s="205" t="s">
        <v>653</v>
      </c>
      <c r="D47" s="205" t="s">
        <v>874</v>
      </c>
      <c r="E47" s="205"/>
      <c r="F47" s="206">
        <v>2022</v>
      </c>
      <c r="G47" s="206" t="str">
        <f t="shared" si="9"/>
        <v>DSE122022</v>
      </c>
      <c r="J47" s="223">
        <v>46</v>
      </c>
      <c r="N47" s="205" t="s">
        <v>691</v>
      </c>
      <c r="O47" s="205">
        <v>800</v>
      </c>
      <c r="P47" s="205">
        <v>9600</v>
      </c>
      <c r="Q47" s="205">
        <v>30</v>
      </c>
    </row>
    <row r="48" spans="1:17" ht="14.25" customHeight="1">
      <c r="A48" s="204" t="s">
        <v>875</v>
      </c>
      <c r="B48" s="205" t="s">
        <v>873</v>
      </c>
      <c r="C48" s="205" t="s">
        <v>653</v>
      </c>
      <c r="D48" s="205" t="s">
        <v>874</v>
      </c>
      <c r="E48" s="205"/>
      <c r="F48" s="206">
        <v>2022</v>
      </c>
      <c r="G48" s="206" t="str">
        <f t="shared" si="9"/>
        <v>DSE122022</v>
      </c>
      <c r="J48" s="223">
        <v>47</v>
      </c>
      <c r="N48" s="205" t="s">
        <v>692</v>
      </c>
      <c r="O48" s="205">
        <v>800</v>
      </c>
      <c r="P48" s="205">
        <v>9600</v>
      </c>
      <c r="Q48" s="205">
        <v>32</v>
      </c>
    </row>
    <row r="49" spans="1:17" ht="14.25" customHeight="1">
      <c r="A49" s="204" t="s">
        <v>876</v>
      </c>
      <c r="B49" s="205" t="s">
        <v>873</v>
      </c>
      <c r="C49" s="205" t="s">
        <v>653</v>
      </c>
      <c r="D49" s="205" t="s">
        <v>874</v>
      </c>
      <c r="E49" s="205"/>
      <c r="F49" s="206">
        <v>2022</v>
      </c>
      <c r="G49" s="206" t="str">
        <f t="shared" si="9"/>
        <v>DSE122022</v>
      </c>
      <c r="J49" s="223">
        <v>48</v>
      </c>
      <c r="N49" s="205" t="s">
        <v>693</v>
      </c>
      <c r="O49" s="205">
        <v>800</v>
      </c>
      <c r="P49" s="205">
        <v>9600</v>
      </c>
      <c r="Q49" s="205">
        <v>32</v>
      </c>
    </row>
    <row r="50" spans="1:17" ht="14.25" customHeight="1">
      <c r="A50" s="204" t="s">
        <v>877</v>
      </c>
      <c r="B50" s="205" t="s">
        <v>878</v>
      </c>
      <c r="C50" s="205" t="s">
        <v>654</v>
      </c>
      <c r="D50" s="205" t="s">
        <v>879</v>
      </c>
      <c r="E50" s="205"/>
      <c r="F50" s="206">
        <v>2022</v>
      </c>
      <c r="G50" s="206" t="str">
        <f t="shared" si="9"/>
        <v>DSM122022</v>
      </c>
      <c r="J50" s="223">
        <v>49</v>
      </c>
      <c r="N50" s="205" t="s">
        <v>694</v>
      </c>
      <c r="O50" s="205">
        <v>800</v>
      </c>
      <c r="P50" s="205">
        <v>9600</v>
      </c>
      <c r="Q50" s="205">
        <v>32</v>
      </c>
    </row>
    <row r="51" spans="1:17" ht="14.25" customHeight="1">
      <c r="A51" s="204" t="s">
        <v>880</v>
      </c>
      <c r="B51" s="205" t="s">
        <v>878</v>
      </c>
      <c r="C51" s="205" t="s">
        <v>654</v>
      </c>
      <c r="D51" s="205" t="s">
        <v>879</v>
      </c>
      <c r="E51" s="205"/>
      <c r="F51" s="206">
        <v>2022</v>
      </c>
      <c r="G51" s="206" t="str">
        <f t="shared" si="9"/>
        <v>DSM122022</v>
      </c>
      <c r="J51" s="223">
        <v>50</v>
      </c>
      <c r="N51" s="205" t="s">
        <v>29</v>
      </c>
      <c r="O51" s="205">
        <v>800</v>
      </c>
      <c r="P51" s="205">
        <v>9600</v>
      </c>
      <c r="Q51" s="205">
        <v>32</v>
      </c>
    </row>
    <row r="52" spans="1:17" ht="14.25" customHeight="1">
      <c r="A52" s="204" t="s">
        <v>881</v>
      </c>
      <c r="B52" s="205" t="s">
        <v>878</v>
      </c>
      <c r="C52" s="205" t="s">
        <v>654</v>
      </c>
      <c r="D52" s="205" t="s">
        <v>879</v>
      </c>
      <c r="E52" s="205"/>
      <c r="F52" s="206">
        <v>2022</v>
      </c>
      <c r="G52" s="206" t="str">
        <f t="shared" si="9"/>
        <v>DSM122022</v>
      </c>
      <c r="J52" s="223">
        <v>51</v>
      </c>
      <c r="N52" s="205" t="s">
        <v>120</v>
      </c>
      <c r="O52" s="205">
        <v>800</v>
      </c>
      <c r="P52" s="205">
        <v>9600</v>
      </c>
      <c r="Q52" s="205">
        <v>32</v>
      </c>
    </row>
    <row r="53" spans="1:17" ht="14.25" customHeight="1">
      <c r="A53" s="204" t="s">
        <v>882</v>
      </c>
      <c r="B53" s="205" t="s">
        <v>883</v>
      </c>
      <c r="C53" s="205" t="s">
        <v>655</v>
      </c>
      <c r="D53" s="205" t="s">
        <v>884</v>
      </c>
      <c r="E53" s="205"/>
      <c r="F53" s="206">
        <v>2022</v>
      </c>
      <c r="G53" s="206" t="str">
        <f t="shared" si="9"/>
        <v>DSS122022</v>
      </c>
      <c r="J53" s="224">
        <v>52</v>
      </c>
      <c r="N53" s="205" t="s">
        <v>192</v>
      </c>
      <c r="O53" s="205">
        <v>800</v>
      </c>
      <c r="P53" s="205">
        <v>9600</v>
      </c>
      <c r="Q53" s="205">
        <v>32</v>
      </c>
    </row>
    <row r="54" spans="1:17" ht="14.25" customHeight="1">
      <c r="A54" s="204" t="s">
        <v>885</v>
      </c>
      <c r="B54" s="205" t="s">
        <v>883</v>
      </c>
      <c r="C54" s="205" t="s">
        <v>655</v>
      </c>
      <c r="D54" s="205" t="s">
        <v>884</v>
      </c>
      <c r="E54" s="205"/>
      <c r="F54" s="206">
        <v>2022</v>
      </c>
      <c r="G54" s="206" t="s">
        <v>886</v>
      </c>
      <c r="N54" s="205" t="s">
        <v>695</v>
      </c>
      <c r="O54" s="205">
        <v>800</v>
      </c>
      <c r="P54" s="205">
        <v>9600</v>
      </c>
      <c r="Q54" s="205">
        <v>32</v>
      </c>
    </row>
    <row r="55" spans="1:17" ht="14.25" customHeight="1">
      <c r="A55" s="204" t="s">
        <v>887</v>
      </c>
      <c r="B55" s="205" t="s">
        <v>888</v>
      </c>
      <c r="C55" s="205" t="s">
        <v>656</v>
      </c>
      <c r="D55" s="205" t="s">
        <v>889</v>
      </c>
      <c r="E55" s="205"/>
      <c r="F55" s="206">
        <v>2022</v>
      </c>
      <c r="G55" s="206" t="str">
        <f t="shared" ref="G55:G64" si="10">C55&amp;F55</f>
        <v>DSS162022</v>
      </c>
      <c r="N55" s="205" t="s">
        <v>696</v>
      </c>
      <c r="O55" s="205">
        <v>800</v>
      </c>
      <c r="P55" s="205">
        <v>9600</v>
      </c>
      <c r="Q55" s="205">
        <v>32</v>
      </c>
    </row>
    <row r="56" spans="1:17" ht="14.25" customHeight="1">
      <c r="A56" s="204" t="s">
        <v>890</v>
      </c>
      <c r="B56" s="205" t="s">
        <v>888</v>
      </c>
      <c r="C56" s="205" t="s">
        <v>656</v>
      </c>
      <c r="D56" s="205" t="s">
        <v>889</v>
      </c>
      <c r="E56" s="205"/>
      <c r="F56" s="206">
        <v>2022</v>
      </c>
      <c r="G56" s="206" t="str">
        <f t="shared" si="10"/>
        <v>DSS162022</v>
      </c>
      <c r="N56" s="205" t="s">
        <v>37</v>
      </c>
      <c r="O56" s="205">
        <v>800</v>
      </c>
      <c r="P56" s="205">
        <v>9600</v>
      </c>
      <c r="Q56" s="205">
        <v>32</v>
      </c>
    </row>
    <row r="57" spans="1:17" ht="14.25" customHeight="1">
      <c r="A57" s="204" t="s">
        <v>891</v>
      </c>
      <c r="B57" s="205" t="s">
        <v>892</v>
      </c>
      <c r="C57" s="205" t="s">
        <v>701</v>
      </c>
      <c r="D57" s="205" t="s">
        <v>893</v>
      </c>
      <c r="E57" s="205"/>
      <c r="F57" s="206">
        <v>2022</v>
      </c>
      <c r="G57" s="206" t="str">
        <f t="shared" si="10"/>
        <v>DTS122022</v>
      </c>
      <c r="N57" s="205" t="s">
        <v>697</v>
      </c>
      <c r="O57" s="205">
        <v>800</v>
      </c>
      <c r="P57" s="205">
        <v>9600</v>
      </c>
      <c r="Q57" s="205">
        <v>30</v>
      </c>
    </row>
    <row r="58" spans="1:17" ht="14.25" customHeight="1">
      <c r="A58" s="204" t="s">
        <v>894</v>
      </c>
      <c r="B58" s="205" t="s">
        <v>892</v>
      </c>
      <c r="C58" s="205" t="s">
        <v>701</v>
      </c>
      <c r="D58" s="205" t="s">
        <v>893</v>
      </c>
      <c r="E58" s="205"/>
      <c r="F58" s="206">
        <v>2022</v>
      </c>
      <c r="G58" s="206" t="str">
        <f t="shared" si="10"/>
        <v>DTS122022</v>
      </c>
      <c r="N58" s="205" t="s">
        <v>698</v>
      </c>
      <c r="O58" s="205">
        <v>600</v>
      </c>
      <c r="P58" s="205">
        <v>9600</v>
      </c>
      <c r="Q58" s="205">
        <v>32</v>
      </c>
    </row>
    <row r="59" spans="1:17" ht="14.25" customHeight="1">
      <c r="A59" s="204" t="s">
        <v>895</v>
      </c>
      <c r="B59" s="205" t="s">
        <v>896</v>
      </c>
      <c r="C59" s="205" t="s">
        <v>682</v>
      </c>
      <c r="D59" s="205" t="s">
        <v>897</v>
      </c>
      <c r="E59" s="205"/>
      <c r="F59" s="206">
        <v>2022</v>
      </c>
      <c r="G59" s="206" t="str">
        <f t="shared" si="10"/>
        <v>FOR122022</v>
      </c>
      <c r="N59" s="205" t="s">
        <v>699</v>
      </c>
      <c r="O59" s="205">
        <v>800</v>
      </c>
      <c r="P59" s="205">
        <v>9600</v>
      </c>
      <c r="Q59" s="205">
        <v>30</v>
      </c>
    </row>
    <row r="60" spans="1:17" ht="14.25" customHeight="1">
      <c r="A60" s="204" t="s">
        <v>898</v>
      </c>
      <c r="B60" s="205" t="s">
        <v>899</v>
      </c>
      <c r="C60" s="205" t="s">
        <v>900</v>
      </c>
      <c r="D60" s="205" t="s">
        <v>901</v>
      </c>
      <c r="E60" s="205"/>
      <c r="F60" s="206">
        <v>2022</v>
      </c>
      <c r="G60" s="206" t="str">
        <f t="shared" si="10"/>
        <v>ISR122022</v>
      </c>
      <c r="N60" s="205" t="s">
        <v>700</v>
      </c>
      <c r="O60" s="205">
        <v>800</v>
      </c>
      <c r="P60" s="205">
        <v>9600</v>
      </c>
      <c r="Q60" s="205">
        <v>32</v>
      </c>
    </row>
    <row r="61" spans="1:17" ht="14.25" customHeight="1">
      <c r="A61" s="204" t="s">
        <v>902</v>
      </c>
      <c r="B61" s="205" t="s">
        <v>903</v>
      </c>
      <c r="C61" s="205" t="s">
        <v>904</v>
      </c>
      <c r="D61" s="205" t="s">
        <v>905</v>
      </c>
      <c r="E61" s="205"/>
      <c r="F61" s="206">
        <v>2022</v>
      </c>
      <c r="G61" s="206" t="str">
        <f t="shared" si="10"/>
        <v>IST122022</v>
      </c>
      <c r="N61" s="205" t="s">
        <v>701</v>
      </c>
      <c r="O61" s="205">
        <f>P61/12</f>
        <v>800</v>
      </c>
      <c r="P61" s="205">
        <v>9600</v>
      </c>
      <c r="Q61" s="205">
        <v>30</v>
      </c>
    </row>
    <row r="62" spans="1:17" ht="14.25" customHeight="1">
      <c r="A62" s="204" t="s">
        <v>906</v>
      </c>
      <c r="B62" s="205" t="s">
        <v>907</v>
      </c>
      <c r="C62" s="205" t="s">
        <v>37</v>
      </c>
      <c r="D62" s="205" t="s">
        <v>908</v>
      </c>
      <c r="E62" s="205"/>
      <c r="F62" s="206">
        <v>2022</v>
      </c>
      <c r="G62" s="206" t="str">
        <f t="shared" si="10"/>
        <v>KAM122022</v>
      </c>
      <c r="N62" s="205" t="s">
        <v>702</v>
      </c>
      <c r="O62" s="205">
        <v>800</v>
      </c>
      <c r="P62" s="205">
        <v>9600</v>
      </c>
      <c r="Q62" s="205">
        <v>30</v>
      </c>
    </row>
    <row r="63" spans="1:17" ht="14.25" customHeight="1">
      <c r="A63" s="204" t="s">
        <v>909</v>
      </c>
      <c r="B63" s="205" t="s">
        <v>910</v>
      </c>
      <c r="C63" s="205" t="s">
        <v>700</v>
      </c>
      <c r="D63" s="205" t="s">
        <v>911</v>
      </c>
      <c r="E63" s="205"/>
      <c r="F63" s="206">
        <v>2022</v>
      </c>
      <c r="G63" s="206" t="str">
        <f t="shared" si="10"/>
        <v>KAT122022</v>
      </c>
      <c r="N63" s="205" t="s">
        <v>703</v>
      </c>
      <c r="O63" s="205">
        <v>600</v>
      </c>
      <c r="P63" s="205">
        <v>9600</v>
      </c>
      <c r="Q63" s="205">
        <v>30</v>
      </c>
    </row>
    <row r="64" spans="1:17" ht="14.25" customHeight="1">
      <c r="A64" s="204" t="s">
        <v>912</v>
      </c>
      <c r="B64" s="205" t="s">
        <v>913</v>
      </c>
      <c r="C64" s="205" t="s">
        <v>689</v>
      </c>
      <c r="D64" s="205" t="s">
        <v>914</v>
      </c>
      <c r="E64" s="205"/>
      <c r="F64" s="206">
        <v>2022</v>
      </c>
      <c r="G64" s="206" t="str">
        <f t="shared" si="10"/>
        <v>KRI122022</v>
      </c>
      <c r="N64" s="205" t="s">
        <v>67</v>
      </c>
      <c r="O64" s="205">
        <v>800</v>
      </c>
      <c r="P64" s="205">
        <v>12800</v>
      </c>
      <c r="Q64" s="205">
        <v>32</v>
      </c>
    </row>
    <row r="65" spans="1:17" ht="14.25" customHeight="1">
      <c r="A65" s="204" t="s">
        <v>915</v>
      </c>
      <c r="B65" s="205" t="s">
        <v>916</v>
      </c>
      <c r="C65" s="205" t="s">
        <v>186</v>
      </c>
      <c r="D65" s="205" t="s">
        <v>917</v>
      </c>
      <c r="E65" s="205"/>
      <c r="F65" s="206">
        <v>2022</v>
      </c>
      <c r="G65" s="206" t="s">
        <v>918</v>
      </c>
      <c r="N65" s="205" t="s">
        <v>64</v>
      </c>
      <c r="O65" s="205">
        <v>800</v>
      </c>
      <c r="P65" s="205">
        <v>12800</v>
      </c>
      <c r="Q65" s="205">
        <v>32</v>
      </c>
    </row>
    <row r="66" spans="1:17" ht="14.25" customHeight="1">
      <c r="A66" s="204" t="s">
        <v>919</v>
      </c>
      <c r="B66" s="205" t="s">
        <v>920</v>
      </c>
      <c r="C66" s="205" t="s">
        <v>683</v>
      </c>
      <c r="D66" s="205" t="s">
        <v>921</v>
      </c>
      <c r="E66" s="205"/>
      <c r="F66" s="206">
        <v>2022</v>
      </c>
      <c r="G66" s="206" t="s">
        <v>918</v>
      </c>
      <c r="N66" s="205" t="s">
        <v>704</v>
      </c>
      <c r="O66" s="205">
        <v>600</v>
      </c>
      <c r="P66" s="205">
        <v>9600</v>
      </c>
      <c r="Q66" s="205">
        <v>32</v>
      </c>
    </row>
    <row r="67" spans="1:17" ht="14.25" customHeight="1">
      <c r="A67" s="204" t="s">
        <v>922</v>
      </c>
      <c r="B67" s="205" t="s">
        <v>920</v>
      </c>
      <c r="C67" s="205" t="s">
        <v>683</v>
      </c>
      <c r="D67" s="205" t="s">
        <v>921</v>
      </c>
      <c r="E67" s="205"/>
      <c r="F67" s="206">
        <v>2022</v>
      </c>
      <c r="G67" s="206" t="s">
        <v>918</v>
      </c>
      <c r="N67" s="205" t="s">
        <v>148</v>
      </c>
      <c r="O67" s="205">
        <v>600</v>
      </c>
      <c r="P67" s="205">
        <v>9600</v>
      </c>
      <c r="Q67" s="205">
        <v>32</v>
      </c>
    </row>
    <row r="68" spans="1:17" ht="14.25" customHeight="1">
      <c r="A68" s="204" t="s">
        <v>923</v>
      </c>
      <c r="B68" s="205" t="s">
        <v>920</v>
      </c>
      <c r="C68" s="205" t="s">
        <v>683</v>
      </c>
      <c r="D68" s="205" t="s">
        <v>921</v>
      </c>
      <c r="E68" s="205"/>
      <c r="F68" s="206">
        <v>2022</v>
      </c>
      <c r="G68" s="206" t="str">
        <f t="shared" ref="G68:G76" si="11">C68&amp;F68</f>
        <v>MBA122022</v>
      </c>
      <c r="N68" s="205" t="s">
        <v>145</v>
      </c>
      <c r="O68" s="205">
        <v>600</v>
      </c>
      <c r="P68" s="205">
        <v>12000</v>
      </c>
      <c r="Q68" s="205">
        <v>32</v>
      </c>
    </row>
    <row r="69" spans="1:17" ht="14.25" customHeight="1">
      <c r="A69" s="204" t="s">
        <v>924</v>
      </c>
      <c r="B69" s="205" t="s">
        <v>925</v>
      </c>
      <c r="C69" s="205" t="s">
        <v>679</v>
      </c>
      <c r="D69" s="205" t="s">
        <v>926</v>
      </c>
      <c r="E69" s="205"/>
      <c r="F69" s="206">
        <v>2022</v>
      </c>
      <c r="G69" s="206" t="str">
        <f t="shared" si="11"/>
        <v>MBC122022</v>
      </c>
      <c r="N69" s="205" t="s">
        <v>77</v>
      </c>
      <c r="O69" s="205">
        <v>600</v>
      </c>
      <c r="P69" s="205">
        <v>9600</v>
      </c>
      <c r="Q69" s="205">
        <v>32</v>
      </c>
    </row>
    <row r="70" spans="1:17" ht="14.25" customHeight="1">
      <c r="A70" s="204" t="s">
        <v>927</v>
      </c>
      <c r="B70" s="205" t="s">
        <v>925</v>
      </c>
      <c r="C70" s="205" t="s">
        <v>679</v>
      </c>
      <c r="D70" s="205" t="s">
        <v>926</v>
      </c>
      <c r="E70" s="205"/>
      <c r="F70" s="206">
        <v>2022</v>
      </c>
      <c r="G70" s="206" t="str">
        <f t="shared" si="11"/>
        <v>MBC122022</v>
      </c>
      <c r="N70" s="205" t="s">
        <v>74</v>
      </c>
      <c r="O70" s="205">
        <v>800</v>
      </c>
      <c r="P70" s="205">
        <v>9600</v>
      </c>
      <c r="Q70" s="205">
        <v>32</v>
      </c>
    </row>
    <row r="71" spans="1:17" ht="14.25" customHeight="1">
      <c r="A71" s="204" t="s">
        <v>928</v>
      </c>
      <c r="B71" s="205" t="s">
        <v>929</v>
      </c>
      <c r="C71" s="205" t="s">
        <v>679</v>
      </c>
      <c r="D71" s="205" t="s">
        <v>930</v>
      </c>
      <c r="E71" s="205"/>
      <c r="F71" s="206">
        <v>2022</v>
      </c>
      <c r="G71" s="206" t="str">
        <f t="shared" si="11"/>
        <v>MBC122022</v>
      </c>
      <c r="N71" s="205" t="s">
        <v>79</v>
      </c>
      <c r="O71" s="205">
        <v>800</v>
      </c>
      <c r="P71" s="205">
        <v>9600</v>
      </c>
      <c r="Q71" s="205">
        <v>32</v>
      </c>
    </row>
    <row r="72" spans="1:17" ht="14.25" customHeight="1">
      <c r="A72" s="204" t="s">
        <v>931</v>
      </c>
      <c r="B72" s="205" t="s">
        <v>929</v>
      </c>
      <c r="C72" s="205" t="s">
        <v>679</v>
      </c>
      <c r="D72" s="205" t="s">
        <v>930</v>
      </c>
      <c r="E72" s="205"/>
      <c r="F72" s="206">
        <v>2022</v>
      </c>
      <c r="G72" s="206" t="str">
        <f t="shared" si="11"/>
        <v>MBC122022</v>
      </c>
      <c r="N72" s="205" t="s">
        <v>186</v>
      </c>
      <c r="O72" s="205">
        <v>800</v>
      </c>
      <c r="P72" s="205">
        <v>9600</v>
      </c>
      <c r="Q72" s="205">
        <v>32</v>
      </c>
    </row>
    <row r="73" spans="1:17" ht="14.25" customHeight="1">
      <c r="A73" s="204" t="s">
        <v>932</v>
      </c>
      <c r="B73" s="205" t="s">
        <v>933</v>
      </c>
      <c r="C73" s="205" t="s">
        <v>678</v>
      </c>
      <c r="D73" s="205" t="s">
        <v>934</v>
      </c>
      <c r="E73" s="205" t="s">
        <v>935</v>
      </c>
      <c r="F73" s="206">
        <v>2022</v>
      </c>
      <c r="G73" s="206" t="str">
        <f t="shared" si="11"/>
        <v>MBG202022</v>
      </c>
      <c r="N73" s="205" t="s">
        <v>57</v>
      </c>
      <c r="O73" s="205">
        <v>600</v>
      </c>
      <c r="P73" s="205">
        <v>12000</v>
      </c>
      <c r="Q73" s="225">
        <v>40</v>
      </c>
    </row>
    <row r="74" spans="1:17" ht="14.25" customHeight="1">
      <c r="A74" s="204" t="s">
        <v>936</v>
      </c>
      <c r="B74" s="205" t="s">
        <v>937</v>
      </c>
      <c r="C74" s="205" t="s">
        <v>678</v>
      </c>
      <c r="D74" s="205" t="s">
        <v>938</v>
      </c>
      <c r="E74" s="205" t="s">
        <v>939</v>
      </c>
      <c r="F74" s="206">
        <v>2022</v>
      </c>
      <c r="G74" s="206" t="str">
        <f t="shared" si="11"/>
        <v>MBG202022</v>
      </c>
      <c r="N74" s="205" t="s">
        <v>81</v>
      </c>
      <c r="O74" s="205">
        <v>800</v>
      </c>
      <c r="P74" s="205">
        <v>9600</v>
      </c>
      <c r="Q74" s="205">
        <v>32</v>
      </c>
    </row>
    <row r="75" spans="1:17" ht="14.25" customHeight="1">
      <c r="A75" s="204" t="s">
        <v>940</v>
      </c>
      <c r="B75" s="205" t="s">
        <v>941</v>
      </c>
      <c r="C75" s="205" t="s">
        <v>657</v>
      </c>
      <c r="D75" s="205" t="s">
        <v>942</v>
      </c>
      <c r="E75" s="205"/>
      <c r="F75" s="206">
        <v>2022</v>
      </c>
      <c r="G75" s="206" t="str">
        <f t="shared" si="11"/>
        <v>MBL202022</v>
      </c>
      <c r="N75" s="205" t="s">
        <v>203</v>
      </c>
      <c r="O75" s="205">
        <v>600</v>
      </c>
      <c r="P75" s="205">
        <v>7200</v>
      </c>
      <c r="Q75" s="205">
        <v>32</v>
      </c>
    </row>
    <row r="76" spans="1:17" ht="14.25" customHeight="1">
      <c r="A76" s="204" t="s">
        <v>943</v>
      </c>
      <c r="B76" s="205" t="s">
        <v>941</v>
      </c>
      <c r="C76" s="205" t="s">
        <v>657</v>
      </c>
      <c r="D76" s="205" t="s">
        <v>942</v>
      </c>
      <c r="E76" s="205"/>
      <c r="F76" s="206">
        <v>2022</v>
      </c>
      <c r="G76" s="206" t="str">
        <f t="shared" si="11"/>
        <v>MBL202022</v>
      </c>
      <c r="N76" s="205" t="s">
        <v>157</v>
      </c>
      <c r="O76" s="205">
        <v>800</v>
      </c>
      <c r="P76" s="205">
        <v>8000</v>
      </c>
      <c r="Q76" s="205">
        <v>32</v>
      </c>
    </row>
    <row r="77" spans="1:17" ht="14.25" customHeight="1">
      <c r="A77" s="204" t="s">
        <v>944</v>
      </c>
      <c r="B77" s="205" t="s">
        <v>941</v>
      </c>
      <c r="C77" s="205" t="s">
        <v>657</v>
      </c>
      <c r="D77" s="205" t="s">
        <v>942</v>
      </c>
      <c r="E77" s="205"/>
      <c r="F77" s="206">
        <v>2022</v>
      </c>
      <c r="G77" s="206" t="s">
        <v>945</v>
      </c>
      <c r="N77" s="205" t="s">
        <v>160</v>
      </c>
      <c r="O77" s="205">
        <v>800</v>
      </c>
      <c r="P77" s="205">
        <v>9600</v>
      </c>
      <c r="Q77" s="205">
        <v>32</v>
      </c>
    </row>
    <row r="78" spans="1:17" ht="14.25" customHeight="1">
      <c r="A78" s="204" t="s">
        <v>946</v>
      </c>
      <c r="B78" s="205" t="s">
        <v>947</v>
      </c>
      <c r="C78" s="205" t="s">
        <v>658</v>
      </c>
      <c r="D78" s="205" t="s">
        <v>948</v>
      </c>
      <c r="E78" s="205"/>
      <c r="F78" s="206">
        <v>2022</v>
      </c>
      <c r="G78" s="206" t="s">
        <v>945</v>
      </c>
      <c r="N78" s="205" t="s">
        <v>224</v>
      </c>
      <c r="O78" s="205">
        <v>600</v>
      </c>
      <c r="P78" s="205">
        <v>9600</v>
      </c>
      <c r="Q78" s="205">
        <v>32</v>
      </c>
    </row>
    <row r="79" spans="1:17" ht="14.25" customHeight="1">
      <c r="A79" s="204" t="s">
        <v>949</v>
      </c>
      <c r="B79" s="205" t="s">
        <v>947</v>
      </c>
      <c r="C79" s="205" t="s">
        <v>658</v>
      </c>
      <c r="D79" s="205" t="s">
        <v>948</v>
      </c>
      <c r="E79" s="205"/>
      <c r="F79" s="206">
        <v>2022</v>
      </c>
      <c r="G79" s="206" t="s">
        <v>945</v>
      </c>
      <c r="N79" s="205" t="s">
        <v>227</v>
      </c>
      <c r="O79" s="205">
        <v>600</v>
      </c>
      <c r="P79" s="205">
        <v>9600</v>
      </c>
      <c r="Q79" s="205">
        <v>32</v>
      </c>
    </row>
    <row r="80" spans="1:17" ht="14.25" customHeight="1">
      <c r="A80" s="204" t="s">
        <v>950</v>
      </c>
      <c r="B80" s="205" t="s">
        <v>947</v>
      </c>
      <c r="C80" s="205" t="s">
        <v>658</v>
      </c>
      <c r="D80" s="205" t="s">
        <v>948</v>
      </c>
      <c r="E80" s="205"/>
      <c r="F80" s="206">
        <v>2022</v>
      </c>
      <c r="G80" s="206" t="s">
        <v>951</v>
      </c>
      <c r="N80" s="205" t="s">
        <v>705</v>
      </c>
      <c r="O80" s="205">
        <v>800</v>
      </c>
      <c r="P80" s="205">
        <v>9600</v>
      </c>
      <c r="Q80" s="205">
        <v>30</v>
      </c>
    </row>
    <row r="81" spans="1:17" ht="14.25" customHeight="1">
      <c r="A81" s="204" t="s">
        <v>952</v>
      </c>
      <c r="B81" s="205" t="s">
        <v>953</v>
      </c>
      <c r="C81" s="205" t="s">
        <v>702</v>
      </c>
      <c r="D81" s="205" t="s">
        <v>954</v>
      </c>
      <c r="E81" s="205"/>
      <c r="F81" s="206">
        <v>2022</v>
      </c>
      <c r="G81" s="206" t="str">
        <f t="shared" ref="G81:G83" si="12">C81&amp;F81</f>
        <v>MCA122022</v>
      </c>
      <c r="N81" s="205" t="s">
        <v>25</v>
      </c>
      <c r="O81" s="205">
        <v>800</v>
      </c>
      <c r="P81" s="205">
        <v>9600</v>
      </c>
      <c r="Q81" s="205">
        <v>32</v>
      </c>
    </row>
    <row r="82" spans="1:17" ht="14.25" customHeight="1">
      <c r="A82" s="204" t="s">
        <v>955</v>
      </c>
      <c r="B82" s="205" t="s">
        <v>953</v>
      </c>
      <c r="C82" s="205" t="s">
        <v>702</v>
      </c>
      <c r="D82" s="205" t="s">
        <v>954</v>
      </c>
      <c r="E82" s="205"/>
      <c r="F82" s="206">
        <v>2022</v>
      </c>
      <c r="G82" s="206" t="str">
        <f t="shared" si="12"/>
        <v>MCA122022</v>
      </c>
      <c r="N82" s="205" t="s">
        <v>126</v>
      </c>
      <c r="O82" s="205">
        <f>P82/12</f>
        <v>800</v>
      </c>
      <c r="P82" s="205">
        <v>9600</v>
      </c>
      <c r="Q82" s="205">
        <v>32</v>
      </c>
    </row>
    <row r="83" spans="1:17" ht="14.25" customHeight="1">
      <c r="A83" s="204" t="s">
        <v>956</v>
      </c>
      <c r="B83" s="205" t="s">
        <v>957</v>
      </c>
      <c r="C83" s="205" t="s">
        <v>702</v>
      </c>
      <c r="D83" s="205" t="s">
        <v>958</v>
      </c>
      <c r="E83" s="205"/>
      <c r="F83" s="206">
        <v>2022</v>
      </c>
      <c r="G83" s="206" t="str">
        <f t="shared" si="12"/>
        <v>MCA122022</v>
      </c>
      <c r="N83" s="205" t="s">
        <v>230</v>
      </c>
      <c r="O83" s="205">
        <f>P83/16</f>
        <v>600</v>
      </c>
      <c r="P83" s="205">
        <v>9600</v>
      </c>
      <c r="Q83" s="205">
        <v>32</v>
      </c>
    </row>
    <row r="84" spans="1:17" ht="14.25" customHeight="1">
      <c r="A84" s="204" t="s">
        <v>959</v>
      </c>
      <c r="B84" s="205" t="s">
        <v>960</v>
      </c>
      <c r="C84" s="205" t="s">
        <v>702</v>
      </c>
      <c r="D84" s="205" t="s">
        <v>961</v>
      </c>
      <c r="E84" s="205"/>
      <c r="F84" s="206">
        <v>2022</v>
      </c>
      <c r="G84" s="206" t="s">
        <v>962</v>
      </c>
      <c r="N84" s="205" t="s">
        <v>129</v>
      </c>
      <c r="O84" s="205">
        <f t="shared" ref="O84:O86" si="13">P84/12</f>
        <v>800</v>
      </c>
      <c r="P84" s="205">
        <v>9600</v>
      </c>
      <c r="Q84" s="205">
        <v>32</v>
      </c>
    </row>
    <row r="85" spans="1:17" ht="14.25" customHeight="1">
      <c r="A85" s="204" t="s">
        <v>963</v>
      </c>
      <c r="B85" s="205" t="s">
        <v>964</v>
      </c>
      <c r="C85" s="205" t="s">
        <v>705</v>
      </c>
      <c r="D85" s="205" t="s">
        <v>965</v>
      </c>
      <c r="E85" s="205"/>
      <c r="F85" s="206">
        <v>2022</v>
      </c>
      <c r="G85" s="206" t="str">
        <f t="shared" ref="G85:G87" si="14">C85&amp;F85</f>
        <v>MCO122022</v>
      </c>
      <c r="N85" s="205" t="s">
        <v>134</v>
      </c>
      <c r="O85" s="205">
        <f t="shared" si="13"/>
        <v>800</v>
      </c>
      <c r="P85" s="205">
        <v>9600</v>
      </c>
      <c r="Q85" s="205">
        <v>32</v>
      </c>
    </row>
    <row r="86" spans="1:17" ht="14.25" customHeight="1">
      <c r="A86" s="204" t="s">
        <v>966</v>
      </c>
      <c r="B86" s="205" t="s">
        <v>967</v>
      </c>
      <c r="C86" s="205" t="s">
        <v>659</v>
      </c>
      <c r="D86" s="205" t="s">
        <v>968</v>
      </c>
      <c r="E86" s="205"/>
      <c r="F86" s="206">
        <v>2022</v>
      </c>
      <c r="G86" s="206" t="str">
        <f t="shared" si="14"/>
        <v>MFB122022</v>
      </c>
      <c r="N86" s="205" t="s">
        <v>189</v>
      </c>
      <c r="O86" s="205">
        <f t="shared" si="13"/>
        <v>800</v>
      </c>
      <c r="P86" s="205">
        <v>9600</v>
      </c>
      <c r="Q86" s="205">
        <v>32</v>
      </c>
    </row>
    <row r="87" spans="1:17" ht="14.25" customHeight="1">
      <c r="A87" s="204" t="s">
        <v>969</v>
      </c>
      <c r="B87" s="205" t="s">
        <v>967</v>
      </c>
      <c r="C87" s="205" t="s">
        <v>659</v>
      </c>
      <c r="D87" s="205" t="s">
        <v>968</v>
      </c>
      <c r="E87" s="205"/>
      <c r="F87" s="206">
        <v>2022</v>
      </c>
      <c r="G87" s="206" t="str">
        <f t="shared" si="14"/>
        <v>MFB122022</v>
      </c>
      <c r="N87" s="205" t="s">
        <v>99</v>
      </c>
      <c r="O87" s="205">
        <f t="shared" ref="O87:O88" si="15">P87/16</f>
        <v>600</v>
      </c>
      <c r="P87" s="205">
        <v>9600</v>
      </c>
      <c r="Q87" s="205">
        <v>32</v>
      </c>
    </row>
    <row r="88" spans="1:17" ht="14.25" customHeight="1">
      <c r="A88" s="204" t="s">
        <v>970</v>
      </c>
      <c r="B88" s="205" t="s">
        <v>967</v>
      </c>
      <c r="C88" s="205" t="s">
        <v>659</v>
      </c>
      <c r="D88" s="205" t="s">
        <v>968</v>
      </c>
      <c r="E88" s="205"/>
      <c r="F88" s="206">
        <v>2022</v>
      </c>
      <c r="G88" s="206" t="s">
        <v>971</v>
      </c>
      <c r="N88" s="205" t="s">
        <v>101</v>
      </c>
      <c r="O88" s="205">
        <f t="shared" si="15"/>
        <v>600</v>
      </c>
      <c r="P88" s="205">
        <v>9600</v>
      </c>
      <c r="Q88" s="205">
        <v>32</v>
      </c>
    </row>
    <row r="89" spans="1:17" ht="14.25" customHeight="1">
      <c r="A89" s="204" t="s">
        <v>972</v>
      </c>
      <c r="B89" s="205" t="s">
        <v>967</v>
      </c>
      <c r="C89" s="205" t="s">
        <v>659</v>
      </c>
      <c r="D89" s="205" t="s">
        <v>968</v>
      </c>
      <c r="E89" s="205"/>
      <c r="F89" s="206">
        <v>2022</v>
      </c>
      <c r="G89" s="206" t="str">
        <f t="shared" ref="G89:G91" si="16">C89&amp;F89</f>
        <v>MFB122022</v>
      </c>
      <c r="N89" s="205" t="s">
        <v>245</v>
      </c>
      <c r="O89" s="205">
        <f t="shared" ref="O89:O98" si="17">P89/RIGHT(N89,2)</f>
        <v>800</v>
      </c>
      <c r="P89" s="205">
        <v>9600</v>
      </c>
      <c r="Q89" s="205">
        <v>32</v>
      </c>
    </row>
    <row r="90" spans="1:17" ht="14.25" customHeight="1">
      <c r="A90" s="204" t="s">
        <v>973</v>
      </c>
      <c r="B90" s="205" t="s">
        <v>967</v>
      </c>
      <c r="C90" s="205" t="s">
        <v>659</v>
      </c>
      <c r="D90" s="205" t="s">
        <v>968</v>
      </c>
      <c r="E90" s="205"/>
      <c r="F90" s="206">
        <v>2022</v>
      </c>
      <c r="G90" s="206" t="str">
        <f t="shared" si="16"/>
        <v>MFB122022</v>
      </c>
      <c r="N90" s="205" t="s">
        <v>247</v>
      </c>
      <c r="O90" s="205">
        <f t="shared" si="17"/>
        <v>600</v>
      </c>
      <c r="P90" s="205">
        <v>12000</v>
      </c>
      <c r="Q90" s="205">
        <v>32</v>
      </c>
    </row>
    <row r="91" spans="1:17" ht="14.25" customHeight="1">
      <c r="A91" s="204" t="s">
        <v>974</v>
      </c>
      <c r="B91" s="205" t="s">
        <v>975</v>
      </c>
      <c r="C91" s="205" t="s">
        <v>673</v>
      </c>
      <c r="D91" s="205" t="s">
        <v>976</v>
      </c>
      <c r="E91" s="205"/>
      <c r="F91" s="206">
        <v>2022</v>
      </c>
      <c r="G91" s="206" t="str">
        <f t="shared" si="16"/>
        <v>MFB162022</v>
      </c>
      <c r="N91" s="205" t="s">
        <v>250</v>
      </c>
      <c r="O91" s="205">
        <f t="shared" si="17"/>
        <v>800</v>
      </c>
      <c r="P91" s="205">
        <v>9600</v>
      </c>
      <c r="Q91" s="205">
        <v>32</v>
      </c>
    </row>
    <row r="92" spans="1:17" ht="14.25" customHeight="1">
      <c r="A92" s="204" t="s">
        <v>977</v>
      </c>
      <c r="B92" s="205" t="s">
        <v>975</v>
      </c>
      <c r="C92" s="205" t="s">
        <v>673</v>
      </c>
      <c r="D92" s="205" t="s">
        <v>976</v>
      </c>
      <c r="E92" s="205"/>
      <c r="F92" s="206">
        <v>2022</v>
      </c>
      <c r="G92" s="206" t="s">
        <v>978</v>
      </c>
      <c r="N92" s="205" t="s">
        <v>252</v>
      </c>
      <c r="O92" s="205">
        <f t="shared" si="17"/>
        <v>600</v>
      </c>
      <c r="P92" s="205">
        <v>9600</v>
      </c>
      <c r="Q92" s="205">
        <v>32</v>
      </c>
    </row>
    <row r="93" spans="1:17" ht="14.25" customHeight="1">
      <c r="A93" s="204" t="s">
        <v>979</v>
      </c>
      <c r="B93" s="205" t="s">
        <v>975</v>
      </c>
      <c r="C93" s="205" t="s">
        <v>673</v>
      </c>
      <c r="D93" s="205" t="s">
        <v>976</v>
      </c>
      <c r="E93" s="205"/>
      <c r="F93" s="206">
        <v>2022</v>
      </c>
      <c r="G93" s="206" t="str">
        <f t="shared" ref="G93:G95" si="18">C93&amp;F93</f>
        <v>MFB162022</v>
      </c>
      <c r="N93" s="205" t="s">
        <v>275</v>
      </c>
      <c r="O93" s="205">
        <f t="shared" si="17"/>
        <v>600</v>
      </c>
      <c r="P93" s="205">
        <v>12000</v>
      </c>
      <c r="Q93" s="205">
        <v>32</v>
      </c>
    </row>
    <row r="94" spans="1:17" ht="14.25" customHeight="1">
      <c r="A94" s="204" t="s">
        <v>980</v>
      </c>
      <c r="B94" s="205" t="s">
        <v>975</v>
      </c>
      <c r="C94" s="205" t="s">
        <v>673</v>
      </c>
      <c r="D94" s="205" t="s">
        <v>976</v>
      </c>
      <c r="E94" s="205"/>
      <c r="F94" s="206">
        <v>2022</v>
      </c>
      <c r="G94" s="206" t="str">
        <f t="shared" si="18"/>
        <v>MFB162022</v>
      </c>
      <c r="N94" s="205" t="s">
        <v>273</v>
      </c>
      <c r="O94" s="205">
        <f t="shared" si="17"/>
        <v>800</v>
      </c>
      <c r="P94" s="205">
        <v>9600</v>
      </c>
      <c r="Q94" s="205">
        <v>32</v>
      </c>
    </row>
    <row r="95" spans="1:17" ht="14.25" customHeight="1">
      <c r="A95" s="204" t="s">
        <v>981</v>
      </c>
      <c r="B95" s="205" t="s">
        <v>975</v>
      </c>
      <c r="C95" s="205" t="s">
        <v>673</v>
      </c>
      <c r="D95" s="205" t="s">
        <v>976</v>
      </c>
      <c r="E95" s="205"/>
      <c r="F95" s="206">
        <v>2022</v>
      </c>
      <c r="G95" s="206" t="str">
        <f t="shared" si="18"/>
        <v>MFB162022</v>
      </c>
      <c r="N95" s="205" t="s">
        <v>279</v>
      </c>
      <c r="O95" s="205">
        <f t="shared" si="17"/>
        <v>800</v>
      </c>
      <c r="P95" s="205">
        <v>9600</v>
      </c>
      <c r="Q95" s="205">
        <v>32</v>
      </c>
    </row>
    <row r="96" spans="1:17" ht="14.25" customHeight="1">
      <c r="A96" s="204" t="s">
        <v>982</v>
      </c>
      <c r="B96" s="205" t="s">
        <v>983</v>
      </c>
      <c r="C96" s="205" t="s">
        <v>660</v>
      </c>
      <c r="D96" s="205" t="s">
        <v>984</v>
      </c>
      <c r="E96" s="205"/>
      <c r="F96" s="206">
        <v>2022</v>
      </c>
      <c r="G96" s="206" t="s">
        <v>985</v>
      </c>
      <c r="N96" s="205" t="s">
        <v>281</v>
      </c>
      <c r="O96" s="205">
        <f t="shared" si="17"/>
        <v>600</v>
      </c>
      <c r="P96" s="205">
        <v>9600</v>
      </c>
      <c r="Q96" s="205">
        <v>32</v>
      </c>
    </row>
    <row r="97" spans="1:17" ht="14.25" customHeight="1">
      <c r="A97" s="204" t="s">
        <v>986</v>
      </c>
      <c r="B97" s="205" t="s">
        <v>983</v>
      </c>
      <c r="C97" s="205" t="s">
        <v>660</v>
      </c>
      <c r="D97" s="205" t="s">
        <v>984</v>
      </c>
      <c r="E97" s="205"/>
      <c r="F97" s="206">
        <v>2022</v>
      </c>
      <c r="G97" s="206" t="str">
        <f t="shared" ref="G97:G100" si="19">C97&amp;F97</f>
        <v>MFB202022</v>
      </c>
      <c r="N97" s="205" t="s">
        <v>254</v>
      </c>
      <c r="O97" s="205">
        <f t="shared" si="17"/>
        <v>600</v>
      </c>
      <c r="P97" s="205">
        <v>9600</v>
      </c>
      <c r="Q97" s="205">
        <v>32</v>
      </c>
    </row>
    <row r="98" spans="1:17" ht="14.25" customHeight="1">
      <c r="A98" s="204" t="s">
        <v>987</v>
      </c>
      <c r="B98" s="205" t="s">
        <v>983</v>
      </c>
      <c r="C98" s="205" t="s">
        <v>660</v>
      </c>
      <c r="D98" s="205" t="s">
        <v>984</v>
      </c>
      <c r="E98" s="205"/>
      <c r="F98" s="206">
        <v>2022</v>
      </c>
      <c r="G98" s="206" t="str">
        <f t="shared" si="19"/>
        <v>MFB202022</v>
      </c>
      <c r="N98" s="205" t="s">
        <v>239</v>
      </c>
      <c r="O98" s="205">
        <f t="shared" si="17"/>
        <v>800</v>
      </c>
      <c r="P98" s="205">
        <v>9600</v>
      </c>
      <c r="Q98" s="205">
        <v>32</v>
      </c>
    </row>
    <row r="99" spans="1:17" ht="14.25" customHeight="1">
      <c r="A99" s="204" t="s">
        <v>988</v>
      </c>
      <c r="B99" s="205" t="s">
        <v>989</v>
      </c>
      <c r="C99" s="205" t="s">
        <v>684</v>
      </c>
      <c r="D99" s="205" t="s">
        <v>990</v>
      </c>
      <c r="E99" s="205" t="s">
        <v>991</v>
      </c>
      <c r="F99" s="206">
        <v>2022</v>
      </c>
      <c r="G99" s="206" t="str">
        <f t="shared" si="19"/>
        <v>MFE202022</v>
      </c>
      <c r="N99" s="205" t="s">
        <v>107</v>
      </c>
      <c r="O99" s="205">
        <v>800</v>
      </c>
      <c r="P99" s="205">
        <v>9600</v>
      </c>
      <c r="Q99" s="205">
        <v>32</v>
      </c>
    </row>
    <row r="100" spans="1:17" ht="14.25" customHeight="1">
      <c r="A100" s="204" t="s">
        <v>992</v>
      </c>
      <c r="B100" s="205" t="s">
        <v>993</v>
      </c>
      <c r="C100" s="205" t="s">
        <v>684</v>
      </c>
      <c r="D100" s="205" t="s">
        <v>994</v>
      </c>
      <c r="E100" s="205" t="s">
        <v>995</v>
      </c>
      <c r="F100" s="206">
        <v>2022</v>
      </c>
      <c r="G100" s="206" t="str">
        <f t="shared" si="19"/>
        <v>MFE202022</v>
      </c>
      <c r="N100" s="205" t="s">
        <v>109</v>
      </c>
      <c r="O100" s="205">
        <f t="shared" ref="O100:O126" si="20">P100/RIGHT(N100,2)</f>
        <v>600</v>
      </c>
      <c r="P100" s="205">
        <v>9600</v>
      </c>
      <c r="Q100" s="205">
        <v>32</v>
      </c>
    </row>
    <row r="101" spans="1:17" ht="14.25" customHeight="1">
      <c r="A101" s="204" t="s">
        <v>996</v>
      </c>
      <c r="B101" s="205" t="s">
        <v>993</v>
      </c>
      <c r="C101" s="205" t="s">
        <v>684</v>
      </c>
      <c r="D101" s="205" t="s">
        <v>994</v>
      </c>
      <c r="E101" s="205" t="s">
        <v>995</v>
      </c>
      <c r="F101" s="206">
        <v>2022</v>
      </c>
      <c r="G101" s="206" t="s">
        <v>997</v>
      </c>
      <c r="N101" s="205" t="s">
        <v>268</v>
      </c>
      <c r="O101" s="205">
        <f t="shared" si="20"/>
        <v>800</v>
      </c>
      <c r="P101" s="205">
        <v>9600</v>
      </c>
      <c r="Q101" s="205">
        <v>32</v>
      </c>
    </row>
    <row r="102" spans="1:17" ht="14.25" customHeight="1">
      <c r="A102" s="204" t="s">
        <v>998</v>
      </c>
      <c r="B102" s="205" t="s">
        <v>999</v>
      </c>
      <c r="C102" s="205" t="s">
        <v>661</v>
      </c>
      <c r="D102" s="205" t="s">
        <v>1000</v>
      </c>
      <c r="E102" s="205"/>
      <c r="F102" s="206">
        <v>2022</v>
      </c>
      <c r="G102" s="206" t="s">
        <v>1001</v>
      </c>
      <c r="N102" s="205" t="s">
        <v>264</v>
      </c>
      <c r="O102" s="205">
        <f t="shared" si="20"/>
        <v>800</v>
      </c>
      <c r="P102" s="205">
        <v>9600</v>
      </c>
      <c r="Q102" s="205">
        <v>32</v>
      </c>
    </row>
    <row r="103" spans="1:17" ht="14.25" customHeight="1">
      <c r="A103" s="204" t="s">
        <v>1002</v>
      </c>
      <c r="B103" s="205" t="s">
        <v>999</v>
      </c>
      <c r="C103" s="205" t="s">
        <v>661</v>
      </c>
      <c r="D103" s="205" t="s">
        <v>1000</v>
      </c>
      <c r="E103" s="205"/>
      <c r="F103" s="206">
        <v>2022</v>
      </c>
      <c r="G103" s="206" t="str">
        <f t="shared" ref="G103:G105" si="21">C103&amp;F103</f>
        <v>MLD122022</v>
      </c>
      <c r="N103" s="205" t="s">
        <v>266</v>
      </c>
      <c r="O103" s="205">
        <f t="shared" si="20"/>
        <v>600</v>
      </c>
      <c r="P103" s="205">
        <v>9600</v>
      </c>
      <c r="Q103" s="205">
        <v>32</v>
      </c>
    </row>
    <row r="104" spans="1:17" ht="14.25" customHeight="1">
      <c r="A104" s="204" t="s">
        <v>1003</v>
      </c>
      <c r="B104" s="205" t="s">
        <v>1004</v>
      </c>
      <c r="C104" s="205" t="s">
        <v>662</v>
      </c>
      <c r="D104" s="205" t="s">
        <v>1005</v>
      </c>
      <c r="E104" s="205"/>
      <c r="F104" s="206">
        <v>2022</v>
      </c>
      <c r="G104" s="206" t="str">
        <f t="shared" si="21"/>
        <v>MLD162022</v>
      </c>
      <c r="N104" s="205" t="s">
        <v>258</v>
      </c>
      <c r="O104" s="205">
        <f t="shared" si="20"/>
        <v>800</v>
      </c>
      <c r="P104" s="205">
        <v>9600</v>
      </c>
      <c r="Q104" s="205">
        <v>32</v>
      </c>
    </row>
    <row r="105" spans="1:17" ht="14.25" customHeight="1">
      <c r="A105" s="204" t="s">
        <v>1006</v>
      </c>
      <c r="B105" s="205" t="s">
        <v>1004</v>
      </c>
      <c r="C105" s="205" t="s">
        <v>662</v>
      </c>
      <c r="D105" s="205" t="s">
        <v>1005</v>
      </c>
      <c r="E105" s="205"/>
      <c r="F105" s="206">
        <v>2022</v>
      </c>
      <c r="G105" s="206" t="str">
        <f t="shared" si="21"/>
        <v>MLD162022</v>
      </c>
      <c r="N105" s="205" t="s">
        <v>260</v>
      </c>
      <c r="O105" s="205">
        <f t="shared" si="20"/>
        <v>600</v>
      </c>
      <c r="P105" s="205">
        <v>9600</v>
      </c>
      <c r="Q105" s="205">
        <v>32</v>
      </c>
    </row>
    <row r="106" spans="1:17" ht="14.25" customHeight="1">
      <c r="A106" s="204" t="s">
        <v>1007</v>
      </c>
      <c r="B106" s="205" t="s">
        <v>1008</v>
      </c>
      <c r="C106" s="205" t="s">
        <v>674</v>
      </c>
      <c r="D106" s="205" t="s">
        <v>1009</v>
      </c>
      <c r="E106" s="205"/>
      <c r="F106" s="206">
        <v>2022</v>
      </c>
      <c r="G106" s="206" t="s">
        <v>1010</v>
      </c>
      <c r="N106" s="205" t="s">
        <v>262</v>
      </c>
      <c r="O106" s="205">
        <f t="shared" si="20"/>
        <v>800</v>
      </c>
      <c r="P106" s="205">
        <v>9600</v>
      </c>
      <c r="Q106" s="205">
        <v>32</v>
      </c>
    </row>
    <row r="107" spans="1:17" ht="14.25" customHeight="1">
      <c r="A107" s="204" t="s">
        <v>1011</v>
      </c>
      <c r="B107" s="205" t="s">
        <v>1008</v>
      </c>
      <c r="C107" s="205" t="s">
        <v>674</v>
      </c>
      <c r="D107" s="205" t="s">
        <v>1009</v>
      </c>
      <c r="E107" s="205"/>
      <c r="F107" s="206">
        <v>2022</v>
      </c>
      <c r="G107" s="206" t="str">
        <f t="shared" ref="G107:G108" si="22">C107&amp;F107</f>
        <v>MLD502022</v>
      </c>
      <c r="N107" s="205" t="s">
        <v>256</v>
      </c>
      <c r="O107" s="205">
        <f t="shared" si="20"/>
        <v>600</v>
      </c>
      <c r="P107" s="205">
        <v>7200</v>
      </c>
      <c r="Q107" s="205">
        <v>32</v>
      </c>
    </row>
    <row r="108" spans="1:17" ht="14.25" customHeight="1">
      <c r="A108" s="204" t="s">
        <v>1012</v>
      </c>
      <c r="B108" s="205" t="s">
        <v>1008</v>
      </c>
      <c r="C108" s="205" t="s">
        <v>674</v>
      </c>
      <c r="D108" s="205" t="s">
        <v>1009</v>
      </c>
      <c r="E108" s="205"/>
      <c r="F108" s="206">
        <v>2022</v>
      </c>
      <c r="G108" s="206" t="str">
        <f t="shared" si="22"/>
        <v>MLD502022</v>
      </c>
      <c r="N108" s="205" t="s">
        <v>137</v>
      </c>
      <c r="O108" s="205">
        <f t="shared" si="20"/>
        <v>600</v>
      </c>
      <c r="P108" s="205">
        <v>9600</v>
      </c>
      <c r="Q108" s="205">
        <v>32</v>
      </c>
    </row>
    <row r="109" spans="1:17" ht="14.25" customHeight="1">
      <c r="A109" s="204" t="s">
        <v>1013</v>
      </c>
      <c r="B109" s="205" t="s">
        <v>1014</v>
      </c>
      <c r="C109" s="205" t="s">
        <v>663</v>
      </c>
      <c r="D109" s="205" t="s">
        <v>1015</v>
      </c>
      <c r="E109" s="205" t="s">
        <v>1016</v>
      </c>
      <c r="F109" s="206">
        <v>2022</v>
      </c>
      <c r="G109" s="206" t="s">
        <v>1017</v>
      </c>
      <c r="N109" s="205" t="s">
        <v>151</v>
      </c>
      <c r="O109" s="205">
        <f t="shared" si="20"/>
        <v>600</v>
      </c>
      <c r="P109" s="205">
        <v>9600</v>
      </c>
      <c r="Q109" s="205">
        <v>32</v>
      </c>
    </row>
    <row r="110" spans="1:17" ht="14.25" customHeight="1">
      <c r="A110" s="204" t="s">
        <v>1018</v>
      </c>
      <c r="B110" s="205" t="s">
        <v>1014</v>
      </c>
      <c r="C110" s="205" t="s">
        <v>663</v>
      </c>
      <c r="D110" s="205" t="s">
        <v>1015</v>
      </c>
      <c r="E110" s="205" t="s">
        <v>1016</v>
      </c>
      <c r="F110" s="206">
        <v>2022</v>
      </c>
      <c r="G110" s="206" t="str">
        <f t="shared" ref="G110:G111" si="23">C110&amp;F110</f>
        <v>MLE122022</v>
      </c>
      <c r="N110" s="205" t="s">
        <v>85</v>
      </c>
      <c r="O110" s="205">
        <f t="shared" si="20"/>
        <v>800</v>
      </c>
      <c r="P110" s="205">
        <v>12800</v>
      </c>
      <c r="Q110" s="205">
        <v>32</v>
      </c>
    </row>
    <row r="111" spans="1:17" ht="14.25" customHeight="1">
      <c r="A111" s="204" t="s">
        <v>1019</v>
      </c>
      <c r="B111" s="205" t="s">
        <v>1020</v>
      </c>
      <c r="C111" s="205" t="s">
        <v>664</v>
      </c>
      <c r="D111" s="205" t="s">
        <v>1021</v>
      </c>
      <c r="E111" s="205" t="s">
        <v>1016</v>
      </c>
      <c r="F111" s="206">
        <v>2022</v>
      </c>
      <c r="G111" s="206" t="str">
        <f t="shared" si="23"/>
        <v>MLE162022</v>
      </c>
      <c r="N111" s="205" t="s">
        <v>49</v>
      </c>
      <c r="O111" s="205">
        <f t="shared" si="20"/>
        <v>800</v>
      </c>
      <c r="P111" s="205">
        <v>9600</v>
      </c>
      <c r="Q111" s="205">
        <v>32</v>
      </c>
    </row>
    <row r="112" spans="1:17" ht="14.25" customHeight="1">
      <c r="A112" s="204" t="s">
        <v>1022</v>
      </c>
      <c r="B112" s="205" t="s">
        <v>1020</v>
      </c>
      <c r="C112" s="205" t="s">
        <v>664</v>
      </c>
      <c r="D112" s="205" t="s">
        <v>1021</v>
      </c>
      <c r="E112" s="205" t="s">
        <v>1016</v>
      </c>
      <c r="F112" s="206">
        <v>2022</v>
      </c>
      <c r="G112" s="206" t="s">
        <v>1023</v>
      </c>
      <c r="N112" s="205" t="s">
        <v>34</v>
      </c>
      <c r="O112" s="205">
        <f t="shared" si="20"/>
        <v>800</v>
      </c>
      <c r="P112" s="205">
        <v>9600</v>
      </c>
      <c r="Q112" s="205">
        <v>32</v>
      </c>
    </row>
    <row r="113" spans="1:17" ht="14.25" customHeight="1">
      <c r="A113" s="204" t="s">
        <v>1024</v>
      </c>
      <c r="B113" s="205" t="s">
        <v>1025</v>
      </c>
      <c r="C113" s="205" t="s">
        <v>676</v>
      </c>
      <c r="D113" s="205" t="s">
        <v>1026</v>
      </c>
      <c r="E113" s="205" t="s">
        <v>1027</v>
      </c>
      <c r="F113" s="206">
        <v>2022</v>
      </c>
      <c r="G113" s="206" t="s">
        <v>1023</v>
      </c>
      <c r="N113" s="205" t="s">
        <v>706</v>
      </c>
      <c r="O113" s="205">
        <f t="shared" si="20"/>
        <v>600</v>
      </c>
      <c r="P113" s="205">
        <v>9600</v>
      </c>
      <c r="Q113" s="205">
        <v>30</v>
      </c>
    </row>
    <row r="114" spans="1:17" ht="14.25" customHeight="1">
      <c r="A114" s="204" t="s">
        <v>1028</v>
      </c>
      <c r="B114" s="205" t="s">
        <v>1029</v>
      </c>
      <c r="C114" s="205" t="s">
        <v>676</v>
      </c>
      <c r="D114" s="205" t="s">
        <v>1030</v>
      </c>
      <c r="E114" s="205" t="s">
        <v>1031</v>
      </c>
      <c r="F114" s="206">
        <v>2022</v>
      </c>
      <c r="G114" s="206" t="str">
        <f t="shared" ref="G114:G115" si="24">C114&amp;F114</f>
        <v>MLG202022</v>
      </c>
      <c r="N114" s="205" t="s">
        <v>707</v>
      </c>
      <c r="O114" s="205">
        <f t="shared" si="20"/>
        <v>400</v>
      </c>
      <c r="P114" s="205">
        <v>4800</v>
      </c>
      <c r="Q114" s="205">
        <v>30</v>
      </c>
    </row>
    <row r="115" spans="1:17" ht="14.25" customHeight="1">
      <c r="A115" s="204" t="s">
        <v>1032</v>
      </c>
      <c r="B115" s="205" t="s">
        <v>1033</v>
      </c>
      <c r="C115" s="205" t="s">
        <v>677</v>
      </c>
      <c r="D115" s="205" t="s">
        <v>1034</v>
      </c>
      <c r="E115" s="205" t="s">
        <v>1035</v>
      </c>
      <c r="F115" s="206">
        <v>2022</v>
      </c>
      <c r="G115" s="206" t="str">
        <f t="shared" si="24"/>
        <v>MMG202022</v>
      </c>
      <c r="N115" s="205" t="s">
        <v>708</v>
      </c>
      <c r="O115" s="205">
        <f t="shared" si="20"/>
        <v>800</v>
      </c>
      <c r="P115" s="205">
        <v>9600</v>
      </c>
      <c r="Q115" s="205">
        <v>30</v>
      </c>
    </row>
    <row r="116" spans="1:17" ht="14.25" customHeight="1">
      <c r="A116" s="204" t="s">
        <v>1036</v>
      </c>
      <c r="B116" s="205" t="s">
        <v>1037</v>
      </c>
      <c r="C116" s="205" t="s">
        <v>677</v>
      </c>
      <c r="D116" s="205" t="s">
        <v>1038</v>
      </c>
      <c r="E116" s="205" t="s">
        <v>1039</v>
      </c>
      <c r="F116" s="206">
        <v>2022</v>
      </c>
      <c r="G116" s="206" t="s">
        <v>1040</v>
      </c>
      <c r="N116" s="205" t="s">
        <v>286</v>
      </c>
      <c r="O116" s="205">
        <f t="shared" si="20"/>
        <v>600</v>
      </c>
      <c r="P116" s="205">
        <v>9600</v>
      </c>
      <c r="Q116" s="225">
        <v>40</v>
      </c>
    </row>
    <row r="117" spans="1:17" ht="14.25" customHeight="1">
      <c r="A117" s="204" t="s">
        <v>1041</v>
      </c>
      <c r="B117" s="205" t="s">
        <v>1037</v>
      </c>
      <c r="C117" s="205" t="s">
        <v>677</v>
      </c>
      <c r="D117" s="205" t="s">
        <v>1038</v>
      </c>
      <c r="E117" s="205" t="s">
        <v>1039</v>
      </c>
      <c r="F117" s="206">
        <v>2022</v>
      </c>
      <c r="G117" s="206" t="str">
        <f t="shared" ref="G117:G118" si="25">C117&amp;F117</f>
        <v>MMG202022</v>
      </c>
      <c r="N117" s="205" t="s">
        <v>88</v>
      </c>
      <c r="O117" s="205">
        <f t="shared" si="20"/>
        <v>800</v>
      </c>
      <c r="P117" s="205">
        <v>9600</v>
      </c>
      <c r="Q117" s="225">
        <v>40</v>
      </c>
    </row>
    <row r="118" spans="1:17" ht="14.25" customHeight="1">
      <c r="A118" s="204" t="s">
        <v>1042</v>
      </c>
      <c r="B118" s="205" t="s">
        <v>1043</v>
      </c>
      <c r="C118" s="205" t="s">
        <v>665</v>
      </c>
      <c r="D118" s="205" t="s">
        <v>1044</v>
      </c>
      <c r="E118" s="205"/>
      <c r="F118" s="206">
        <v>2022</v>
      </c>
      <c r="G118" s="206" t="str">
        <f t="shared" si="25"/>
        <v>MMI202022</v>
      </c>
      <c r="N118" s="205" t="s">
        <v>41</v>
      </c>
      <c r="O118" s="205">
        <f t="shared" si="20"/>
        <v>800</v>
      </c>
      <c r="P118" s="205">
        <v>9600</v>
      </c>
      <c r="Q118" s="205">
        <v>32</v>
      </c>
    </row>
    <row r="119" spans="1:17" ht="14.25" customHeight="1">
      <c r="A119" s="204" t="s">
        <v>1045</v>
      </c>
      <c r="B119" s="205" t="s">
        <v>1043</v>
      </c>
      <c r="C119" s="205" t="s">
        <v>665</v>
      </c>
      <c r="D119" s="205" t="s">
        <v>1044</v>
      </c>
      <c r="E119" s="205"/>
      <c r="F119" s="206">
        <v>2022</v>
      </c>
      <c r="G119" s="206" t="s">
        <v>1046</v>
      </c>
      <c r="N119" s="205" t="s">
        <v>123</v>
      </c>
      <c r="O119" s="205">
        <f t="shared" si="20"/>
        <v>600</v>
      </c>
      <c r="P119" s="205">
        <v>9600</v>
      </c>
      <c r="Q119" s="205">
        <v>32</v>
      </c>
    </row>
    <row r="120" spans="1:17" ht="14.25" customHeight="1">
      <c r="A120" s="204" t="s">
        <v>1047</v>
      </c>
      <c r="B120" s="205" t="s">
        <v>1043</v>
      </c>
      <c r="C120" s="205" t="s">
        <v>665</v>
      </c>
      <c r="D120" s="205" t="s">
        <v>1044</v>
      </c>
      <c r="E120" s="205"/>
      <c r="F120" s="206">
        <v>2022</v>
      </c>
      <c r="G120" s="206" t="s">
        <v>1048</v>
      </c>
      <c r="N120" s="205" t="s">
        <v>288</v>
      </c>
      <c r="O120" s="205">
        <f t="shared" si="20"/>
        <v>600</v>
      </c>
      <c r="P120" s="205">
        <v>9600</v>
      </c>
      <c r="Q120" s="225">
        <v>40</v>
      </c>
    </row>
    <row r="121" spans="1:17" ht="14.25" customHeight="1">
      <c r="A121" s="204" t="s">
        <v>1049</v>
      </c>
      <c r="B121" s="205" t="s">
        <v>1043</v>
      </c>
      <c r="C121" s="205" t="s">
        <v>665</v>
      </c>
      <c r="D121" s="205" t="s">
        <v>1044</v>
      </c>
      <c r="E121" s="205"/>
      <c r="F121" s="206">
        <v>2022</v>
      </c>
      <c r="G121" s="206" t="s">
        <v>1050</v>
      </c>
      <c r="N121" s="205" t="s">
        <v>60</v>
      </c>
      <c r="O121" s="205">
        <f t="shared" si="20"/>
        <v>800</v>
      </c>
      <c r="P121" s="205">
        <v>9600</v>
      </c>
      <c r="Q121" s="225">
        <v>40</v>
      </c>
    </row>
    <row r="122" spans="1:17" ht="14.25" customHeight="1">
      <c r="A122" s="204" t="s">
        <v>1051</v>
      </c>
      <c r="B122" s="205" t="s">
        <v>1052</v>
      </c>
      <c r="C122" s="205" t="s">
        <v>703</v>
      </c>
      <c r="D122" s="205" t="s">
        <v>1053</v>
      </c>
      <c r="E122" s="205"/>
      <c r="F122" s="206">
        <v>2022</v>
      </c>
      <c r="G122" s="206" t="str">
        <f t="shared" ref="G122:G144" si="26">C122&amp;F122</f>
        <v>MSE162022</v>
      </c>
      <c r="N122" s="205" t="s">
        <v>210</v>
      </c>
      <c r="O122" s="205">
        <f t="shared" si="20"/>
        <v>800</v>
      </c>
      <c r="P122" s="205">
        <v>9600</v>
      </c>
      <c r="Q122" s="205">
        <v>32</v>
      </c>
    </row>
    <row r="123" spans="1:17" ht="14.25" customHeight="1">
      <c r="A123" s="204" t="s">
        <v>1054</v>
      </c>
      <c r="B123" s="205" t="s">
        <v>1052</v>
      </c>
      <c r="C123" s="205" t="s">
        <v>703</v>
      </c>
      <c r="D123" s="205" t="s">
        <v>1053</v>
      </c>
      <c r="E123" s="205"/>
      <c r="F123" s="206">
        <v>2022</v>
      </c>
      <c r="G123" s="206" t="str">
        <f t="shared" si="26"/>
        <v>MSE162022</v>
      </c>
      <c r="N123" s="205" t="s">
        <v>234</v>
      </c>
      <c r="O123" s="205">
        <f t="shared" si="20"/>
        <v>600</v>
      </c>
      <c r="P123" s="205">
        <v>9600</v>
      </c>
      <c r="Q123" s="205">
        <v>32</v>
      </c>
    </row>
    <row r="124" spans="1:17" ht="14.25" customHeight="1">
      <c r="A124" s="204" t="s">
        <v>1055</v>
      </c>
      <c r="B124" s="205" t="s">
        <v>1056</v>
      </c>
      <c r="C124" s="205" t="s">
        <v>699</v>
      </c>
      <c r="D124" s="205" t="s">
        <v>1057</v>
      </c>
      <c r="E124" s="205"/>
      <c r="F124" s="206">
        <v>2022</v>
      </c>
      <c r="G124" s="206" t="str">
        <f t="shared" si="26"/>
        <v>MSP122022</v>
      </c>
      <c r="N124" s="205" t="s">
        <v>232</v>
      </c>
      <c r="O124" s="205">
        <f t="shared" si="20"/>
        <v>600</v>
      </c>
      <c r="P124" s="205">
        <v>9600</v>
      </c>
      <c r="Q124" s="205">
        <v>32</v>
      </c>
    </row>
    <row r="125" spans="1:17" ht="14.25" customHeight="1">
      <c r="A125" s="204" t="s">
        <v>1058</v>
      </c>
      <c r="B125" s="205" t="s">
        <v>1056</v>
      </c>
      <c r="C125" s="205" t="s">
        <v>699</v>
      </c>
      <c r="D125" s="205" t="s">
        <v>1057</v>
      </c>
      <c r="E125" s="205"/>
      <c r="F125" s="206">
        <v>2022</v>
      </c>
      <c r="G125" s="206" t="str">
        <f t="shared" si="26"/>
        <v>MSP122022</v>
      </c>
      <c r="N125" s="205" t="s">
        <v>104</v>
      </c>
      <c r="O125" s="205">
        <f t="shared" si="20"/>
        <v>600</v>
      </c>
      <c r="P125" s="205">
        <v>9600</v>
      </c>
      <c r="Q125" s="205">
        <v>32</v>
      </c>
    </row>
    <row r="126" spans="1:17" ht="14.25" customHeight="1">
      <c r="A126" s="204" t="s">
        <v>1059</v>
      </c>
      <c r="B126" s="205" t="s">
        <v>1060</v>
      </c>
      <c r="C126" s="205" t="s">
        <v>681</v>
      </c>
      <c r="D126" s="205" t="s">
        <v>1061</v>
      </c>
      <c r="E126" s="205"/>
      <c r="F126" s="206">
        <v>2022</v>
      </c>
      <c r="G126" s="206" t="str">
        <f t="shared" si="26"/>
        <v>MSU122022</v>
      </c>
      <c r="N126" s="205" t="s">
        <v>142</v>
      </c>
      <c r="O126" s="205">
        <f t="shared" si="20"/>
        <v>800</v>
      </c>
      <c r="P126" s="205">
        <v>9600</v>
      </c>
      <c r="Q126" s="205">
        <v>32</v>
      </c>
    </row>
    <row r="127" spans="1:17" ht="14.25" customHeight="1">
      <c r="A127" s="204" t="s">
        <v>1062</v>
      </c>
      <c r="B127" s="205" t="s">
        <v>1060</v>
      </c>
      <c r="C127" s="205" t="s">
        <v>681</v>
      </c>
      <c r="D127" s="205" t="s">
        <v>1061</v>
      </c>
      <c r="E127" s="205"/>
      <c r="F127" s="206">
        <v>2022</v>
      </c>
      <c r="G127" s="206" t="str">
        <f t="shared" si="26"/>
        <v>MSU122022</v>
      </c>
      <c r="N127" s="205" t="s">
        <v>46</v>
      </c>
      <c r="O127" s="205">
        <v>500</v>
      </c>
      <c r="P127" s="205">
        <v>10000</v>
      </c>
      <c r="Q127" s="205">
        <v>32</v>
      </c>
    </row>
    <row r="128" spans="1:17" ht="14.25" customHeight="1">
      <c r="A128" s="204" t="s">
        <v>1063</v>
      </c>
      <c r="B128" s="205" t="s">
        <v>1064</v>
      </c>
      <c r="C128" s="205" t="s">
        <v>666</v>
      </c>
      <c r="D128" s="205" t="s">
        <v>1065</v>
      </c>
      <c r="E128" s="205"/>
      <c r="F128" s="206">
        <v>2022</v>
      </c>
      <c r="G128" s="206" t="str">
        <f t="shared" si="26"/>
        <v>MSU162022</v>
      </c>
      <c r="N128" s="205" t="s">
        <v>709</v>
      </c>
      <c r="O128" s="205">
        <f t="shared" ref="O128:O187" si="27">P128/RIGHT(N128,2)</f>
        <v>480</v>
      </c>
      <c r="P128" s="205">
        <v>7680</v>
      </c>
      <c r="Q128" s="205">
        <v>30</v>
      </c>
    </row>
    <row r="129" spans="1:17" ht="14.25" customHeight="1">
      <c r="A129" s="204" t="s">
        <v>1066</v>
      </c>
      <c r="B129" s="205" t="s">
        <v>1064</v>
      </c>
      <c r="C129" s="205" t="s">
        <v>666</v>
      </c>
      <c r="D129" s="205" t="s">
        <v>1065</v>
      </c>
      <c r="E129" s="205"/>
      <c r="F129" s="206">
        <v>2022</v>
      </c>
      <c r="G129" s="206" t="str">
        <f t="shared" si="26"/>
        <v>MSU162022</v>
      </c>
      <c r="N129" s="205" t="s">
        <v>710</v>
      </c>
      <c r="O129" s="205">
        <f t="shared" si="27"/>
        <v>800</v>
      </c>
      <c r="P129" s="205">
        <v>9600</v>
      </c>
      <c r="Q129" s="205">
        <v>30</v>
      </c>
    </row>
    <row r="130" spans="1:17" ht="14.25" customHeight="1">
      <c r="A130" s="204" t="s">
        <v>1067</v>
      </c>
      <c r="B130" s="205" t="s">
        <v>1068</v>
      </c>
      <c r="C130" s="205" t="s">
        <v>667</v>
      </c>
      <c r="D130" s="205" t="s">
        <v>1069</v>
      </c>
      <c r="E130" s="205"/>
      <c r="F130" s="206">
        <v>2022</v>
      </c>
      <c r="G130" s="206" t="str">
        <f t="shared" si="26"/>
        <v>MTB162022</v>
      </c>
      <c r="N130" s="205" t="s">
        <v>153</v>
      </c>
      <c r="O130" s="205">
        <f t="shared" si="27"/>
        <v>600</v>
      </c>
      <c r="P130" s="205">
        <v>12000</v>
      </c>
      <c r="Q130" s="205">
        <v>32</v>
      </c>
    </row>
    <row r="131" spans="1:17" ht="14.25" customHeight="1">
      <c r="A131" s="204" t="s">
        <v>1070</v>
      </c>
      <c r="B131" s="205" t="s">
        <v>1068</v>
      </c>
      <c r="C131" s="205" t="s">
        <v>667</v>
      </c>
      <c r="D131" s="205" t="s">
        <v>1069</v>
      </c>
      <c r="E131" s="205"/>
      <c r="F131" s="206">
        <v>2022</v>
      </c>
      <c r="G131" s="206" t="str">
        <f t="shared" si="26"/>
        <v>MTB162022</v>
      </c>
      <c r="N131" s="205" t="s">
        <v>711</v>
      </c>
      <c r="O131" s="205">
        <f t="shared" si="27"/>
        <v>400</v>
      </c>
      <c r="P131" s="205">
        <v>4800</v>
      </c>
      <c r="Q131" s="205">
        <v>30</v>
      </c>
    </row>
    <row r="132" spans="1:17" ht="14.25" customHeight="1">
      <c r="A132" s="204" t="s">
        <v>1071</v>
      </c>
      <c r="B132" s="205" t="s">
        <v>1068</v>
      </c>
      <c r="C132" s="205" t="s">
        <v>667</v>
      </c>
      <c r="D132" s="205" t="s">
        <v>1069</v>
      </c>
      <c r="E132" s="205"/>
      <c r="F132" s="206">
        <v>2022</v>
      </c>
      <c r="G132" s="206" t="str">
        <f t="shared" si="26"/>
        <v>MTB162022</v>
      </c>
      <c r="N132" s="205" t="s">
        <v>712</v>
      </c>
      <c r="O132" s="205">
        <f t="shared" si="27"/>
        <v>800</v>
      </c>
      <c r="P132" s="205">
        <v>9600</v>
      </c>
      <c r="Q132" s="205">
        <v>30</v>
      </c>
    </row>
    <row r="133" spans="1:17" ht="14.25" customHeight="1">
      <c r="A133" s="204" t="s">
        <v>1072</v>
      </c>
      <c r="B133" s="205" t="s">
        <v>1073</v>
      </c>
      <c r="C133" s="205" t="s">
        <v>680</v>
      </c>
      <c r="D133" s="205" t="s">
        <v>1074</v>
      </c>
      <c r="E133" s="205"/>
      <c r="F133" s="206">
        <v>2022</v>
      </c>
      <c r="G133" s="206" t="str">
        <f t="shared" si="26"/>
        <v>MTR122022</v>
      </c>
      <c r="N133" s="205" t="s">
        <v>713</v>
      </c>
      <c r="O133" s="205">
        <f t="shared" si="27"/>
        <v>600</v>
      </c>
      <c r="P133" s="205">
        <v>9600</v>
      </c>
      <c r="Q133" s="205">
        <v>30</v>
      </c>
    </row>
    <row r="134" spans="1:17" ht="14.25" customHeight="1">
      <c r="A134" s="204" t="s">
        <v>1075</v>
      </c>
      <c r="B134" s="205" t="s">
        <v>1073</v>
      </c>
      <c r="C134" s="205" t="s">
        <v>680</v>
      </c>
      <c r="D134" s="205" t="s">
        <v>1074</v>
      </c>
      <c r="E134" s="205"/>
      <c r="F134" s="206">
        <v>2022</v>
      </c>
      <c r="G134" s="206" t="str">
        <f t="shared" si="26"/>
        <v>MTR122022</v>
      </c>
      <c r="N134" s="205" t="s">
        <v>714</v>
      </c>
      <c r="O134" s="205">
        <f t="shared" si="27"/>
        <v>1000</v>
      </c>
      <c r="P134" s="205">
        <v>12000</v>
      </c>
      <c r="Q134" s="205">
        <v>30</v>
      </c>
    </row>
    <row r="135" spans="1:17" ht="14.25" customHeight="1">
      <c r="A135" s="204" t="s">
        <v>1076</v>
      </c>
      <c r="B135" s="205" t="s">
        <v>1077</v>
      </c>
      <c r="C135" s="205" t="s">
        <v>668</v>
      </c>
      <c r="D135" s="205" t="s">
        <v>1078</v>
      </c>
      <c r="E135" s="205"/>
      <c r="F135" s="206">
        <v>2022</v>
      </c>
      <c r="G135" s="206" t="str">
        <f t="shared" si="26"/>
        <v>MTR162022</v>
      </c>
      <c r="N135" s="205" t="s">
        <v>715</v>
      </c>
      <c r="O135" s="205">
        <f t="shared" si="27"/>
        <v>800</v>
      </c>
      <c r="P135" s="205">
        <v>9600</v>
      </c>
      <c r="Q135" s="205">
        <v>30</v>
      </c>
    </row>
    <row r="136" spans="1:17" ht="14.25" customHeight="1">
      <c r="A136" s="204" t="s">
        <v>1079</v>
      </c>
      <c r="B136" s="205" t="s">
        <v>1077</v>
      </c>
      <c r="C136" s="205" t="s">
        <v>668</v>
      </c>
      <c r="D136" s="205" t="s">
        <v>1078</v>
      </c>
      <c r="E136" s="205"/>
      <c r="F136" s="206">
        <v>2022</v>
      </c>
      <c r="G136" s="206" t="str">
        <f t="shared" si="26"/>
        <v>MTR162022</v>
      </c>
      <c r="N136" s="205" t="s">
        <v>716</v>
      </c>
      <c r="O136" s="205">
        <f t="shared" si="27"/>
        <v>800</v>
      </c>
      <c r="P136" s="205">
        <v>9600</v>
      </c>
      <c r="Q136" s="205">
        <v>30</v>
      </c>
    </row>
    <row r="137" spans="1:17" ht="14.25" customHeight="1">
      <c r="A137" s="204" t="s">
        <v>1080</v>
      </c>
      <c r="B137" s="205" t="s">
        <v>1081</v>
      </c>
      <c r="C137" s="205" t="s">
        <v>148</v>
      </c>
      <c r="D137" s="205" t="s">
        <v>1082</v>
      </c>
      <c r="E137" s="205"/>
      <c r="F137" s="206">
        <v>2022</v>
      </c>
      <c r="G137" s="206" t="str">
        <f t="shared" si="26"/>
        <v>NAT162022</v>
      </c>
      <c r="N137" s="205" t="s">
        <v>717</v>
      </c>
      <c r="O137" s="205">
        <f t="shared" si="27"/>
        <v>600</v>
      </c>
      <c r="P137" s="205">
        <v>9600</v>
      </c>
      <c r="Q137" s="205">
        <v>30</v>
      </c>
    </row>
    <row r="138" spans="1:17" ht="14.25" customHeight="1">
      <c r="A138" s="204" t="s">
        <v>1083</v>
      </c>
      <c r="B138" s="205" t="s">
        <v>1084</v>
      </c>
      <c r="C138" s="205" t="s">
        <v>145</v>
      </c>
      <c r="D138" s="205" t="s">
        <v>1085</v>
      </c>
      <c r="E138" s="205"/>
      <c r="F138" s="206">
        <v>2022</v>
      </c>
      <c r="G138" s="206" t="str">
        <f t="shared" si="26"/>
        <v>NAT202022</v>
      </c>
      <c r="N138" s="205" t="s">
        <v>718</v>
      </c>
      <c r="O138" s="205">
        <f t="shared" si="27"/>
        <v>400</v>
      </c>
      <c r="P138" s="205">
        <v>4800</v>
      </c>
      <c r="Q138" s="205">
        <v>30</v>
      </c>
    </row>
    <row r="139" spans="1:17" ht="14.25" customHeight="1">
      <c r="A139" s="204" t="s">
        <v>1086</v>
      </c>
      <c r="B139" s="205" t="s">
        <v>1087</v>
      </c>
      <c r="C139" s="205" t="s">
        <v>157</v>
      </c>
      <c r="D139" s="205" t="s">
        <v>1088</v>
      </c>
      <c r="E139" s="205"/>
      <c r="F139" s="206">
        <v>2022</v>
      </c>
      <c r="G139" s="206" t="str">
        <f t="shared" si="26"/>
        <v>OEM102022</v>
      </c>
      <c r="N139" s="205" t="s">
        <v>719</v>
      </c>
      <c r="O139" s="205">
        <f t="shared" si="27"/>
        <v>600</v>
      </c>
      <c r="P139" s="205">
        <v>9600</v>
      </c>
      <c r="Q139" s="205">
        <v>30</v>
      </c>
    </row>
    <row r="140" spans="1:17" ht="14.25" customHeight="1">
      <c r="A140" s="204" t="s">
        <v>1089</v>
      </c>
      <c r="B140" s="205" t="s">
        <v>1090</v>
      </c>
      <c r="C140" s="205" t="s">
        <v>160</v>
      </c>
      <c r="D140" s="205" t="s">
        <v>1091</v>
      </c>
      <c r="E140" s="205"/>
      <c r="F140" s="206">
        <v>2022</v>
      </c>
      <c r="G140" s="206" t="str">
        <f t="shared" si="26"/>
        <v>OES122022</v>
      </c>
      <c r="N140" s="205" t="s">
        <v>166</v>
      </c>
      <c r="O140" s="205">
        <f t="shared" si="27"/>
        <v>800</v>
      </c>
      <c r="P140" s="205">
        <v>9600</v>
      </c>
      <c r="Q140" s="205">
        <v>32</v>
      </c>
    </row>
    <row r="141" spans="1:17" ht="14.25" customHeight="1">
      <c r="A141" s="204" t="s">
        <v>1092</v>
      </c>
      <c r="B141" s="205" t="s">
        <v>1093</v>
      </c>
      <c r="C141" s="205" t="s">
        <v>675</v>
      </c>
      <c r="D141" s="205" t="s">
        <v>1094</v>
      </c>
      <c r="E141" s="205"/>
      <c r="F141" s="206">
        <v>2022</v>
      </c>
      <c r="G141" s="206" t="str">
        <f t="shared" si="26"/>
        <v>PMM122022</v>
      </c>
      <c r="N141" s="205" t="s">
        <v>169</v>
      </c>
      <c r="O141" s="205">
        <f t="shared" si="27"/>
        <v>600</v>
      </c>
      <c r="P141" s="205">
        <v>9600</v>
      </c>
      <c r="Q141" s="205">
        <v>32</v>
      </c>
    </row>
    <row r="142" spans="1:17" ht="14.25" customHeight="1">
      <c r="A142" s="204" t="s">
        <v>1095</v>
      </c>
      <c r="B142" s="205" t="s">
        <v>1093</v>
      </c>
      <c r="C142" s="205" t="s">
        <v>675</v>
      </c>
      <c r="D142" s="205" t="s">
        <v>1094</v>
      </c>
      <c r="E142" s="205"/>
      <c r="F142" s="206">
        <v>2022</v>
      </c>
      <c r="G142" s="206" t="str">
        <f t="shared" si="26"/>
        <v>PMM122022</v>
      </c>
      <c r="N142" s="205" t="s">
        <v>171</v>
      </c>
      <c r="O142" s="205">
        <f t="shared" si="27"/>
        <v>600</v>
      </c>
      <c r="P142" s="205">
        <v>12000</v>
      </c>
      <c r="Q142" s="205">
        <v>32</v>
      </c>
    </row>
    <row r="143" spans="1:17" ht="14.25" customHeight="1">
      <c r="A143" s="204" t="s">
        <v>1096</v>
      </c>
      <c r="B143" s="205" t="s">
        <v>1097</v>
      </c>
      <c r="C143" s="205" t="s">
        <v>669</v>
      </c>
      <c r="D143" s="205" t="s">
        <v>1098</v>
      </c>
      <c r="E143" s="205"/>
      <c r="F143" s="206">
        <v>2022</v>
      </c>
      <c r="G143" s="206" t="str">
        <f t="shared" si="26"/>
        <v>PNK122022</v>
      </c>
      <c r="N143" s="205" t="s">
        <v>720</v>
      </c>
      <c r="O143" s="205">
        <f t="shared" si="27"/>
        <v>800</v>
      </c>
      <c r="P143" s="205">
        <v>9600</v>
      </c>
      <c r="Q143" s="205">
        <v>30</v>
      </c>
    </row>
    <row r="144" spans="1:17" ht="14.25" customHeight="1">
      <c r="A144" s="204" t="s">
        <v>1099</v>
      </c>
      <c r="B144" s="205" t="s">
        <v>1097</v>
      </c>
      <c r="C144" s="205" t="s">
        <v>669</v>
      </c>
      <c r="D144" s="205" t="s">
        <v>1098</v>
      </c>
      <c r="E144" s="205"/>
      <c r="F144" s="206">
        <v>2022</v>
      </c>
      <c r="G144" s="206" t="str">
        <f t="shared" si="26"/>
        <v>PNK122022</v>
      </c>
      <c r="N144" s="205" t="s">
        <v>721</v>
      </c>
      <c r="O144" s="205">
        <f t="shared" si="27"/>
        <v>800</v>
      </c>
      <c r="P144" s="205">
        <v>9600</v>
      </c>
      <c r="Q144" s="205">
        <v>30</v>
      </c>
    </row>
    <row r="145" spans="1:17" ht="14.25" customHeight="1">
      <c r="A145" s="204" t="s">
        <v>1100</v>
      </c>
      <c r="B145" s="205" t="s">
        <v>1101</v>
      </c>
      <c r="C145" s="205" t="s">
        <v>25</v>
      </c>
      <c r="D145" s="205" t="s">
        <v>1102</v>
      </c>
      <c r="E145" s="205"/>
      <c r="F145" s="206">
        <v>2022</v>
      </c>
      <c r="G145" s="206" t="s">
        <v>1103</v>
      </c>
      <c r="N145" s="205" t="s">
        <v>722</v>
      </c>
      <c r="O145" s="205">
        <f t="shared" si="27"/>
        <v>600</v>
      </c>
      <c r="P145" s="205">
        <v>9600</v>
      </c>
      <c r="Q145" s="205">
        <v>30</v>
      </c>
    </row>
    <row r="146" spans="1:17" ht="14.25" customHeight="1">
      <c r="A146" s="204" t="s">
        <v>1100</v>
      </c>
      <c r="B146" s="205" t="s">
        <v>1104</v>
      </c>
      <c r="C146" s="205" t="s">
        <v>25</v>
      </c>
      <c r="D146" s="205" t="s">
        <v>1105</v>
      </c>
      <c r="E146" s="205"/>
      <c r="F146" s="206">
        <v>2022</v>
      </c>
      <c r="G146" s="206" t="str">
        <f t="shared" ref="G146:G147" si="28">C146&amp;F146</f>
        <v>PSP122022</v>
      </c>
      <c r="N146" s="205" t="s">
        <v>723</v>
      </c>
      <c r="O146" s="205">
        <f t="shared" si="27"/>
        <v>600</v>
      </c>
      <c r="P146" s="205">
        <v>12000</v>
      </c>
      <c r="Q146" s="205">
        <v>30</v>
      </c>
    </row>
    <row r="147" spans="1:17" ht="14.25" customHeight="1">
      <c r="A147" s="204" t="s">
        <v>1106</v>
      </c>
      <c r="B147" s="205" t="s">
        <v>1107</v>
      </c>
      <c r="C147" s="205" t="s">
        <v>698</v>
      </c>
      <c r="D147" s="205" t="s">
        <v>1108</v>
      </c>
      <c r="E147" s="205"/>
      <c r="F147" s="206">
        <v>2022</v>
      </c>
      <c r="G147" s="206" t="str">
        <f t="shared" si="28"/>
        <v>ROA162022</v>
      </c>
      <c r="N147" s="205" t="s">
        <v>724</v>
      </c>
      <c r="O147" s="205">
        <f t="shared" si="27"/>
        <v>800</v>
      </c>
      <c r="P147" s="205">
        <v>9600</v>
      </c>
      <c r="Q147" s="205">
        <v>30</v>
      </c>
    </row>
    <row r="148" spans="1:17" ht="14.25" customHeight="1">
      <c r="A148" s="204" t="s">
        <v>1109</v>
      </c>
      <c r="B148" s="205" t="s">
        <v>1110</v>
      </c>
      <c r="C148" s="205" t="s">
        <v>688</v>
      </c>
      <c r="D148" s="205" t="s">
        <v>1111</v>
      </c>
      <c r="E148" s="205"/>
      <c r="F148" s="206">
        <v>2022</v>
      </c>
      <c r="G148" s="206" t="s">
        <v>1112</v>
      </c>
      <c r="N148" s="205" t="s">
        <v>725</v>
      </c>
      <c r="O148" s="205">
        <f t="shared" si="27"/>
        <v>800</v>
      </c>
      <c r="P148" s="205">
        <v>9600</v>
      </c>
      <c r="Q148" s="205">
        <v>30</v>
      </c>
    </row>
    <row r="149" spans="1:17" ht="14.25" customHeight="1">
      <c r="A149" s="204" t="s">
        <v>1113</v>
      </c>
      <c r="B149" s="205" t="s">
        <v>1114</v>
      </c>
      <c r="C149" s="205" t="s">
        <v>1115</v>
      </c>
      <c r="D149" s="205" t="s">
        <v>1116</v>
      </c>
      <c r="E149" s="205"/>
      <c r="F149" s="206">
        <v>2022</v>
      </c>
      <c r="G149" s="206" t="s">
        <v>1117</v>
      </c>
      <c r="N149" s="205" t="s">
        <v>726</v>
      </c>
      <c r="O149" s="205">
        <f t="shared" si="27"/>
        <v>800</v>
      </c>
      <c r="P149" s="205">
        <v>9600</v>
      </c>
      <c r="Q149" s="205">
        <v>30</v>
      </c>
    </row>
    <row r="150" spans="1:17" ht="14.25" customHeight="1">
      <c r="A150" s="204" t="s">
        <v>1118</v>
      </c>
      <c r="B150" s="205" t="s">
        <v>1119</v>
      </c>
      <c r="C150" s="205" t="s">
        <v>1120</v>
      </c>
      <c r="D150" s="205" t="s">
        <v>1121</v>
      </c>
      <c r="E150" s="205"/>
      <c r="F150" s="206">
        <v>2022</v>
      </c>
      <c r="G150" s="206" t="str">
        <f t="shared" ref="G150:G156" si="29">C150&amp;F150</f>
        <v>RVR162022</v>
      </c>
      <c r="N150" s="205" t="s">
        <v>727</v>
      </c>
      <c r="O150" s="205">
        <f t="shared" si="27"/>
        <v>800</v>
      </c>
      <c r="P150" s="205">
        <v>9600</v>
      </c>
      <c r="Q150" s="205">
        <v>30</v>
      </c>
    </row>
    <row r="151" spans="1:17" ht="14.25" customHeight="1">
      <c r="A151" s="204" t="s">
        <v>1122</v>
      </c>
      <c r="B151" s="205" t="s">
        <v>1123</v>
      </c>
      <c r="C151" s="205" t="s">
        <v>670</v>
      </c>
      <c r="D151" s="205" t="s">
        <v>1124</v>
      </c>
      <c r="E151" s="205"/>
      <c r="F151" s="206">
        <v>2022</v>
      </c>
      <c r="G151" s="206" t="str">
        <f t="shared" si="29"/>
        <v>SAH122022</v>
      </c>
      <c r="N151" s="205" t="s">
        <v>728</v>
      </c>
      <c r="O151" s="205">
        <f t="shared" si="27"/>
        <v>800</v>
      </c>
      <c r="P151" s="205">
        <v>9600</v>
      </c>
      <c r="Q151" s="205">
        <v>30</v>
      </c>
    </row>
    <row r="152" spans="1:17" ht="14.25" customHeight="1">
      <c r="A152" s="204" t="s">
        <v>1125</v>
      </c>
      <c r="B152" s="205" t="s">
        <v>1123</v>
      </c>
      <c r="C152" s="205" t="s">
        <v>670</v>
      </c>
      <c r="D152" s="205" t="s">
        <v>1124</v>
      </c>
      <c r="E152" s="205"/>
      <c r="F152" s="206">
        <v>2022</v>
      </c>
      <c r="G152" s="206" t="str">
        <f t="shared" si="29"/>
        <v>SAH122022</v>
      </c>
      <c r="N152" s="205" t="s">
        <v>729</v>
      </c>
      <c r="O152" s="205">
        <f t="shared" si="27"/>
        <v>500</v>
      </c>
      <c r="P152" s="205">
        <v>10000</v>
      </c>
      <c r="Q152" s="205">
        <v>52</v>
      </c>
    </row>
    <row r="153" spans="1:17" ht="14.25" customHeight="1">
      <c r="A153" s="204" t="s">
        <v>1126</v>
      </c>
      <c r="B153" s="205" t="s">
        <v>1127</v>
      </c>
      <c r="C153" s="205" t="s">
        <v>192</v>
      </c>
      <c r="D153" s="205" t="s">
        <v>1128</v>
      </c>
      <c r="E153" s="205"/>
      <c r="F153" s="206">
        <v>2022</v>
      </c>
      <c r="G153" s="206" t="str">
        <f t="shared" si="29"/>
        <v>SGR122022</v>
      </c>
      <c r="N153" s="205" t="s">
        <v>730</v>
      </c>
      <c r="O153" s="205">
        <f t="shared" si="27"/>
        <v>500</v>
      </c>
      <c r="P153" s="205">
        <v>10000</v>
      </c>
      <c r="Q153" s="205">
        <v>52</v>
      </c>
    </row>
    <row r="154" spans="1:17" ht="14.25" customHeight="1">
      <c r="A154" s="204" t="s">
        <v>1129</v>
      </c>
      <c r="B154" s="205" t="s">
        <v>1130</v>
      </c>
      <c r="C154" s="205" t="s">
        <v>671</v>
      </c>
      <c r="D154" s="205" t="s">
        <v>1131</v>
      </c>
      <c r="E154" s="205"/>
      <c r="F154" s="206">
        <v>2022</v>
      </c>
      <c r="G154" s="206" t="str">
        <f t="shared" si="29"/>
        <v>SLE122022</v>
      </c>
      <c r="N154" s="205" t="s">
        <v>731</v>
      </c>
      <c r="O154" s="205">
        <f t="shared" si="27"/>
        <v>800</v>
      </c>
      <c r="P154" s="205">
        <v>9600</v>
      </c>
      <c r="Q154" s="205">
        <v>30</v>
      </c>
    </row>
    <row r="155" spans="1:17" ht="14.25" customHeight="1">
      <c r="A155" s="204" t="s">
        <v>1132</v>
      </c>
      <c r="B155" s="205" t="s">
        <v>1130</v>
      </c>
      <c r="C155" s="205" t="s">
        <v>671</v>
      </c>
      <c r="D155" s="205" t="s">
        <v>1131</v>
      </c>
      <c r="E155" s="205"/>
      <c r="F155" s="206">
        <v>2022</v>
      </c>
      <c r="G155" s="206" t="str">
        <f t="shared" si="29"/>
        <v>SLE122022</v>
      </c>
      <c r="N155" s="205" t="s">
        <v>732</v>
      </c>
      <c r="O155" s="205">
        <f t="shared" si="27"/>
        <v>800</v>
      </c>
      <c r="P155" s="205">
        <v>9600</v>
      </c>
      <c r="Q155" s="205">
        <v>30</v>
      </c>
    </row>
    <row r="156" spans="1:17" ht="14.25" customHeight="1">
      <c r="A156" s="204" t="s">
        <v>1133</v>
      </c>
      <c r="B156" s="205" t="s">
        <v>1134</v>
      </c>
      <c r="C156" s="205" t="s">
        <v>126</v>
      </c>
      <c r="D156" s="205" t="s">
        <v>1135</v>
      </c>
      <c r="E156" s="205"/>
      <c r="F156" s="206">
        <v>2022</v>
      </c>
      <c r="G156" s="206" t="str">
        <f t="shared" si="29"/>
        <v>SLR122022</v>
      </c>
      <c r="N156" s="205" t="s">
        <v>733</v>
      </c>
      <c r="O156" s="205">
        <f t="shared" si="27"/>
        <v>800</v>
      </c>
      <c r="P156" s="205">
        <v>9600</v>
      </c>
      <c r="Q156" s="205">
        <v>30</v>
      </c>
    </row>
    <row r="157" spans="1:17" ht="14.25" customHeight="1">
      <c r="A157" s="204" t="s">
        <v>1136</v>
      </c>
      <c r="B157" s="205" t="s">
        <v>1137</v>
      </c>
      <c r="C157" s="205" t="s">
        <v>107</v>
      </c>
      <c r="D157" s="205" t="s">
        <v>1138</v>
      </c>
      <c r="E157" s="205"/>
      <c r="F157" s="206">
        <v>2022</v>
      </c>
      <c r="G157" s="206" t="s">
        <v>1139</v>
      </c>
      <c r="N157" s="205" t="s">
        <v>112</v>
      </c>
      <c r="O157" s="205">
        <f t="shared" si="27"/>
        <v>480</v>
      </c>
      <c r="P157" s="205">
        <v>9600</v>
      </c>
      <c r="Q157" s="205">
        <v>32</v>
      </c>
    </row>
    <row r="158" spans="1:17" ht="14.25" customHeight="1">
      <c r="A158" s="204" t="s">
        <v>1140</v>
      </c>
      <c r="B158" s="205" t="s">
        <v>1141</v>
      </c>
      <c r="C158" s="205" t="s">
        <v>672</v>
      </c>
      <c r="D158" s="205" t="s">
        <v>1142</v>
      </c>
      <c r="E158" s="205"/>
      <c r="F158" s="206">
        <v>2022</v>
      </c>
      <c r="G158" s="206" t="str">
        <f>C158&amp;F158</f>
        <v>SMS122022</v>
      </c>
      <c r="N158" s="205" t="s">
        <v>32</v>
      </c>
      <c r="O158" s="205">
        <f t="shared" si="27"/>
        <v>800</v>
      </c>
      <c r="P158" s="205">
        <v>9600</v>
      </c>
      <c r="Q158" s="205">
        <v>32</v>
      </c>
    </row>
    <row r="159" spans="1:17" ht="14.25" customHeight="1">
      <c r="A159" s="204" t="s">
        <v>1143</v>
      </c>
      <c r="B159" s="205" t="s">
        <v>1144</v>
      </c>
      <c r="C159" s="205" t="s">
        <v>696</v>
      </c>
      <c r="D159" s="205" t="s">
        <v>1145</v>
      </c>
      <c r="E159" s="205"/>
      <c r="F159" s="206">
        <v>2022</v>
      </c>
      <c r="G159" s="206" t="s">
        <v>1146</v>
      </c>
      <c r="N159" s="205" t="s">
        <v>52</v>
      </c>
      <c r="O159" s="205">
        <f t="shared" si="27"/>
        <v>800</v>
      </c>
      <c r="P159" s="205">
        <v>9600</v>
      </c>
      <c r="Q159" s="205">
        <v>32</v>
      </c>
    </row>
    <row r="160" spans="1:17" ht="14.25" customHeight="1">
      <c r="A160" s="204" t="s">
        <v>1147</v>
      </c>
      <c r="B160" s="205" t="s">
        <v>1148</v>
      </c>
      <c r="C160" s="205" t="s">
        <v>1149</v>
      </c>
      <c r="D160" s="205" t="s">
        <v>1150</v>
      </c>
      <c r="E160" s="205"/>
      <c r="F160" s="206">
        <v>2022</v>
      </c>
      <c r="G160" s="206" t="str">
        <f t="shared" ref="G160:G164" si="30">C160&amp;F160</f>
        <v>SPR102022</v>
      </c>
      <c r="N160" s="205" t="s">
        <v>236</v>
      </c>
      <c r="O160" s="205">
        <f t="shared" si="27"/>
        <v>600</v>
      </c>
      <c r="P160" s="205">
        <v>9600</v>
      </c>
      <c r="Q160" s="205">
        <v>32</v>
      </c>
    </row>
    <row r="161" spans="1:17" ht="14.25" customHeight="1">
      <c r="A161" s="204" t="s">
        <v>1151</v>
      </c>
      <c r="B161" s="205" t="s">
        <v>1152</v>
      </c>
      <c r="C161" s="205" t="s">
        <v>1153</v>
      </c>
      <c r="D161" s="205" t="s">
        <v>1154</v>
      </c>
      <c r="E161" s="205"/>
      <c r="F161" s="206">
        <v>2022</v>
      </c>
      <c r="G161" s="206" t="str">
        <f t="shared" si="30"/>
        <v>SPR122022</v>
      </c>
      <c r="N161" s="205" t="s">
        <v>83</v>
      </c>
      <c r="O161" s="205">
        <f t="shared" si="27"/>
        <v>600</v>
      </c>
      <c r="P161" s="205">
        <v>12000</v>
      </c>
      <c r="Q161" s="205">
        <v>32</v>
      </c>
    </row>
    <row r="162" spans="1:17" ht="14.25" customHeight="1">
      <c r="A162" s="204" t="s">
        <v>1155</v>
      </c>
      <c r="B162" s="205" t="s">
        <v>1156</v>
      </c>
      <c r="C162" s="205" t="s">
        <v>1157</v>
      </c>
      <c r="D162" s="205" t="s">
        <v>1158</v>
      </c>
      <c r="E162" s="205"/>
      <c r="F162" s="206">
        <v>2022</v>
      </c>
      <c r="G162" s="206" t="str">
        <f t="shared" si="30"/>
        <v>SPR162022</v>
      </c>
      <c r="N162" s="205" t="s">
        <v>216</v>
      </c>
      <c r="O162" s="205">
        <f t="shared" si="27"/>
        <v>1000</v>
      </c>
      <c r="P162" s="205">
        <v>12000</v>
      </c>
      <c r="Q162" s="205">
        <v>32</v>
      </c>
    </row>
    <row r="163" spans="1:17" ht="14.25" customHeight="1">
      <c r="A163" s="204" t="s">
        <v>1159</v>
      </c>
      <c r="B163" s="205" t="s">
        <v>1160</v>
      </c>
      <c r="C163" s="205" t="s">
        <v>1161</v>
      </c>
      <c r="D163" s="205" t="s">
        <v>1162</v>
      </c>
      <c r="E163" s="205"/>
      <c r="F163" s="206">
        <v>2022</v>
      </c>
      <c r="G163" s="206" t="str">
        <f t="shared" si="30"/>
        <v>SPW162022</v>
      </c>
      <c r="N163" s="205" t="s">
        <v>114</v>
      </c>
      <c r="O163" s="205">
        <f t="shared" si="27"/>
        <v>800</v>
      </c>
      <c r="P163" s="205">
        <v>9600</v>
      </c>
      <c r="Q163" s="205">
        <v>32</v>
      </c>
    </row>
    <row r="164" spans="1:17" ht="14.25" customHeight="1">
      <c r="A164" s="204" t="s">
        <v>1163</v>
      </c>
      <c r="B164" s="205" t="s">
        <v>1164</v>
      </c>
      <c r="C164" s="205" t="s">
        <v>92</v>
      </c>
      <c r="D164" s="205" t="s">
        <v>1165</v>
      </c>
      <c r="E164" s="205"/>
      <c r="F164" s="206">
        <v>2022</v>
      </c>
      <c r="G164" s="206" t="str">
        <f t="shared" si="30"/>
        <v>SRS122022</v>
      </c>
      <c r="N164" s="205" t="s">
        <v>117</v>
      </c>
      <c r="O164" s="205">
        <f t="shared" si="27"/>
        <v>600</v>
      </c>
      <c r="P164" s="205">
        <v>12000</v>
      </c>
      <c r="Q164" s="205">
        <v>32</v>
      </c>
    </row>
    <row r="165" spans="1:17" ht="14.25" customHeight="1">
      <c r="A165" s="204" t="s">
        <v>1166</v>
      </c>
      <c r="B165" s="205" t="s">
        <v>1167</v>
      </c>
      <c r="C165" s="205" t="s">
        <v>1168</v>
      </c>
      <c r="D165" s="205" t="s">
        <v>1169</v>
      </c>
      <c r="E165" s="205"/>
      <c r="F165" s="206">
        <v>2022</v>
      </c>
      <c r="G165" s="206" t="s">
        <v>1170</v>
      </c>
      <c r="N165" s="205" t="s">
        <v>734</v>
      </c>
      <c r="O165" s="205">
        <f t="shared" si="27"/>
        <v>800</v>
      </c>
      <c r="P165" s="205">
        <v>9600</v>
      </c>
      <c r="Q165" s="205">
        <v>30</v>
      </c>
    </row>
    <row r="166" spans="1:17" ht="14.25" customHeight="1">
      <c r="A166" s="204" t="s">
        <v>1171</v>
      </c>
      <c r="B166" s="205" t="s">
        <v>1172</v>
      </c>
      <c r="C166" s="205" t="s">
        <v>695</v>
      </c>
      <c r="D166" s="205" t="s">
        <v>1173</v>
      </c>
      <c r="E166" s="205"/>
      <c r="F166" s="206">
        <v>2022</v>
      </c>
      <c r="G166" s="206" t="str">
        <f t="shared" ref="G166:G170" si="31">C166&amp;F166</f>
        <v>TER122022</v>
      </c>
      <c r="N166" s="205" t="s">
        <v>199</v>
      </c>
      <c r="O166" s="205">
        <f t="shared" si="27"/>
        <v>800</v>
      </c>
      <c r="P166" s="205">
        <v>9600</v>
      </c>
      <c r="Q166" s="205">
        <v>32</v>
      </c>
    </row>
    <row r="167" spans="1:17" ht="14.25" customHeight="1">
      <c r="A167" s="204" t="s">
        <v>1174</v>
      </c>
      <c r="B167" s="205" t="s">
        <v>1175</v>
      </c>
      <c r="C167" s="205" t="s">
        <v>57</v>
      </c>
      <c r="D167" s="205" t="s">
        <v>1176</v>
      </c>
      <c r="E167" s="205"/>
      <c r="F167" s="206">
        <v>2022</v>
      </c>
      <c r="G167" s="206" t="str">
        <f t="shared" si="31"/>
        <v>TRI202022</v>
      </c>
      <c r="N167" s="205" t="s">
        <v>284</v>
      </c>
      <c r="O167" s="205">
        <f t="shared" si="27"/>
        <v>600</v>
      </c>
      <c r="P167" s="205">
        <v>12000</v>
      </c>
      <c r="Q167" s="205">
        <v>32</v>
      </c>
    </row>
    <row r="168" spans="1:17" ht="14.25" customHeight="1">
      <c r="A168" s="204" t="s">
        <v>1177</v>
      </c>
      <c r="B168" s="205" t="s">
        <v>1178</v>
      </c>
      <c r="C168" s="205" t="s">
        <v>704</v>
      </c>
      <c r="D168" s="205" t="s">
        <v>1179</v>
      </c>
      <c r="E168" s="205"/>
      <c r="F168" s="206">
        <v>2022</v>
      </c>
      <c r="G168" s="206" t="str">
        <f t="shared" si="31"/>
        <v>TRN162022</v>
      </c>
      <c r="N168" s="205" t="s">
        <v>277</v>
      </c>
      <c r="O168" s="205">
        <f t="shared" si="27"/>
        <v>600</v>
      </c>
      <c r="P168" s="205">
        <v>12000</v>
      </c>
      <c r="Q168" s="205">
        <v>32</v>
      </c>
    </row>
    <row r="169" spans="1:17" ht="14.25" customHeight="1">
      <c r="A169" s="204" t="s">
        <v>1180</v>
      </c>
      <c r="B169" s="205" t="s">
        <v>1181</v>
      </c>
      <c r="C169" s="205" t="s">
        <v>1182</v>
      </c>
      <c r="D169" s="205" t="s">
        <v>1183</v>
      </c>
      <c r="E169" s="205"/>
      <c r="F169" s="206">
        <v>2022</v>
      </c>
      <c r="G169" s="206" t="str">
        <f t="shared" si="31"/>
        <v>TUW122022</v>
      </c>
      <c r="N169" s="205" t="s">
        <v>132</v>
      </c>
      <c r="O169" s="205">
        <f t="shared" si="27"/>
        <v>800</v>
      </c>
      <c r="P169" s="205">
        <v>9600</v>
      </c>
      <c r="Q169" s="205">
        <v>32</v>
      </c>
    </row>
    <row r="170" spans="1:17" ht="14.25" customHeight="1">
      <c r="A170" s="204" t="s">
        <v>1184</v>
      </c>
      <c r="B170" s="205" t="s">
        <v>1185</v>
      </c>
      <c r="C170" s="205" t="s">
        <v>227</v>
      </c>
      <c r="D170" s="205" t="s">
        <v>1186</v>
      </c>
      <c r="E170" s="205"/>
      <c r="F170" s="206">
        <v>2022</v>
      </c>
      <c r="G170" s="206" t="str">
        <f t="shared" si="31"/>
        <v>TWR162022</v>
      </c>
      <c r="N170" s="205" t="s">
        <v>735</v>
      </c>
      <c r="O170" s="205">
        <f t="shared" si="27"/>
        <v>600</v>
      </c>
      <c r="P170" s="205">
        <v>12000</v>
      </c>
      <c r="Q170" s="205">
        <v>30</v>
      </c>
    </row>
    <row r="171" spans="1:17" ht="14.25" customHeight="1">
      <c r="A171" s="204" t="s">
        <v>1187</v>
      </c>
      <c r="B171" s="205" t="s">
        <v>1188</v>
      </c>
      <c r="C171" s="205" t="s">
        <v>224</v>
      </c>
      <c r="D171" s="205" t="s">
        <v>1189</v>
      </c>
      <c r="E171" s="205"/>
      <c r="F171" s="206">
        <v>2022</v>
      </c>
      <c r="G171" s="206" t="s">
        <v>1190</v>
      </c>
      <c r="N171" s="205" t="s">
        <v>736</v>
      </c>
      <c r="O171" s="205">
        <f t="shared" si="27"/>
        <v>600</v>
      </c>
      <c r="P171" s="205">
        <v>9600</v>
      </c>
      <c r="Q171" s="205">
        <v>30</v>
      </c>
    </row>
    <row r="172" spans="1:17" ht="14.25" customHeight="1">
      <c r="A172" s="204" t="s">
        <v>1191</v>
      </c>
      <c r="B172" s="205" t="s">
        <v>1192</v>
      </c>
      <c r="C172" s="205" t="s">
        <v>1193</v>
      </c>
      <c r="D172" s="205" t="s">
        <v>1194</v>
      </c>
      <c r="E172" s="205"/>
      <c r="F172" s="206">
        <v>2022</v>
      </c>
      <c r="G172" s="206" t="str">
        <f t="shared" ref="G172:G175" si="32">C172&amp;F172</f>
        <v>UAM162022</v>
      </c>
      <c r="N172" s="205" t="s">
        <v>737</v>
      </c>
      <c r="O172" s="205">
        <f t="shared" si="27"/>
        <v>400</v>
      </c>
      <c r="P172" s="205">
        <v>4800</v>
      </c>
      <c r="Q172" s="205">
        <v>30</v>
      </c>
    </row>
    <row r="173" spans="1:17" ht="14.25" customHeight="1">
      <c r="A173" s="204" t="s">
        <v>1195</v>
      </c>
      <c r="B173" s="205" t="s">
        <v>1196</v>
      </c>
      <c r="C173" s="205" t="s">
        <v>1197</v>
      </c>
      <c r="D173" s="205" t="s">
        <v>1198</v>
      </c>
      <c r="E173" s="205"/>
      <c r="F173" s="206">
        <v>2022</v>
      </c>
      <c r="G173" s="206" t="str">
        <f t="shared" si="32"/>
        <v>UNH122022</v>
      </c>
      <c r="N173" s="205" t="s">
        <v>195</v>
      </c>
      <c r="O173" s="205">
        <f t="shared" si="27"/>
        <v>800</v>
      </c>
      <c r="P173" s="205">
        <v>9600</v>
      </c>
      <c r="Q173" s="205">
        <v>32</v>
      </c>
    </row>
    <row r="174" spans="1:17" ht="14.25" customHeight="1">
      <c r="A174" s="204" t="s">
        <v>1199</v>
      </c>
      <c r="B174" s="205" t="s">
        <v>1200</v>
      </c>
      <c r="C174" s="205" t="s">
        <v>1201</v>
      </c>
      <c r="D174" s="205" t="s">
        <v>1202</v>
      </c>
      <c r="E174" s="205"/>
      <c r="F174" s="206">
        <v>2022</v>
      </c>
      <c r="G174" s="206" t="str">
        <f t="shared" si="32"/>
        <v>UNI122022</v>
      </c>
      <c r="N174" s="205" t="s">
        <v>173</v>
      </c>
      <c r="O174" s="205">
        <f t="shared" si="27"/>
        <v>600</v>
      </c>
      <c r="P174" s="205">
        <v>9600</v>
      </c>
      <c r="Q174" s="205">
        <v>32</v>
      </c>
    </row>
    <row r="175" spans="1:17" ht="14.25" customHeight="1">
      <c r="A175" s="204" t="s">
        <v>1203</v>
      </c>
      <c r="B175" s="205" t="s">
        <v>1204</v>
      </c>
      <c r="C175" s="205" t="s">
        <v>1205</v>
      </c>
      <c r="D175" s="205" t="s">
        <v>1206</v>
      </c>
      <c r="E175" s="205"/>
      <c r="F175" s="206">
        <v>2022</v>
      </c>
      <c r="G175" s="206" t="str">
        <f t="shared" si="32"/>
        <v>UNI162022</v>
      </c>
      <c r="N175" s="205" t="s">
        <v>71</v>
      </c>
      <c r="O175" s="205">
        <f t="shared" si="27"/>
        <v>800</v>
      </c>
      <c r="P175" s="205">
        <v>9600</v>
      </c>
      <c r="Q175" s="205">
        <v>32</v>
      </c>
    </row>
    <row r="176" spans="1:17" ht="14.25" customHeight="1">
      <c r="A176" s="204" t="s">
        <v>1207</v>
      </c>
      <c r="B176" s="205" t="s">
        <v>1208</v>
      </c>
      <c r="C176" s="205" t="s">
        <v>1209</v>
      </c>
      <c r="D176" s="205" t="s">
        <v>1210</v>
      </c>
      <c r="E176" s="205"/>
      <c r="F176" s="206">
        <v>2022</v>
      </c>
      <c r="G176" s="206" t="s">
        <v>1211</v>
      </c>
      <c r="N176" s="205" t="s">
        <v>220</v>
      </c>
      <c r="O176" s="205">
        <f t="shared" si="27"/>
        <v>800</v>
      </c>
      <c r="P176" s="205">
        <v>9600</v>
      </c>
      <c r="Q176" s="205">
        <v>32</v>
      </c>
    </row>
    <row r="177" spans="1:17" ht="14.25" customHeight="1">
      <c r="A177" s="204" t="s">
        <v>1212</v>
      </c>
      <c r="B177" s="205" t="s">
        <v>1213</v>
      </c>
      <c r="C177" s="205" t="s">
        <v>1214</v>
      </c>
      <c r="D177" s="205" t="s">
        <v>1215</v>
      </c>
      <c r="E177" s="205"/>
      <c r="F177" s="206">
        <v>2022</v>
      </c>
      <c r="G177" s="206" t="str">
        <f t="shared" ref="G177:G180" si="33">C177&amp;F177</f>
        <v>UNM162022</v>
      </c>
      <c r="N177" s="205" t="s">
        <v>206</v>
      </c>
      <c r="O177" s="205">
        <f t="shared" si="27"/>
        <v>1000</v>
      </c>
      <c r="P177" s="205">
        <v>12000</v>
      </c>
      <c r="Q177" s="205">
        <v>32</v>
      </c>
    </row>
    <row r="178" spans="1:17" ht="14.25" customHeight="1">
      <c r="A178" s="204" t="s">
        <v>1216</v>
      </c>
      <c r="B178" s="205" t="s">
        <v>1217</v>
      </c>
      <c r="C178" s="205" t="s">
        <v>1218</v>
      </c>
      <c r="D178" s="205" t="s">
        <v>1219</v>
      </c>
      <c r="E178" s="205"/>
      <c r="F178" s="206">
        <v>2022</v>
      </c>
      <c r="G178" s="206" t="str">
        <f t="shared" si="33"/>
        <v>UNR162022</v>
      </c>
      <c r="N178" s="205" t="s">
        <v>738</v>
      </c>
      <c r="O178" s="205">
        <f t="shared" si="27"/>
        <v>800</v>
      </c>
      <c r="P178" s="205">
        <v>9600</v>
      </c>
      <c r="Q178" s="205">
        <v>30</v>
      </c>
    </row>
    <row r="179" spans="1:17" ht="14.25" customHeight="1">
      <c r="A179" s="204" t="s">
        <v>1220</v>
      </c>
      <c r="B179" s="205" t="s">
        <v>1221</v>
      </c>
      <c r="C179" s="205" t="s">
        <v>1222</v>
      </c>
      <c r="D179" s="205" t="s">
        <v>1223</v>
      </c>
      <c r="E179" s="205"/>
      <c r="F179" s="206">
        <v>2022</v>
      </c>
      <c r="G179" s="206" t="str">
        <f t="shared" si="33"/>
        <v>UNT122022</v>
      </c>
      <c r="N179" s="205" t="s">
        <v>1224</v>
      </c>
      <c r="O179" s="205">
        <f t="shared" si="27"/>
        <v>1000</v>
      </c>
      <c r="P179" s="205">
        <v>12000</v>
      </c>
      <c r="Q179" s="205">
        <v>30</v>
      </c>
    </row>
    <row r="180" spans="1:17" ht="14.25" customHeight="1">
      <c r="A180" s="204" t="s">
        <v>1225</v>
      </c>
      <c r="B180" s="205" t="s">
        <v>1226</v>
      </c>
      <c r="C180" s="205" t="s">
        <v>1227</v>
      </c>
      <c r="D180" s="205" t="s">
        <v>1228</v>
      </c>
      <c r="E180" s="205"/>
      <c r="F180" s="206">
        <v>2022</v>
      </c>
      <c r="G180" s="206" t="str">
        <f t="shared" si="33"/>
        <v>UNT162022</v>
      </c>
      <c r="N180" s="205" t="s">
        <v>1229</v>
      </c>
      <c r="O180" s="205">
        <f t="shared" si="27"/>
        <v>1000</v>
      </c>
      <c r="P180" s="205">
        <v>12000</v>
      </c>
      <c r="Q180" s="205">
        <v>30</v>
      </c>
    </row>
    <row r="181" spans="1:17" ht="14.25" customHeight="1">
      <c r="A181" s="204" t="s">
        <v>1230</v>
      </c>
      <c r="B181" s="205" t="s">
        <v>1231</v>
      </c>
      <c r="C181" s="205" t="s">
        <v>1232</v>
      </c>
      <c r="D181" s="205" t="s">
        <v>1233</v>
      </c>
      <c r="E181" s="205"/>
      <c r="F181" s="206">
        <v>2022</v>
      </c>
      <c r="G181" s="206" t="s">
        <v>1234</v>
      </c>
      <c r="N181" s="205" t="s">
        <v>1235</v>
      </c>
      <c r="O181" s="205">
        <f t="shared" si="27"/>
        <v>800</v>
      </c>
      <c r="P181" s="205">
        <v>9600</v>
      </c>
      <c r="Q181" s="205">
        <v>30</v>
      </c>
    </row>
    <row r="182" spans="1:17" ht="14.25" customHeight="1">
      <c r="A182" s="204" t="s">
        <v>1236</v>
      </c>
      <c r="B182" s="205" t="s">
        <v>1237</v>
      </c>
      <c r="C182" s="205" t="s">
        <v>1238</v>
      </c>
      <c r="D182" s="205" t="s">
        <v>1239</v>
      </c>
      <c r="E182" s="205"/>
      <c r="F182" s="206">
        <v>2022</v>
      </c>
      <c r="G182" s="206" t="s">
        <v>1240</v>
      </c>
      <c r="N182" s="205" t="s">
        <v>1241</v>
      </c>
      <c r="O182" s="205">
        <f t="shared" si="27"/>
        <v>500</v>
      </c>
      <c r="P182" s="205">
        <v>10000</v>
      </c>
      <c r="Q182" s="205">
        <v>52</v>
      </c>
    </row>
    <row r="183" spans="1:17" ht="14.25" customHeight="1">
      <c r="A183" s="204" t="s">
        <v>1242</v>
      </c>
      <c r="B183" s="205" t="s">
        <v>1243</v>
      </c>
      <c r="C183" s="205" t="s">
        <v>1244</v>
      </c>
      <c r="D183" s="205" t="s">
        <v>1245</v>
      </c>
      <c r="E183" s="205"/>
      <c r="F183" s="206">
        <v>2022</v>
      </c>
      <c r="G183" s="206" t="s">
        <v>1246</v>
      </c>
      <c r="N183" s="205" t="s">
        <v>1247</v>
      </c>
      <c r="O183" s="205">
        <f t="shared" si="27"/>
        <v>500</v>
      </c>
      <c r="P183" s="205">
        <v>10000</v>
      </c>
      <c r="Q183" s="205">
        <v>52</v>
      </c>
    </row>
    <row r="184" spans="1:17" ht="14.25" customHeight="1">
      <c r="A184" s="204" t="s">
        <v>1248</v>
      </c>
      <c r="B184" s="205" t="s">
        <v>1249</v>
      </c>
      <c r="C184" s="205" t="s">
        <v>1250</v>
      </c>
      <c r="D184" s="205" t="s">
        <v>1251</v>
      </c>
      <c r="E184" s="205"/>
      <c r="F184" s="206">
        <v>2022</v>
      </c>
      <c r="G184" s="206" t="str">
        <f t="shared" ref="G184:G191" si="34">C184&amp;F184</f>
        <v>UPC162022</v>
      </c>
      <c r="N184" s="205" t="s">
        <v>1252</v>
      </c>
      <c r="O184" s="205">
        <f t="shared" si="27"/>
        <v>800</v>
      </c>
      <c r="P184" s="205">
        <v>9600</v>
      </c>
      <c r="Q184" s="205">
        <v>30</v>
      </c>
    </row>
    <row r="185" spans="1:17" ht="14.25" customHeight="1">
      <c r="A185" s="204" t="s">
        <v>1253</v>
      </c>
      <c r="B185" s="205" t="s">
        <v>1254</v>
      </c>
      <c r="C185" s="205" t="s">
        <v>1255</v>
      </c>
      <c r="D185" s="205" t="s">
        <v>1256</v>
      </c>
      <c r="E185" s="205"/>
      <c r="F185" s="206">
        <v>2022</v>
      </c>
      <c r="G185" s="206" t="str">
        <f t="shared" si="34"/>
        <v>UPC202022</v>
      </c>
      <c r="N185" s="205" t="s">
        <v>1257</v>
      </c>
      <c r="O185" s="205">
        <f t="shared" si="27"/>
        <v>500</v>
      </c>
      <c r="P185" s="205">
        <v>10000</v>
      </c>
      <c r="Q185" s="205">
        <v>52</v>
      </c>
    </row>
    <row r="186" spans="1:17" ht="14.25" customHeight="1">
      <c r="A186" s="204" t="s">
        <v>1258</v>
      </c>
      <c r="B186" s="205" t="s">
        <v>1259</v>
      </c>
      <c r="C186" s="205" t="s">
        <v>1260</v>
      </c>
      <c r="D186" s="205" t="s">
        <v>1261</v>
      </c>
      <c r="E186" s="205"/>
      <c r="F186" s="206">
        <v>2022</v>
      </c>
      <c r="G186" s="206" t="str">
        <f t="shared" si="34"/>
        <v>UPG162022</v>
      </c>
      <c r="N186" s="205" t="s">
        <v>1262</v>
      </c>
      <c r="O186" s="205">
        <f t="shared" si="27"/>
        <v>500</v>
      </c>
      <c r="P186" s="205">
        <v>10000</v>
      </c>
      <c r="Q186" s="205">
        <v>52</v>
      </c>
    </row>
    <row r="187" spans="1:17" ht="14.25" customHeight="1">
      <c r="A187" s="204" t="s">
        <v>1263</v>
      </c>
      <c r="B187" s="205" t="s">
        <v>1264</v>
      </c>
      <c r="C187" s="205" t="s">
        <v>1265</v>
      </c>
      <c r="D187" s="205" t="s">
        <v>1266</v>
      </c>
      <c r="E187" s="205"/>
      <c r="F187" s="206">
        <v>2022</v>
      </c>
      <c r="G187" s="206" t="str">
        <f t="shared" si="34"/>
        <v>UPG202022</v>
      </c>
      <c r="N187" s="205" t="s">
        <v>1267</v>
      </c>
      <c r="O187" s="205">
        <f t="shared" si="27"/>
        <v>500</v>
      </c>
      <c r="P187" s="205">
        <v>10000</v>
      </c>
      <c r="Q187" s="205">
        <v>52</v>
      </c>
    </row>
    <row r="188" spans="1:17" ht="14.25" customHeight="1">
      <c r="A188" s="204" t="s">
        <v>1268</v>
      </c>
      <c r="B188" s="205" t="s">
        <v>1269</v>
      </c>
      <c r="C188" s="205" t="s">
        <v>1270</v>
      </c>
      <c r="D188" s="205" t="s">
        <v>1271</v>
      </c>
      <c r="E188" s="205"/>
      <c r="F188" s="206">
        <v>2022</v>
      </c>
      <c r="G188" s="206" t="str">
        <f t="shared" si="34"/>
        <v>UPM162022</v>
      </c>
      <c r="N188" s="205" t="s">
        <v>176</v>
      </c>
      <c r="O188" s="205">
        <v>800</v>
      </c>
      <c r="P188" s="205">
        <v>9600</v>
      </c>
      <c r="Q188" s="205">
        <v>32</v>
      </c>
    </row>
    <row r="189" spans="1:17" ht="14.25" customHeight="1">
      <c r="A189" s="204" t="s">
        <v>1272</v>
      </c>
      <c r="B189" s="205" t="s">
        <v>1273</v>
      </c>
      <c r="C189" s="205" t="s">
        <v>1274</v>
      </c>
      <c r="D189" s="205" t="s">
        <v>1275</v>
      </c>
      <c r="E189" s="205"/>
      <c r="F189" s="206">
        <v>2022</v>
      </c>
      <c r="G189" s="206" t="str">
        <f t="shared" si="34"/>
        <v>UPO162022</v>
      </c>
      <c r="N189" s="205" t="s">
        <v>179</v>
      </c>
      <c r="O189" s="205">
        <v>800</v>
      </c>
      <c r="P189" s="205">
        <v>9600</v>
      </c>
      <c r="Q189" s="205">
        <v>32</v>
      </c>
    </row>
    <row r="190" spans="1:17" ht="14.25" customHeight="1">
      <c r="A190" s="204" t="s">
        <v>1276</v>
      </c>
      <c r="B190" s="205" t="s">
        <v>1277</v>
      </c>
      <c r="C190" s="205" t="s">
        <v>1278</v>
      </c>
      <c r="D190" s="205" t="s">
        <v>1279</v>
      </c>
      <c r="E190" s="205"/>
      <c r="F190" s="206">
        <v>2022</v>
      </c>
      <c r="G190" s="206" t="str">
        <f t="shared" si="34"/>
        <v>UPG122022</v>
      </c>
      <c r="N190" s="205" t="s">
        <v>182</v>
      </c>
      <c r="O190" s="205">
        <v>800</v>
      </c>
      <c r="P190" s="205">
        <v>9600</v>
      </c>
      <c r="Q190" s="205">
        <v>32</v>
      </c>
    </row>
    <row r="191" spans="1:17" ht="14.25" customHeight="1">
      <c r="A191" s="204" t="s">
        <v>1276</v>
      </c>
      <c r="B191" s="205" t="s">
        <v>1280</v>
      </c>
      <c r="C191" s="205" t="s">
        <v>1281</v>
      </c>
      <c r="D191" s="205" t="s">
        <v>1282</v>
      </c>
      <c r="E191" s="205"/>
      <c r="F191" s="206">
        <v>2022</v>
      </c>
      <c r="G191" s="206" t="str">
        <f t="shared" si="34"/>
        <v>UPT122022</v>
      </c>
      <c r="N191" s="205" t="s">
        <v>241</v>
      </c>
      <c r="O191" s="205">
        <f t="shared" ref="O191:O193" si="35">P191/RIGHT(N191,2)</f>
        <v>600</v>
      </c>
      <c r="P191" s="205">
        <v>9600</v>
      </c>
      <c r="Q191" s="205">
        <v>32</v>
      </c>
    </row>
    <row r="192" spans="1:17" ht="14.25" customHeight="1">
      <c r="A192" s="204" t="s">
        <v>1283</v>
      </c>
      <c r="B192" s="205" t="s">
        <v>1284</v>
      </c>
      <c r="C192" s="205" t="s">
        <v>1285</v>
      </c>
      <c r="D192" s="205" t="s">
        <v>1286</v>
      </c>
      <c r="E192" s="205"/>
      <c r="F192" s="206">
        <v>2022</v>
      </c>
      <c r="G192" s="206" t="s">
        <v>1287</v>
      </c>
      <c r="N192" s="205" t="s">
        <v>243</v>
      </c>
      <c r="O192" s="205">
        <f t="shared" si="35"/>
        <v>600</v>
      </c>
      <c r="P192" s="205">
        <v>9600</v>
      </c>
      <c r="Q192" s="205">
        <v>32</v>
      </c>
    </row>
    <row r="193" spans="1:17" ht="14.25" customHeight="1">
      <c r="A193" s="204" t="s">
        <v>1288</v>
      </c>
      <c r="B193" s="205" t="s">
        <v>1289</v>
      </c>
      <c r="C193" s="205" t="s">
        <v>46</v>
      </c>
      <c r="D193" s="205" t="s">
        <v>1290</v>
      </c>
      <c r="E193" s="205"/>
      <c r="F193" s="206">
        <v>2022</v>
      </c>
      <c r="G193" s="206" t="str">
        <f>C193&amp;F193</f>
        <v>VER202022</v>
      </c>
      <c r="N193" s="205" t="s">
        <v>1291</v>
      </c>
      <c r="O193" s="205">
        <f t="shared" si="35"/>
        <v>500</v>
      </c>
      <c r="P193" s="205">
        <v>10000</v>
      </c>
      <c r="Q193" s="205">
        <v>30</v>
      </c>
    </row>
    <row r="194" spans="1:17" ht="14.25" customHeight="1">
      <c r="A194" s="204" t="s">
        <v>1292</v>
      </c>
      <c r="B194" s="205" t="s">
        <v>1293</v>
      </c>
      <c r="C194" s="205" t="s">
        <v>67</v>
      </c>
      <c r="D194" s="205" t="s">
        <v>1294</v>
      </c>
      <c r="E194" s="205"/>
      <c r="F194" s="206">
        <v>2022</v>
      </c>
      <c r="G194" s="206" t="s">
        <v>1295</v>
      </c>
    </row>
    <row r="195" spans="1:17" ht="14.25" customHeight="1">
      <c r="A195" s="204" t="s">
        <v>1296</v>
      </c>
      <c r="B195" s="205" t="s">
        <v>1297</v>
      </c>
      <c r="C195" s="205" t="s">
        <v>685</v>
      </c>
      <c r="D195" s="205" t="s">
        <v>1298</v>
      </c>
      <c r="E195" s="205"/>
      <c r="F195" s="206">
        <v>2022</v>
      </c>
      <c r="G195" s="206" t="str">
        <f t="shared" ref="G195:G200" si="36">C195&amp;F195</f>
        <v>ZIG162022</v>
      </c>
    </row>
    <row r="196" spans="1:17" ht="14.25" customHeight="1">
      <c r="A196" s="204" t="s">
        <v>1299</v>
      </c>
      <c r="B196" s="205" t="s">
        <v>1300</v>
      </c>
      <c r="C196" s="205" t="s">
        <v>273</v>
      </c>
      <c r="D196" s="205" t="s">
        <v>1301</v>
      </c>
      <c r="E196" s="205"/>
      <c r="F196" s="206">
        <v>2023</v>
      </c>
      <c r="G196" s="206" t="str">
        <f t="shared" si="36"/>
        <v>APB122023</v>
      </c>
    </row>
    <row r="197" spans="1:17" ht="14.25" customHeight="1">
      <c r="A197" s="204" t="s">
        <v>1302</v>
      </c>
      <c r="B197" s="205" t="s">
        <v>1303</v>
      </c>
      <c r="C197" s="205" t="s">
        <v>275</v>
      </c>
      <c r="D197" s="205" t="s">
        <v>1304</v>
      </c>
      <c r="E197" s="205"/>
      <c r="F197" s="206">
        <v>2023</v>
      </c>
      <c r="G197" s="206" t="str">
        <f t="shared" si="36"/>
        <v>APB202023</v>
      </c>
    </row>
    <row r="198" spans="1:17" ht="14.25" customHeight="1">
      <c r="A198" s="204" t="s">
        <v>1305</v>
      </c>
      <c r="B198" s="205" t="s">
        <v>1306</v>
      </c>
      <c r="C198" s="205" t="s">
        <v>279</v>
      </c>
      <c r="D198" s="205" t="s">
        <v>1307</v>
      </c>
      <c r="E198" s="205"/>
      <c r="F198" s="206">
        <v>2023</v>
      </c>
      <c r="G198" s="206" t="str">
        <f t="shared" si="36"/>
        <v>API122023</v>
      </c>
    </row>
    <row r="199" spans="1:17" ht="14.25" customHeight="1">
      <c r="A199" s="204" t="s">
        <v>1308</v>
      </c>
      <c r="B199" s="205" t="s">
        <v>1309</v>
      </c>
      <c r="C199" s="205" t="s">
        <v>281</v>
      </c>
      <c r="D199" s="205" t="s">
        <v>1310</v>
      </c>
      <c r="E199" s="205"/>
      <c r="F199" s="206">
        <v>2023</v>
      </c>
      <c r="G199" s="206" t="str">
        <f t="shared" si="36"/>
        <v>API162023</v>
      </c>
    </row>
    <row r="200" spans="1:17" ht="14.25" customHeight="1">
      <c r="A200" s="204" t="s">
        <v>1311</v>
      </c>
      <c r="B200" s="205" t="s">
        <v>1312</v>
      </c>
      <c r="C200" s="205" t="s">
        <v>81</v>
      </c>
      <c r="D200" s="205" t="s">
        <v>1313</v>
      </c>
      <c r="E200" s="205"/>
      <c r="F200" s="206">
        <v>2023</v>
      </c>
      <c r="G200" s="206" t="str">
        <f t="shared" si="36"/>
        <v>ARB122023</v>
      </c>
    </row>
    <row r="201" spans="1:17" ht="14.25" customHeight="1">
      <c r="A201" s="204" t="s">
        <v>1311</v>
      </c>
      <c r="B201" s="205" t="s">
        <v>1314</v>
      </c>
      <c r="C201" s="205" t="s">
        <v>81</v>
      </c>
      <c r="D201" s="205" t="s">
        <v>1315</v>
      </c>
      <c r="E201" s="205"/>
      <c r="F201" s="206">
        <v>2023</v>
      </c>
      <c r="G201" s="206" t="s">
        <v>1316</v>
      </c>
    </row>
    <row r="202" spans="1:17" ht="14.25" customHeight="1">
      <c r="A202" s="204" t="s">
        <v>1317</v>
      </c>
      <c r="B202" s="205" t="s">
        <v>1318</v>
      </c>
      <c r="C202" s="205" t="s">
        <v>79</v>
      </c>
      <c r="D202" s="205" t="s">
        <v>1319</v>
      </c>
      <c r="E202" s="205"/>
      <c r="F202" s="206">
        <v>2023</v>
      </c>
      <c r="G202" s="206" t="str">
        <f>C202&amp;F202</f>
        <v>ARK122023</v>
      </c>
    </row>
    <row r="203" spans="1:17" ht="14.25" customHeight="1">
      <c r="A203" s="204" t="s">
        <v>1320</v>
      </c>
      <c r="B203" s="205" t="s">
        <v>1321</v>
      </c>
      <c r="C203" s="205" t="s">
        <v>85</v>
      </c>
      <c r="D203" s="205" t="s">
        <v>1322</v>
      </c>
      <c r="E203" s="205"/>
      <c r="F203" s="206">
        <v>2023</v>
      </c>
      <c r="G203" s="206" t="s">
        <v>1323</v>
      </c>
    </row>
    <row r="204" spans="1:17" ht="14.25" customHeight="1">
      <c r="A204" s="204" t="s">
        <v>1324</v>
      </c>
      <c r="B204" s="205" t="s">
        <v>1325</v>
      </c>
      <c r="C204" s="205" t="s">
        <v>74</v>
      </c>
      <c r="D204" s="205" t="s">
        <v>1326</v>
      </c>
      <c r="E204" s="205"/>
      <c r="F204" s="206">
        <v>2023</v>
      </c>
      <c r="G204" s="206" t="str">
        <f t="shared" ref="G204:G205" si="37">C204&amp;F204</f>
        <v>ARM122023</v>
      </c>
    </row>
    <row r="205" spans="1:17" ht="14.25" customHeight="1">
      <c r="A205" s="204" t="s">
        <v>1324</v>
      </c>
      <c r="B205" s="205" t="s">
        <v>1327</v>
      </c>
      <c r="C205" s="205" t="s">
        <v>74</v>
      </c>
      <c r="D205" s="205" t="s">
        <v>1328</v>
      </c>
      <c r="E205" s="205"/>
      <c r="F205" s="206">
        <v>2023</v>
      </c>
      <c r="G205" s="206" t="str">
        <f t="shared" si="37"/>
        <v>ARM122023</v>
      </c>
    </row>
    <row r="206" spans="1:17" ht="14.25" customHeight="1">
      <c r="A206" s="204" t="s">
        <v>1329</v>
      </c>
      <c r="B206" s="205" t="s">
        <v>1330</v>
      </c>
      <c r="C206" s="205" t="s">
        <v>77</v>
      </c>
      <c r="D206" s="205" t="s">
        <v>1331</v>
      </c>
      <c r="E206" s="205"/>
      <c r="F206" s="206">
        <v>2023</v>
      </c>
      <c r="G206" s="206" t="s">
        <v>1332</v>
      </c>
    </row>
    <row r="207" spans="1:17" ht="14.25" customHeight="1">
      <c r="A207" s="204" t="s">
        <v>1333</v>
      </c>
      <c r="B207" s="205" t="s">
        <v>1334</v>
      </c>
      <c r="C207" s="205" t="s">
        <v>691</v>
      </c>
      <c r="D207" s="205" t="s">
        <v>1335</v>
      </c>
      <c r="E207" s="205"/>
      <c r="F207" s="206">
        <v>2023</v>
      </c>
      <c r="G207" s="206" t="str">
        <f t="shared" ref="G207:G208" si="38">C207&amp;F207</f>
        <v>AUL122023</v>
      </c>
    </row>
    <row r="208" spans="1:17" ht="14.25" customHeight="1">
      <c r="A208" s="204" t="s">
        <v>1336</v>
      </c>
      <c r="B208" s="205" t="s">
        <v>1334</v>
      </c>
      <c r="C208" s="205" t="s">
        <v>691</v>
      </c>
      <c r="D208" s="205" t="s">
        <v>1335</v>
      </c>
      <c r="E208" s="205"/>
      <c r="F208" s="206">
        <v>2023</v>
      </c>
      <c r="G208" s="206" t="str">
        <f t="shared" si="38"/>
        <v>AUL122023</v>
      </c>
    </row>
    <row r="209" spans="1:7" ht="14.25" customHeight="1">
      <c r="A209" s="204" t="s">
        <v>1337</v>
      </c>
      <c r="B209" s="205" t="s">
        <v>1338</v>
      </c>
      <c r="C209" s="205" t="s">
        <v>690</v>
      </c>
      <c r="D209" s="205" t="s">
        <v>1339</v>
      </c>
      <c r="E209" s="205"/>
      <c r="F209" s="206">
        <v>2023</v>
      </c>
      <c r="G209" s="206" t="s">
        <v>1340</v>
      </c>
    </row>
    <row r="210" spans="1:7" ht="14.25" customHeight="1">
      <c r="A210" s="204" t="s">
        <v>1341</v>
      </c>
      <c r="B210" s="205" t="s">
        <v>1338</v>
      </c>
      <c r="C210" s="205" t="s">
        <v>690</v>
      </c>
      <c r="D210" s="205" t="s">
        <v>1339</v>
      </c>
      <c r="E210" s="205"/>
      <c r="F210" s="206">
        <v>2023</v>
      </c>
      <c r="G210" s="206" t="str">
        <f t="shared" ref="G210:G211" si="39">C210&amp;F210</f>
        <v>AUL162023</v>
      </c>
    </row>
    <row r="211" spans="1:7" ht="14.25" customHeight="1">
      <c r="A211" s="204" t="s">
        <v>1342</v>
      </c>
      <c r="B211" s="205" t="s">
        <v>1343</v>
      </c>
      <c r="C211" s="205" t="s">
        <v>647</v>
      </c>
      <c r="D211" s="205" t="s">
        <v>1344</v>
      </c>
      <c r="E211" s="205"/>
      <c r="F211" s="206">
        <v>2023</v>
      </c>
      <c r="G211" s="206" t="str">
        <f t="shared" si="39"/>
        <v>AVM202023</v>
      </c>
    </row>
    <row r="212" spans="1:7" ht="14.25" customHeight="1">
      <c r="A212" s="204" t="s">
        <v>1345</v>
      </c>
      <c r="B212" s="205" t="s">
        <v>1343</v>
      </c>
      <c r="C212" s="205" t="s">
        <v>647</v>
      </c>
      <c r="D212" s="205" t="s">
        <v>1344</v>
      </c>
      <c r="E212" s="205"/>
      <c r="F212" s="206">
        <v>2023</v>
      </c>
      <c r="G212" s="206" t="s">
        <v>1346</v>
      </c>
    </row>
    <row r="213" spans="1:7" ht="14.25" customHeight="1">
      <c r="A213" s="204" t="s">
        <v>1347</v>
      </c>
      <c r="B213" s="205" t="s">
        <v>1343</v>
      </c>
      <c r="C213" s="205" t="s">
        <v>647</v>
      </c>
      <c r="D213" s="205" t="s">
        <v>1344</v>
      </c>
      <c r="E213" s="205"/>
      <c r="F213" s="206">
        <v>2023</v>
      </c>
      <c r="G213" s="206" t="s">
        <v>1346</v>
      </c>
    </row>
    <row r="214" spans="1:7" ht="14.25" customHeight="1">
      <c r="A214" s="204" t="s">
        <v>1348</v>
      </c>
      <c r="B214" s="205" t="s">
        <v>1343</v>
      </c>
      <c r="C214" s="205" t="s">
        <v>647</v>
      </c>
      <c r="D214" s="205" t="s">
        <v>1344</v>
      </c>
      <c r="E214" s="205"/>
      <c r="F214" s="206">
        <v>2023</v>
      </c>
      <c r="G214" s="206" t="str">
        <f>C214&amp;F214</f>
        <v>AVM202023</v>
      </c>
    </row>
    <row r="215" spans="1:7" ht="14.25" customHeight="1">
      <c r="A215" s="204" t="s">
        <v>1348</v>
      </c>
      <c r="B215" s="205" t="s">
        <v>1343</v>
      </c>
      <c r="C215" s="205" t="s">
        <v>647</v>
      </c>
      <c r="D215" s="205" t="s">
        <v>1344</v>
      </c>
      <c r="E215" s="205"/>
      <c r="F215" s="206">
        <v>2023</v>
      </c>
      <c r="G215" s="206" t="s">
        <v>1349</v>
      </c>
    </row>
    <row r="216" spans="1:7" ht="14.25" customHeight="1">
      <c r="A216" s="204" t="s">
        <v>1350</v>
      </c>
      <c r="B216" s="205" t="s">
        <v>1351</v>
      </c>
      <c r="C216" s="205" t="s">
        <v>648</v>
      </c>
      <c r="D216" s="205" t="s">
        <v>1352</v>
      </c>
      <c r="E216" s="205"/>
      <c r="F216" s="206">
        <v>2023</v>
      </c>
      <c r="G216" s="206" t="str">
        <f t="shared" ref="G216:G218" si="40">C216&amp;F216</f>
        <v>AVR202023</v>
      </c>
    </row>
    <row r="217" spans="1:7" ht="14.25" customHeight="1">
      <c r="A217" s="204" t="s">
        <v>1353</v>
      </c>
      <c r="B217" s="205" t="s">
        <v>1351</v>
      </c>
      <c r="C217" s="205" t="s">
        <v>648</v>
      </c>
      <c r="D217" s="205" t="s">
        <v>1352</v>
      </c>
      <c r="E217" s="205"/>
      <c r="F217" s="206">
        <v>2023</v>
      </c>
      <c r="G217" s="206" t="str">
        <f t="shared" si="40"/>
        <v>AVR202023</v>
      </c>
    </row>
    <row r="218" spans="1:7" ht="14.25" customHeight="1">
      <c r="A218" s="204" t="s">
        <v>1354</v>
      </c>
      <c r="B218" s="205" t="s">
        <v>1351</v>
      </c>
      <c r="C218" s="205" t="s">
        <v>648</v>
      </c>
      <c r="D218" s="205" t="s">
        <v>1352</v>
      </c>
      <c r="E218" s="205"/>
      <c r="F218" s="206">
        <v>2023</v>
      </c>
      <c r="G218" s="206" t="str">
        <f t="shared" si="40"/>
        <v>AVR202023</v>
      </c>
    </row>
    <row r="219" spans="1:7" ht="14.25" customHeight="1">
      <c r="A219" s="204" t="s">
        <v>1355</v>
      </c>
      <c r="B219" s="205" t="s">
        <v>1351</v>
      </c>
      <c r="C219" s="205" t="s">
        <v>648</v>
      </c>
      <c r="D219" s="205" t="s">
        <v>1352</v>
      </c>
      <c r="E219" s="205"/>
      <c r="F219" s="206">
        <v>2023</v>
      </c>
      <c r="G219" s="206" t="s">
        <v>1356</v>
      </c>
    </row>
    <row r="220" spans="1:7" ht="14.25" customHeight="1">
      <c r="A220" s="204" t="s">
        <v>1357</v>
      </c>
      <c r="B220" s="205" t="s">
        <v>1358</v>
      </c>
      <c r="C220" s="205" t="s">
        <v>120</v>
      </c>
      <c r="D220" s="205" t="s">
        <v>1359</v>
      </c>
      <c r="E220" s="205"/>
      <c r="F220" s="206">
        <v>2023</v>
      </c>
      <c r="G220" s="206" t="str">
        <f t="shared" ref="G220:G221" si="41">C220&amp;F220</f>
        <v>BAJ122023</v>
      </c>
    </row>
    <row r="221" spans="1:7" ht="14.25" customHeight="1">
      <c r="A221" s="204" t="s">
        <v>1360</v>
      </c>
      <c r="B221" s="205" t="s">
        <v>1361</v>
      </c>
      <c r="C221" s="205" t="s">
        <v>29</v>
      </c>
      <c r="D221" s="205" t="s">
        <v>1362</v>
      </c>
      <c r="E221" s="205"/>
      <c r="F221" s="206">
        <v>2023</v>
      </c>
      <c r="G221" s="206" t="str">
        <f t="shared" si="41"/>
        <v>BGS122023</v>
      </c>
    </row>
    <row r="222" spans="1:7" ht="14.25" customHeight="1">
      <c r="A222" s="204" t="s">
        <v>1363</v>
      </c>
      <c r="B222" s="205" t="s">
        <v>1364</v>
      </c>
      <c r="C222" s="205" t="s">
        <v>203</v>
      </c>
      <c r="D222" s="205" t="s">
        <v>1365</v>
      </c>
      <c r="E222" s="205"/>
      <c r="F222" s="206">
        <v>2023</v>
      </c>
      <c r="G222" s="206" t="s">
        <v>1366</v>
      </c>
    </row>
    <row r="223" spans="1:7" ht="14.25" customHeight="1">
      <c r="A223" s="204" t="s">
        <v>1367</v>
      </c>
      <c r="B223" s="205" t="s">
        <v>1368</v>
      </c>
      <c r="C223" s="205" t="s">
        <v>692</v>
      </c>
      <c r="D223" s="205" t="s">
        <v>1369</v>
      </c>
      <c r="E223" s="205"/>
      <c r="F223" s="206">
        <v>2023</v>
      </c>
      <c r="G223" s="206" t="s">
        <v>1370</v>
      </c>
    </row>
    <row r="224" spans="1:7" ht="14.25" customHeight="1">
      <c r="A224" s="204" t="s">
        <v>1371</v>
      </c>
      <c r="B224" s="205" t="s">
        <v>1372</v>
      </c>
      <c r="C224" s="205" t="s">
        <v>88</v>
      </c>
      <c r="D224" s="205" t="s">
        <v>1373</v>
      </c>
      <c r="E224" s="205"/>
      <c r="F224" s="206">
        <v>2023</v>
      </c>
      <c r="G224" s="206" t="s">
        <v>1374</v>
      </c>
    </row>
    <row r="225" spans="1:7" ht="14.25" customHeight="1">
      <c r="A225" s="204" t="s">
        <v>1375</v>
      </c>
      <c r="B225" s="205" t="s">
        <v>1376</v>
      </c>
      <c r="C225" s="205" t="s">
        <v>64</v>
      </c>
      <c r="D225" s="205" t="s">
        <v>1377</v>
      </c>
      <c r="E225" s="205"/>
      <c r="F225" s="206">
        <v>2023</v>
      </c>
      <c r="G225" s="206" t="str">
        <f t="shared" ref="G225:G236" si="42">C225&amp;F225</f>
        <v>CTL162023</v>
      </c>
    </row>
    <row r="226" spans="1:7" ht="14.25" customHeight="1">
      <c r="A226" s="204" t="s">
        <v>1378</v>
      </c>
      <c r="B226" s="205" t="s">
        <v>1379</v>
      </c>
      <c r="C226" s="205" t="s">
        <v>245</v>
      </c>
      <c r="D226" s="205" t="s">
        <v>1380</v>
      </c>
      <c r="E226" s="205"/>
      <c r="F226" s="206">
        <v>2023</v>
      </c>
      <c r="G226" s="206" t="str">
        <f t="shared" si="42"/>
        <v>DFB122023</v>
      </c>
    </row>
    <row r="227" spans="1:7" ht="14.25" customHeight="1">
      <c r="A227" s="204" t="s">
        <v>1381</v>
      </c>
      <c r="B227" s="205" t="s">
        <v>1382</v>
      </c>
      <c r="C227" s="205" t="s">
        <v>247</v>
      </c>
      <c r="D227" s="205" t="s">
        <v>1383</v>
      </c>
      <c r="E227" s="205"/>
      <c r="F227" s="206">
        <v>2023</v>
      </c>
      <c r="G227" s="206" t="str">
        <f t="shared" si="42"/>
        <v>DFB202023</v>
      </c>
    </row>
    <row r="228" spans="1:7" ht="14.25" customHeight="1">
      <c r="A228" s="204" t="s">
        <v>1384</v>
      </c>
      <c r="B228" s="205" t="s">
        <v>1385</v>
      </c>
      <c r="C228" s="205" t="s">
        <v>250</v>
      </c>
      <c r="D228" s="205" t="s">
        <v>1386</v>
      </c>
      <c r="E228" s="205"/>
      <c r="F228" s="206">
        <v>2023</v>
      </c>
      <c r="G228" s="206" t="str">
        <f t="shared" si="42"/>
        <v>DFI122023</v>
      </c>
    </row>
    <row r="229" spans="1:7" ht="14.25" customHeight="1">
      <c r="A229" s="204" t="s">
        <v>1387</v>
      </c>
      <c r="B229" s="205" t="s">
        <v>1388</v>
      </c>
      <c r="C229" s="205" t="s">
        <v>252</v>
      </c>
      <c r="D229" s="205" t="s">
        <v>1389</v>
      </c>
      <c r="E229" s="205"/>
      <c r="F229" s="206">
        <v>2023</v>
      </c>
      <c r="G229" s="206" t="str">
        <f t="shared" si="42"/>
        <v>DFI162023</v>
      </c>
    </row>
    <row r="230" spans="1:7" ht="14.25" customHeight="1">
      <c r="A230" s="204" t="s">
        <v>1390</v>
      </c>
      <c r="B230" s="205" t="s">
        <v>1391</v>
      </c>
      <c r="C230" s="205" t="s">
        <v>649</v>
      </c>
      <c r="D230" s="205" t="s">
        <v>1392</v>
      </c>
      <c r="E230" s="205"/>
      <c r="F230" s="206">
        <v>2023</v>
      </c>
      <c r="G230" s="206" t="str">
        <f t="shared" si="42"/>
        <v>DLE122023</v>
      </c>
    </row>
    <row r="231" spans="1:7" ht="14.25" customHeight="1">
      <c r="A231" s="204" t="s">
        <v>1393</v>
      </c>
      <c r="B231" s="205" t="s">
        <v>1391</v>
      </c>
      <c r="C231" s="205" t="s">
        <v>649</v>
      </c>
      <c r="D231" s="205" t="s">
        <v>1392</v>
      </c>
      <c r="E231" s="205"/>
      <c r="F231" s="206">
        <v>2023</v>
      </c>
      <c r="G231" s="206" t="str">
        <f t="shared" si="42"/>
        <v>DLE122023</v>
      </c>
    </row>
    <row r="232" spans="1:7" ht="14.25" customHeight="1">
      <c r="A232" s="204" t="s">
        <v>1394</v>
      </c>
      <c r="B232" s="205" t="s">
        <v>1391</v>
      </c>
      <c r="C232" s="205" t="s">
        <v>649</v>
      </c>
      <c r="D232" s="205" t="s">
        <v>1392</v>
      </c>
      <c r="E232" s="205"/>
      <c r="F232" s="206">
        <v>2023</v>
      </c>
      <c r="G232" s="206" t="str">
        <f t="shared" si="42"/>
        <v>DLE122023</v>
      </c>
    </row>
    <row r="233" spans="1:7" ht="14.25" customHeight="1">
      <c r="A233" s="204" t="s">
        <v>1395</v>
      </c>
      <c r="B233" s="205" t="s">
        <v>1396</v>
      </c>
      <c r="C233" s="205" t="s">
        <v>697</v>
      </c>
      <c r="D233" s="205" t="s">
        <v>1397</v>
      </c>
      <c r="E233" s="205"/>
      <c r="F233" s="206">
        <v>2023</v>
      </c>
      <c r="G233" s="206" t="str">
        <f t="shared" si="42"/>
        <v>DMC122023</v>
      </c>
    </row>
    <row r="234" spans="1:7" ht="14.25" customHeight="1">
      <c r="A234" s="204" t="s">
        <v>1398</v>
      </c>
      <c r="B234" s="205" t="s">
        <v>1396</v>
      </c>
      <c r="C234" s="205" t="s">
        <v>697</v>
      </c>
      <c r="D234" s="205" t="s">
        <v>1397</v>
      </c>
      <c r="E234" s="205"/>
      <c r="F234" s="206">
        <v>2023</v>
      </c>
      <c r="G234" s="206" t="str">
        <f t="shared" si="42"/>
        <v>DMC122023</v>
      </c>
    </row>
    <row r="235" spans="1:7" ht="14.25" customHeight="1">
      <c r="A235" s="204" t="s">
        <v>1399</v>
      </c>
      <c r="B235" s="205" t="s">
        <v>1400</v>
      </c>
      <c r="C235" s="205" t="s">
        <v>650</v>
      </c>
      <c r="D235" s="205" t="s">
        <v>1401</v>
      </c>
      <c r="E235" s="205" t="s">
        <v>1402</v>
      </c>
      <c r="F235" s="206">
        <v>2023</v>
      </c>
      <c r="G235" s="206" t="str">
        <f t="shared" si="42"/>
        <v>DMM162023</v>
      </c>
    </row>
    <row r="236" spans="1:7" ht="14.25" customHeight="1">
      <c r="A236" s="204" t="s">
        <v>1403</v>
      </c>
      <c r="B236" s="205" t="s">
        <v>1400</v>
      </c>
      <c r="C236" s="205" t="s">
        <v>650</v>
      </c>
      <c r="D236" s="205" t="s">
        <v>1401</v>
      </c>
      <c r="E236" s="205"/>
      <c r="F236" s="206">
        <v>2023</v>
      </c>
      <c r="G236" s="206" t="str">
        <f t="shared" si="42"/>
        <v>DMM162023</v>
      </c>
    </row>
    <row r="237" spans="1:7" ht="14.25" customHeight="1">
      <c r="A237" s="204" t="s">
        <v>1404</v>
      </c>
      <c r="B237" s="205" t="s">
        <v>1405</v>
      </c>
      <c r="C237" s="205" t="s">
        <v>707</v>
      </c>
      <c r="D237" s="205" t="s">
        <v>1406</v>
      </c>
      <c r="E237" s="205"/>
      <c r="F237" s="206">
        <v>2023</v>
      </c>
      <c r="G237" s="206" t="s">
        <v>1407</v>
      </c>
    </row>
    <row r="238" spans="1:7" ht="14.25" customHeight="1">
      <c r="A238" s="204" t="s">
        <v>1408</v>
      </c>
      <c r="B238" s="205" t="s">
        <v>1409</v>
      </c>
      <c r="C238" s="205" t="s">
        <v>686</v>
      </c>
      <c r="D238" s="205" t="s">
        <v>1410</v>
      </c>
      <c r="E238" s="205"/>
      <c r="F238" s="206">
        <v>2023</v>
      </c>
      <c r="G238" s="206" t="str">
        <f t="shared" ref="G238:G243" si="43">C238&amp;F238</f>
        <v>DRO162023</v>
      </c>
    </row>
    <row r="239" spans="1:7" ht="14.25" customHeight="1">
      <c r="A239" s="204" t="s">
        <v>1411</v>
      </c>
      <c r="B239" s="205" t="s">
        <v>1412</v>
      </c>
      <c r="C239" s="205" t="s">
        <v>652</v>
      </c>
      <c r="D239" s="205" t="s">
        <v>1413</v>
      </c>
      <c r="E239" s="205"/>
      <c r="F239" s="206">
        <v>2023</v>
      </c>
      <c r="G239" s="206" t="str">
        <f t="shared" si="43"/>
        <v>DSB122023</v>
      </c>
    </row>
    <row r="240" spans="1:7" ht="14.25" customHeight="1">
      <c r="A240" s="204" t="s">
        <v>1414</v>
      </c>
      <c r="B240" s="205" t="s">
        <v>1415</v>
      </c>
      <c r="C240" s="205" t="s">
        <v>653</v>
      </c>
      <c r="D240" s="205" t="s">
        <v>1416</v>
      </c>
      <c r="E240" s="205"/>
      <c r="F240" s="206">
        <v>2023</v>
      </c>
      <c r="G240" s="206" t="str">
        <f t="shared" si="43"/>
        <v>DSE122023</v>
      </c>
    </row>
    <row r="241" spans="1:7" ht="14.25" customHeight="1">
      <c r="A241" s="204" t="s">
        <v>1417</v>
      </c>
      <c r="B241" s="205" t="s">
        <v>1418</v>
      </c>
      <c r="C241" s="205" t="s">
        <v>654</v>
      </c>
      <c r="D241" s="205" t="s">
        <v>1419</v>
      </c>
      <c r="E241" s="205"/>
      <c r="F241" s="206">
        <v>2023</v>
      </c>
      <c r="G241" s="206" t="str">
        <f t="shared" si="43"/>
        <v>DSM122023</v>
      </c>
    </row>
    <row r="242" spans="1:7" ht="14.25" customHeight="1">
      <c r="A242" s="204" t="s">
        <v>1420</v>
      </c>
      <c r="B242" s="205" t="s">
        <v>1421</v>
      </c>
      <c r="C242" s="205" t="s">
        <v>655</v>
      </c>
      <c r="D242" s="205" t="s">
        <v>1422</v>
      </c>
      <c r="E242" s="205"/>
      <c r="F242" s="206">
        <v>2023</v>
      </c>
      <c r="G242" s="206" t="str">
        <f t="shared" si="43"/>
        <v>DSS122023</v>
      </c>
    </row>
    <row r="243" spans="1:7" ht="14.25" customHeight="1">
      <c r="A243" s="204" t="s">
        <v>1423</v>
      </c>
      <c r="B243" s="205" t="s">
        <v>1424</v>
      </c>
      <c r="C243" s="205" t="s">
        <v>656</v>
      </c>
      <c r="D243" s="205" t="s">
        <v>1425</v>
      </c>
      <c r="E243" s="205"/>
      <c r="F243" s="206">
        <v>2023</v>
      </c>
      <c r="G243" s="206" t="str">
        <f t="shared" si="43"/>
        <v>DSS162023</v>
      </c>
    </row>
    <row r="244" spans="1:7" ht="14.25" customHeight="1">
      <c r="A244" s="204" t="s">
        <v>1426</v>
      </c>
      <c r="B244" s="205" t="s">
        <v>1427</v>
      </c>
      <c r="C244" s="205" t="s">
        <v>701</v>
      </c>
      <c r="D244" s="205" t="s">
        <v>1428</v>
      </c>
      <c r="E244" s="205"/>
      <c r="F244" s="206">
        <v>2023</v>
      </c>
      <c r="G244" s="206" t="s">
        <v>1429</v>
      </c>
    </row>
    <row r="245" spans="1:7" ht="14.25" customHeight="1">
      <c r="A245" s="204" t="s">
        <v>1430</v>
      </c>
      <c r="B245" s="205" t="s">
        <v>1431</v>
      </c>
      <c r="C245" s="205" t="s">
        <v>682</v>
      </c>
      <c r="D245" s="205" t="s">
        <v>1432</v>
      </c>
      <c r="E245" s="205"/>
      <c r="F245" s="206">
        <v>2023</v>
      </c>
      <c r="G245" s="206" t="str">
        <f t="shared" ref="G245:G253" si="44">C245&amp;F245</f>
        <v>FOR122023</v>
      </c>
    </row>
    <row r="246" spans="1:7" ht="14.25" customHeight="1">
      <c r="A246" s="204" t="s">
        <v>1433</v>
      </c>
      <c r="B246" s="205" t="s">
        <v>1434</v>
      </c>
      <c r="C246" s="205" t="s">
        <v>286</v>
      </c>
      <c r="D246" s="205" t="s">
        <v>1435</v>
      </c>
      <c r="E246" s="205"/>
      <c r="F246" s="206">
        <v>2023</v>
      </c>
      <c r="G246" s="206" t="str">
        <f t="shared" si="44"/>
        <v>GLP162023</v>
      </c>
    </row>
    <row r="247" spans="1:7" ht="14.25" customHeight="1">
      <c r="A247" s="204" t="s">
        <v>1436</v>
      </c>
      <c r="B247" s="205" t="s">
        <v>1437</v>
      </c>
      <c r="C247" s="205" t="s">
        <v>37</v>
      </c>
      <c r="D247" s="205" t="s">
        <v>1438</v>
      </c>
      <c r="E247" s="205"/>
      <c r="F247" s="206">
        <v>2023</v>
      </c>
      <c r="G247" s="206" t="str">
        <f t="shared" si="44"/>
        <v>KAM122023</v>
      </c>
    </row>
    <row r="248" spans="1:7" ht="14.25" customHeight="1">
      <c r="A248" s="204" t="s">
        <v>1439</v>
      </c>
      <c r="B248" s="205" t="s">
        <v>1440</v>
      </c>
      <c r="C248" s="205" t="s">
        <v>264</v>
      </c>
      <c r="D248" s="205" t="s">
        <v>1441</v>
      </c>
      <c r="E248" s="205"/>
      <c r="F248" s="206">
        <v>2023</v>
      </c>
      <c r="G248" s="206" t="str">
        <f t="shared" si="44"/>
        <v>KIT122023</v>
      </c>
    </row>
    <row r="249" spans="1:7" ht="14.25" customHeight="1">
      <c r="A249" s="204" t="s">
        <v>1442</v>
      </c>
      <c r="B249" s="205" t="s">
        <v>1443</v>
      </c>
      <c r="C249" s="205" t="s">
        <v>266</v>
      </c>
      <c r="D249" s="205" t="s">
        <v>1444</v>
      </c>
      <c r="E249" s="205"/>
      <c r="F249" s="206">
        <v>2023</v>
      </c>
      <c r="G249" s="206" t="str">
        <f t="shared" si="44"/>
        <v>KIT162023</v>
      </c>
    </row>
    <row r="250" spans="1:7" ht="14.25" customHeight="1">
      <c r="A250" s="204" t="s">
        <v>1445</v>
      </c>
      <c r="B250" s="205" t="s">
        <v>1446</v>
      </c>
      <c r="C250" s="205" t="s">
        <v>134</v>
      </c>
      <c r="D250" s="205" t="s">
        <v>1447</v>
      </c>
      <c r="E250" s="205"/>
      <c r="F250" s="206">
        <v>2023</v>
      </c>
      <c r="G250" s="206" t="str">
        <f t="shared" si="44"/>
        <v>KPT122023</v>
      </c>
    </row>
    <row r="251" spans="1:7" ht="14.25" customHeight="1">
      <c r="A251" s="204" t="s">
        <v>1448</v>
      </c>
      <c r="B251" s="205" t="s">
        <v>1449</v>
      </c>
      <c r="C251" s="205" t="s">
        <v>186</v>
      </c>
      <c r="D251" s="205" t="s">
        <v>1450</v>
      </c>
      <c r="E251" s="205"/>
      <c r="F251" s="206">
        <v>2023</v>
      </c>
      <c r="G251" s="206" t="str">
        <f t="shared" si="44"/>
        <v>LOJ122023</v>
      </c>
    </row>
    <row r="252" spans="1:7" ht="14.25" customHeight="1">
      <c r="A252" s="204" t="s">
        <v>1451</v>
      </c>
      <c r="B252" s="205" t="s">
        <v>1452</v>
      </c>
      <c r="C252" s="205" t="s">
        <v>189</v>
      </c>
      <c r="D252" s="205" t="s">
        <v>1453</v>
      </c>
      <c r="E252" s="205"/>
      <c r="F252" s="206">
        <v>2023</v>
      </c>
      <c r="G252" s="206" t="str">
        <f t="shared" si="44"/>
        <v>LOK122023</v>
      </c>
    </row>
    <row r="253" spans="1:7" ht="14.25" customHeight="1">
      <c r="A253" s="204" t="s">
        <v>1454</v>
      </c>
      <c r="B253" s="205" t="s">
        <v>1455</v>
      </c>
      <c r="C253" s="205" t="s">
        <v>683</v>
      </c>
      <c r="D253" s="205" t="s">
        <v>1456</v>
      </c>
      <c r="E253" s="205"/>
      <c r="F253" s="206">
        <v>2023</v>
      </c>
      <c r="G253" s="206" t="str">
        <f t="shared" si="44"/>
        <v>MBA122023</v>
      </c>
    </row>
    <row r="254" spans="1:7" ht="14.25" customHeight="1">
      <c r="A254" s="204" t="s">
        <v>1457</v>
      </c>
      <c r="B254" s="205" t="s">
        <v>1458</v>
      </c>
      <c r="C254" s="205" t="s">
        <v>679</v>
      </c>
      <c r="D254" s="205" t="s">
        <v>1459</v>
      </c>
      <c r="E254" s="205"/>
      <c r="F254" s="206">
        <v>2023</v>
      </c>
      <c r="G254" s="206" t="s">
        <v>1460</v>
      </c>
    </row>
    <row r="255" spans="1:7" ht="14.25" customHeight="1">
      <c r="A255" s="204" t="s">
        <v>1461</v>
      </c>
      <c r="B255" s="205" t="s">
        <v>1462</v>
      </c>
      <c r="C255" s="205" t="s">
        <v>679</v>
      </c>
      <c r="D255" s="205" t="s">
        <v>1463</v>
      </c>
      <c r="E255" s="205"/>
      <c r="F255" s="206">
        <v>2023</v>
      </c>
      <c r="G255" s="206" t="s">
        <v>1460</v>
      </c>
    </row>
    <row r="256" spans="1:7" ht="14.25" customHeight="1">
      <c r="A256" s="204" t="s">
        <v>1464</v>
      </c>
      <c r="B256" s="205" t="s">
        <v>1465</v>
      </c>
      <c r="C256" s="205" t="s">
        <v>679</v>
      </c>
      <c r="D256" s="205" t="s">
        <v>1466</v>
      </c>
      <c r="E256" s="205"/>
      <c r="F256" s="206">
        <v>2023</v>
      </c>
      <c r="G256" s="206" t="str">
        <f t="shared" ref="G256:G263" si="45">C256&amp;F256</f>
        <v>MBC122023</v>
      </c>
    </row>
    <row r="257" spans="1:7" ht="14.25" customHeight="1">
      <c r="A257" s="204" t="s">
        <v>1467</v>
      </c>
      <c r="B257" s="205" t="s">
        <v>1468</v>
      </c>
      <c r="C257" s="205" t="s">
        <v>678</v>
      </c>
      <c r="D257" s="205" t="s">
        <v>1469</v>
      </c>
      <c r="E257" s="205" t="s">
        <v>1470</v>
      </c>
      <c r="F257" s="206">
        <v>2023</v>
      </c>
      <c r="G257" s="206" t="str">
        <f t="shared" si="45"/>
        <v>MBG202023</v>
      </c>
    </row>
    <row r="258" spans="1:7" ht="14.25" customHeight="1">
      <c r="A258" s="204" t="s">
        <v>1471</v>
      </c>
      <c r="B258" s="205" t="s">
        <v>1472</v>
      </c>
      <c r="C258" s="205" t="s">
        <v>678</v>
      </c>
      <c r="D258" s="205" t="s">
        <v>1473</v>
      </c>
      <c r="E258" s="205" t="s">
        <v>1474</v>
      </c>
      <c r="F258" s="206">
        <v>2023</v>
      </c>
      <c r="G258" s="206" t="str">
        <f t="shared" si="45"/>
        <v>MBG202023</v>
      </c>
    </row>
    <row r="259" spans="1:7" ht="14.25" customHeight="1">
      <c r="A259" s="204" t="s">
        <v>1475</v>
      </c>
      <c r="B259" s="205" t="s">
        <v>1476</v>
      </c>
      <c r="C259" s="205" t="s">
        <v>657</v>
      </c>
      <c r="D259" s="205" t="s">
        <v>1477</v>
      </c>
      <c r="E259" s="205"/>
      <c r="F259" s="206">
        <v>2023</v>
      </c>
      <c r="G259" s="206" t="str">
        <f t="shared" si="45"/>
        <v>MBL202023</v>
      </c>
    </row>
    <row r="260" spans="1:7" ht="14.25" customHeight="1">
      <c r="A260" s="204" t="s">
        <v>1478</v>
      </c>
      <c r="B260" s="205" t="s">
        <v>1476</v>
      </c>
      <c r="C260" s="205" t="s">
        <v>657</v>
      </c>
      <c r="D260" s="205" t="s">
        <v>1477</v>
      </c>
      <c r="E260" s="205"/>
      <c r="F260" s="206">
        <v>2023</v>
      </c>
      <c r="G260" s="206" t="str">
        <f t="shared" si="45"/>
        <v>MBL202023</v>
      </c>
    </row>
    <row r="261" spans="1:7" ht="14.25" customHeight="1">
      <c r="A261" s="204" t="s">
        <v>1479</v>
      </c>
      <c r="B261" s="205" t="s">
        <v>1476</v>
      </c>
      <c r="C261" s="205" t="s">
        <v>657</v>
      </c>
      <c r="D261" s="205" t="s">
        <v>1477</v>
      </c>
      <c r="E261" s="205"/>
      <c r="F261" s="206">
        <v>2023</v>
      </c>
      <c r="G261" s="206" t="str">
        <f t="shared" si="45"/>
        <v>MBL202023</v>
      </c>
    </row>
    <row r="262" spans="1:7" ht="14.25" customHeight="1">
      <c r="A262" s="204" t="s">
        <v>1480</v>
      </c>
      <c r="B262" s="205" t="s">
        <v>1476</v>
      </c>
      <c r="C262" s="205" t="s">
        <v>657</v>
      </c>
      <c r="D262" s="205" t="s">
        <v>1477</v>
      </c>
      <c r="E262" s="205"/>
      <c r="F262" s="206">
        <v>2023</v>
      </c>
      <c r="G262" s="206" t="str">
        <f t="shared" si="45"/>
        <v>MBL202023</v>
      </c>
    </row>
    <row r="263" spans="1:7" ht="14.25" customHeight="1">
      <c r="A263" s="204" t="s">
        <v>1481</v>
      </c>
      <c r="B263" s="205" t="s">
        <v>1476</v>
      </c>
      <c r="C263" s="205" t="s">
        <v>657</v>
      </c>
      <c r="D263" s="205" t="s">
        <v>1477</v>
      </c>
      <c r="E263" s="205"/>
      <c r="F263" s="206">
        <v>2023</v>
      </c>
      <c r="G263" s="206" t="str">
        <f t="shared" si="45"/>
        <v>MBL202023</v>
      </c>
    </row>
    <row r="264" spans="1:7" ht="14.25" customHeight="1">
      <c r="A264" s="204" t="s">
        <v>1482</v>
      </c>
      <c r="B264" s="205" t="s">
        <v>1483</v>
      </c>
      <c r="C264" s="205" t="s">
        <v>658</v>
      </c>
      <c r="D264" s="205" t="s">
        <v>1484</v>
      </c>
      <c r="E264" s="205"/>
      <c r="F264" s="206">
        <v>2023</v>
      </c>
      <c r="G264" s="206" t="s">
        <v>1485</v>
      </c>
    </row>
    <row r="265" spans="1:7" ht="14.25" customHeight="1">
      <c r="A265" s="204" t="s">
        <v>1486</v>
      </c>
      <c r="B265" s="205" t="s">
        <v>1483</v>
      </c>
      <c r="C265" s="205" t="s">
        <v>658</v>
      </c>
      <c r="D265" s="205" t="s">
        <v>1484</v>
      </c>
      <c r="E265" s="205"/>
      <c r="F265" s="206">
        <v>2023</v>
      </c>
      <c r="G265" s="206" t="s">
        <v>1485</v>
      </c>
    </row>
    <row r="266" spans="1:7" ht="14.25" customHeight="1">
      <c r="A266" s="204" t="s">
        <v>1487</v>
      </c>
      <c r="B266" s="205" t="s">
        <v>1483</v>
      </c>
      <c r="C266" s="205" t="s">
        <v>658</v>
      </c>
      <c r="D266" s="205" t="s">
        <v>1484</v>
      </c>
      <c r="E266" s="205"/>
      <c r="F266" s="206">
        <v>2023</v>
      </c>
      <c r="G266" s="206" t="str">
        <f t="shared" ref="G266:G274" si="46">C266&amp;F266</f>
        <v>MBR202023</v>
      </c>
    </row>
    <row r="267" spans="1:7" ht="14.25" customHeight="1">
      <c r="A267" s="204" t="s">
        <v>1488</v>
      </c>
      <c r="B267" s="205" t="s">
        <v>1483</v>
      </c>
      <c r="C267" s="205" t="s">
        <v>658</v>
      </c>
      <c r="D267" s="205" t="s">
        <v>1484</v>
      </c>
      <c r="E267" s="205"/>
      <c r="F267" s="206">
        <v>2023</v>
      </c>
      <c r="G267" s="206" t="str">
        <f t="shared" si="46"/>
        <v>MBR202023</v>
      </c>
    </row>
    <row r="268" spans="1:7" ht="14.25" customHeight="1">
      <c r="A268" s="204" t="s">
        <v>1489</v>
      </c>
      <c r="B268" s="205" t="s">
        <v>1490</v>
      </c>
      <c r="C268" s="205" t="s">
        <v>702</v>
      </c>
      <c r="D268" s="205" t="s">
        <v>1491</v>
      </c>
      <c r="E268" s="205"/>
      <c r="F268" s="206">
        <v>2023</v>
      </c>
      <c r="G268" s="206" t="str">
        <f t="shared" si="46"/>
        <v>MCA122023</v>
      </c>
    </row>
    <row r="269" spans="1:7" ht="14.25" customHeight="1">
      <c r="A269" s="204" t="s">
        <v>1492</v>
      </c>
      <c r="B269" s="205" t="s">
        <v>1493</v>
      </c>
      <c r="C269" s="205" t="s">
        <v>705</v>
      </c>
      <c r="D269" s="205" t="s">
        <v>1494</v>
      </c>
      <c r="E269" s="205"/>
      <c r="F269" s="206">
        <v>2023</v>
      </c>
      <c r="G269" s="206" t="str">
        <f t="shared" si="46"/>
        <v>MCO122023</v>
      </c>
    </row>
    <row r="270" spans="1:7" ht="14.25" customHeight="1">
      <c r="A270" s="204" t="s">
        <v>1495</v>
      </c>
      <c r="B270" s="205" t="s">
        <v>1496</v>
      </c>
      <c r="C270" s="205" t="s">
        <v>705</v>
      </c>
      <c r="D270" s="205" t="s">
        <v>1497</v>
      </c>
      <c r="E270" s="205"/>
      <c r="F270" s="206">
        <v>2023</v>
      </c>
      <c r="G270" s="206" t="str">
        <f t="shared" si="46"/>
        <v>MCO122023</v>
      </c>
    </row>
    <row r="271" spans="1:7" ht="14.25" customHeight="1">
      <c r="A271" s="204" t="s">
        <v>1498</v>
      </c>
      <c r="B271" s="205" t="s">
        <v>1499</v>
      </c>
      <c r="C271" s="205" t="s">
        <v>659</v>
      </c>
      <c r="D271" s="205" t="s">
        <v>1500</v>
      </c>
      <c r="E271" s="205"/>
      <c r="F271" s="206">
        <v>2023</v>
      </c>
      <c r="G271" s="206" t="str">
        <f t="shared" si="46"/>
        <v>MFB122023</v>
      </c>
    </row>
    <row r="272" spans="1:7" ht="14.25" customHeight="1">
      <c r="A272" s="204" t="s">
        <v>1501</v>
      </c>
      <c r="B272" s="205" t="s">
        <v>1499</v>
      </c>
      <c r="C272" s="205" t="s">
        <v>659</v>
      </c>
      <c r="D272" s="205" t="s">
        <v>1500</v>
      </c>
      <c r="E272" s="205"/>
      <c r="F272" s="206">
        <v>2023</v>
      </c>
      <c r="G272" s="206" t="str">
        <f t="shared" si="46"/>
        <v>MFB122023</v>
      </c>
    </row>
    <row r="273" spans="1:7" ht="14.25" customHeight="1">
      <c r="A273" s="204" t="s">
        <v>1502</v>
      </c>
      <c r="B273" s="205" t="s">
        <v>1503</v>
      </c>
      <c r="C273" s="205" t="s">
        <v>673</v>
      </c>
      <c r="D273" s="205" t="s">
        <v>1504</v>
      </c>
      <c r="E273" s="205"/>
      <c r="F273" s="206">
        <v>2023</v>
      </c>
      <c r="G273" s="206" t="str">
        <f t="shared" si="46"/>
        <v>MFB162023</v>
      </c>
    </row>
    <row r="274" spans="1:7" ht="14.25" customHeight="1">
      <c r="A274" s="204" t="s">
        <v>1505</v>
      </c>
      <c r="B274" s="205" t="s">
        <v>1503</v>
      </c>
      <c r="C274" s="205" t="s">
        <v>673</v>
      </c>
      <c r="D274" s="205" t="s">
        <v>1504</v>
      </c>
      <c r="E274" s="205"/>
      <c r="F274" s="206">
        <v>2023</v>
      </c>
      <c r="G274" s="206" t="str">
        <f t="shared" si="46"/>
        <v>MFB162023</v>
      </c>
    </row>
    <row r="275" spans="1:7" ht="14.25" customHeight="1">
      <c r="A275" s="204" t="s">
        <v>1506</v>
      </c>
      <c r="B275" s="205" t="s">
        <v>1507</v>
      </c>
      <c r="C275" s="205" t="s">
        <v>660</v>
      </c>
      <c r="D275" s="205" t="s">
        <v>1508</v>
      </c>
      <c r="E275" s="205"/>
      <c r="F275" s="206">
        <v>2023</v>
      </c>
      <c r="G275" s="206" t="s">
        <v>1509</v>
      </c>
    </row>
    <row r="276" spans="1:7" ht="14.25" customHeight="1">
      <c r="A276" s="204" t="s">
        <v>1510</v>
      </c>
      <c r="B276" s="205" t="s">
        <v>1507</v>
      </c>
      <c r="C276" s="205" t="s">
        <v>660</v>
      </c>
      <c r="D276" s="205" t="s">
        <v>1508</v>
      </c>
      <c r="E276" s="205"/>
      <c r="F276" s="206">
        <v>2023</v>
      </c>
      <c r="G276" s="206" t="str">
        <f t="shared" ref="G276:G283" si="47">C276&amp;F276</f>
        <v>MFB202023</v>
      </c>
    </row>
    <row r="277" spans="1:7" ht="14.25" customHeight="1">
      <c r="A277" s="204" t="s">
        <v>1511</v>
      </c>
      <c r="B277" s="205" t="s">
        <v>1507</v>
      </c>
      <c r="C277" s="205" t="s">
        <v>660</v>
      </c>
      <c r="D277" s="205" t="s">
        <v>1508</v>
      </c>
      <c r="E277" s="205"/>
      <c r="F277" s="206">
        <v>2023</v>
      </c>
      <c r="G277" s="206" t="str">
        <f t="shared" si="47"/>
        <v>MFB202023</v>
      </c>
    </row>
    <row r="278" spans="1:7" ht="14.25" customHeight="1">
      <c r="A278" s="204" t="s">
        <v>1512</v>
      </c>
      <c r="B278" s="205" t="s">
        <v>1513</v>
      </c>
      <c r="C278" s="205" t="s">
        <v>684</v>
      </c>
      <c r="D278" s="205" t="s">
        <v>1514</v>
      </c>
      <c r="E278" s="205" t="s">
        <v>1515</v>
      </c>
      <c r="F278" s="206">
        <v>2023</v>
      </c>
      <c r="G278" s="206" t="str">
        <f t="shared" si="47"/>
        <v>MFE202023</v>
      </c>
    </row>
    <row r="279" spans="1:7" ht="14.25" customHeight="1">
      <c r="A279" s="204" t="s">
        <v>1516</v>
      </c>
      <c r="B279" s="205" t="s">
        <v>1517</v>
      </c>
      <c r="C279" s="205" t="s">
        <v>684</v>
      </c>
      <c r="D279" s="205" t="s">
        <v>1518</v>
      </c>
      <c r="E279" s="205" t="s">
        <v>1519</v>
      </c>
      <c r="F279" s="206">
        <v>2023</v>
      </c>
      <c r="G279" s="206" t="str">
        <f t="shared" si="47"/>
        <v>MFE202023</v>
      </c>
    </row>
    <row r="280" spans="1:7" ht="14.25" customHeight="1">
      <c r="A280" s="204" t="s">
        <v>1520</v>
      </c>
      <c r="B280" s="205" t="s">
        <v>1521</v>
      </c>
      <c r="C280" s="205" t="s">
        <v>661</v>
      </c>
      <c r="D280" s="205" t="s">
        <v>1522</v>
      </c>
      <c r="E280" s="205"/>
      <c r="F280" s="206">
        <v>2023</v>
      </c>
      <c r="G280" s="206" t="str">
        <f t="shared" si="47"/>
        <v>MLD122023</v>
      </c>
    </row>
    <row r="281" spans="1:7" ht="14.25" customHeight="1">
      <c r="A281" s="204" t="s">
        <v>1523</v>
      </c>
      <c r="B281" s="205" t="s">
        <v>1521</v>
      </c>
      <c r="C281" s="205" t="s">
        <v>661</v>
      </c>
      <c r="D281" s="205" t="s">
        <v>1522</v>
      </c>
      <c r="E281" s="205"/>
      <c r="F281" s="206">
        <v>2023</v>
      </c>
      <c r="G281" s="206" t="str">
        <f t="shared" si="47"/>
        <v>MLD122023</v>
      </c>
    </row>
    <row r="282" spans="1:7" ht="14.25" customHeight="1">
      <c r="A282" s="204" t="s">
        <v>1524</v>
      </c>
      <c r="B282" s="205" t="s">
        <v>1525</v>
      </c>
      <c r="C282" s="205" t="s">
        <v>662</v>
      </c>
      <c r="D282" s="205" t="s">
        <v>1526</v>
      </c>
      <c r="E282" s="205"/>
      <c r="F282" s="206">
        <v>2023</v>
      </c>
      <c r="G282" s="206" t="str">
        <f t="shared" si="47"/>
        <v>MLD162023</v>
      </c>
    </row>
    <row r="283" spans="1:7" ht="14.25" customHeight="1">
      <c r="A283" s="204" t="s">
        <v>1527</v>
      </c>
      <c r="B283" s="205" t="s">
        <v>1525</v>
      </c>
      <c r="C283" s="205" t="s">
        <v>662</v>
      </c>
      <c r="D283" s="205" t="s">
        <v>1526</v>
      </c>
      <c r="E283" s="205"/>
      <c r="F283" s="206">
        <v>2023</v>
      </c>
      <c r="G283" s="206" t="str">
        <f t="shared" si="47"/>
        <v>MLD162023</v>
      </c>
    </row>
    <row r="284" spans="1:7" ht="14.25" customHeight="1">
      <c r="A284" s="204" t="s">
        <v>1528</v>
      </c>
      <c r="B284" s="205" t="s">
        <v>1525</v>
      </c>
      <c r="C284" s="205" t="s">
        <v>662</v>
      </c>
      <c r="D284" s="205" t="s">
        <v>1526</v>
      </c>
      <c r="E284" s="205"/>
      <c r="F284" s="206">
        <v>2023</v>
      </c>
      <c r="G284" s="206" t="s">
        <v>1529</v>
      </c>
    </row>
    <row r="285" spans="1:7" ht="14.25" customHeight="1">
      <c r="A285" s="204" t="s">
        <v>1530</v>
      </c>
      <c r="B285" s="205" t="s">
        <v>1525</v>
      </c>
      <c r="C285" s="205" t="s">
        <v>662</v>
      </c>
      <c r="D285" s="205" t="s">
        <v>1526</v>
      </c>
      <c r="E285" s="205"/>
      <c r="F285" s="206">
        <v>2023</v>
      </c>
      <c r="G285" s="206" t="s">
        <v>1529</v>
      </c>
    </row>
    <row r="286" spans="1:7" ht="14.25" customHeight="1">
      <c r="A286" s="204" t="s">
        <v>1531</v>
      </c>
      <c r="B286" s="205" t="s">
        <v>1532</v>
      </c>
      <c r="C286" s="205" t="s">
        <v>674</v>
      </c>
      <c r="D286" s="205" t="s">
        <v>1533</v>
      </c>
      <c r="E286" s="205"/>
      <c r="F286" s="206">
        <v>2023</v>
      </c>
      <c r="G286" s="206" t="s">
        <v>1529</v>
      </c>
    </row>
    <row r="287" spans="1:7" ht="14.25" customHeight="1">
      <c r="A287" s="204" t="s">
        <v>1534</v>
      </c>
      <c r="B287" s="205" t="s">
        <v>1532</v>
      </c>
      <c r="C287" s="205" t="s">
        <v>674</v>
      </c>
      <c r="D287" s="205" t="s">
        <v>1533</v>
      </c>
      <c r="E287" s="205"/>
      <c r="F287" s="206">
        <v>2023</v>
      </c>
      <c r="G287" s="206" t="str">
        <f t="shared" ref="G287:G294" si="48">C287&amp;F287</f>
        <v>MLD502023</v>
      </c>
    </row>
    <row r="288" spans="1:7" ht="14.25" customHeight="1">
      <c r="A288" s="204" t="s">
        <v>1535</v>
      </c>
      <c r="B288" s="205" t="s">
        <v>1536</v>
      </c>
      <c r="C288" s="205" t="s">
        <v>664</v>
      </c>
      <c r="D288" s="205" t="s">
        <v>1537</v>
      </c>
      <c r="E288" s="205"/>
      <c r="F288" s="206">
        <v>2023</v>
      </c>
      <c r="G288" s="206" t="str">
        <f t="shared" si="48"/>
        <v>MLE162023</v>
      </c>
    </row>
    <row r="289" spans="1:7" ht="14.25" customHeight="1">
      <c r="A289" s="204" t="s">
        <v>1538</v>
      </c>
      <c r="B289" s="205" t="s">
        <v>1536</v>
      </c>
      <c r="C289" s="205" t="s">
        <v>664</v>
      </c>
      <c r="D289" s="205" t="s">
        <v>1537</v>
      </c>
      <c r="E289" s="205"/>
      <c r="F289" s="206">
        <v>2023</v>
      </c>
      <c r="G289" s="206" t="str">
        <f t="shared" si="48"/>
        <v>MLE162023</v>
      </c>
    </row>
    <row r="290" spans="1:7" ht="14.25" customHeight="1">
      <c r="A290" s="204" t="s">
        <v>1539</v>
      </c>
      <c r="B290" s="205" t="s">
        <v>1536</v>
      </c>
      <c r="C290" s="205" t="s">
        <v>664</v>
      </c>
      <c r="D290" s="205" t="s">
        <v>1537</v>
      </c>
      <c r="E290" s="205"/>
      <c r="F290" s="206">
        <v>2023</v>
      </c>
      <c r="G290" s="206" t="str">
        <f t="shared" si="48"/>
        <v>MLE162023</v>
      </c>
    </row>
    <row r="291" spans="1:7" ht="14.25" customHeight="1">
      <c r="A291" s="204" t="s">
        <v>1540</v>
      </c>
      <c r="B291" s="205" t="s">
        <v>1541</v>
      </c>
      <c r="C291" s="205" t="s">
        <v>676</v>
      </c>
      <c r="D291" s="205" t="s">
        <v>1542</v>
      </c>
      <c r="E291" s="205" t="s">
        <v>1543</v>
      </c>
      <c r="F291" s="206">
        <v>2023</v>
      </c>
      <c r="G291" s="206" t="str">
        <f t="shared" si="48"/>
        <v>MLG202023</v>
      </c>
    </row>
    <row r="292" spans="1:7" ht="14.25" customHeight="1">
      <c r="A292" s="205" t="s">
        <v>1544</v>
      </c>
      <c r="B292" s="205" t="s">
        <v>1545</v>
      </c>
      <c r="C292" s="205" t="s">
        <v>676</v>
      </c>
      <c r="D292" s="205" t="s">
        <v>1546</v>
      </c>
      <c r="E292" s="205" t="s">
        <v>1547</v>
      </c>
      <c r="F292" s="206">
        <v>2023</v>
      </c>
      <c r="G292" s="206" t="str">
        <f t="shared" si="48"/>
        <v>MLG202023</v>
      </c>
    </row>
    <row r="293" spans="1:7" ht="14.25" customHeight="1">
      <c r="A293" s="205" t="s">
        <v>1548</v>
      </c>
      <c r="B293" s="205" t="s">
        <v>1549</v>
      </c>
      <c r="C293" s="205" t="s">
        <v>677</v>
      </c>
      <c r="D293" s="205" t="s">
        <v>1550</v>
      </c>
      <c r="E293" s="205" t="s">
        <v>1551</v>
      </c>
      <c r="F293" s="206">
        <v>2023</v>
      </c>
      <c r="G293" s="206" t="str">
        <f t="shared" si="48"/>
        <v>MMG202023</v>
      </c>
    </row>
    <row r="294" spans="1:7" ht="14.25" customHeight="1">
      <c r="A294" s="205" t="s">
        <v>1552</v>
      </c>
      <c r="B294" s="205" t="s">
        <v>1553</v>
      </c>
      <c r="C294" s="205" t="s">
        <v>677</v>
      </c>
      <c r="D294" s="205" t="s">
        <v>1554</v>
      </c>
      <c r="E294" s="205" t="s">
        <v>1555</v>
      </c>
      <c r="F294" s="205">
        <v>2023</v>
      </c>
      <c r="G294" s="206" t="str">
        <f t="shared" si="48"/>
        <v>MMG202023</v>
      </c>
    </row>
    <row r="295" spans="1:7" ht="14.25" customHeight="1">
      <c r="A295" s="205" t="s">
        <v>1556</v>
      </c>
      <c r="B295" s="205" t="s">
        <v>1557</v>
      </c>
      <c r="C295" s="205" t="s">
        <v>665</v>
      </c>
      <c r="D295" s="205" t="s">
        <v>1558</v>
      </c>
      <c r="E295" s="205"/>
      <c r="F295" s="205">
        <v>2023</v>
      </c>
      <c r="G295" s="206" t="s">
        <v>1559</v>
      </c>
    </row>
    <row r="296" spans="1:7" ht="14.25" customHeight="1">
      <c r="A296" s="205" t="s">
        <v>1560</v>
      </c>
      <c r="B296" s="205" t="s">
        <v>1557</v>
      </c>
      <c r="C296" s="205" t="s">
        <v>665</v>
      </c>
      <c r="D296" s="205" t="s">
        <v>1558</v>
      </c>
      <c r="E296" s="205"/>
      <c r="F296" s="205">
        <v>2023</v>
      </c>
      <c r="G296" s="206" t="s">
        <v>1559</v>
      </c>
    </row>
    <row r="297" spans="1:7" ht="14.25" customHeight="1">
      <c r="A297" s="205" t="s">
        <v>1561</v>
      </c>
      <c r="B297" s="205" t="s">
        <v>1557</v>
      </c>
      <c r="C297" s="205" t="s">
        <v>665</v>
      </c>
      <c r="D297" s="205" t="s">
        <v>1558</v>
      </c>
      <c r="E297" s="205"/>
      <c r="F297" s="205">
        <v>2023</v>
      </c>
      <c r="G297" s="206" t="s">
        <v>1559</v>
      </c>
    </row>
    <row r="298" spans="1:7" ht="14.25" customHeight="1">
      <c r="A298" s="205" t="s">
        <v>1562</v>
      </c>
      <c r="B298" s="205" t="s">
        <v>1557</v>
      </c>
      <c r="C298" s="205" t="s">
        <v>665</v>
      </c>
      <c r="D298" s="205" t="s">
        <v>1558</v>
      </c>
      <c r="E298" s="205"/>
      <c r="F298" s="205">
        <v>2023</v>
      </c>
      <c r="G298" s="206" t="str">
        <f t="shared" ref="G298:G304" si="49">C298&amp;F298</f>
        <v>MMI202023</v>
      </c>
    </row>
    <row r="299" spans="1:7" ht="14.25" customHeight="1">
      <c r="A299" s="205" t="s">
        <v>1563</v>
      </c>
      <c r="B299" s="205" t="s">
        <v>1564</v>
      </c>
      <c r="C299" s="205" t="s">
        <v>706</v>
      </c>
      <c r="D299" s="205" t="s">
        <v>1565</v>
      </c>
      <c r="E299" s="205"/>
      <c r="F299" s="205">
        <v>2023</v>
      </c>
      <c r="G299" s="206" t="str">
        <f t="shared" si="49"/>
        <v>MRL162023</v>
      </c>
    </row>
    <row r="300" spans="1:7" ht="14.25" customHeight="1">
      <c r="A300" s="205" t="s">
        <v>1566</v>
      </c>
      <c r="B300" s="205" t="s">
        <v>1567</v>
      </c>
      <c r="C300" s="205" t="s">
        <v>708</v>
      </c>
      <c r="D300" s="205" t="s">
        <v>1568</v>
      </c>
      <c r="E300" s="205"/>
      <c r="F300" s="205">
        <v>2023</v>
      </c>
      <c r="G300" s="206" t="str">
        <f t="shared" si="49"/>
        <v>MSB122023</v>
      </c>
    </row>
    <row r="301" spans="1:7" ht="14.25" customHeight="1">
      <c r="A301" s="205" t="s">
        <v>1569</v>
      </c>
      <c r="B301" s="205" t="s">
        <v>1570</v>
      </c>
      <c r="C301" s="205" t="s">
        <v>703</v>
      </c>
      <c r="D301" s="205" t="s">
        <v>1571</v>
      </c>
      <c r="E301" s="205"/>
      <c r="F301" s="205">
        <v>2023</v>
      </c>
      <c r="G301" s="206" t="str">
        <f t="shared" si="49"/>
        <v>MSE162023</v>
      </c>
    </row>
    <row r="302" spans="1:7" ht="14.25" customHeight="1">
      <c r="A302" s="205" t="s">
        <v>1572</v>
      </c>
      <c r="B302" s="205" t="s">
        <v>1570</v>
      </c>
      <c r="C302" s="205" t="s">
        <v>703</v>
      </c>
      <c r="D302" s="205" t="s">
        <v>1571</v>
      </c>
      <c r="E302" s="205"/>
      <c r="F302" s="205">
        <v>2023</v>
      </c>
      <c r="G302" s="206" t="str">
        <f t="shared" si="49"/>
        <v>MSE162023</v>
      </c>
    </row>
    <row r="303" spans="1:7" ht="14.25" customHeight="1">
      <c r="A303" s="205" t="s">
        <v>1573</v>
      </c>
      <c r="B303" s="205" t="s">
        <v>1570</v>
      </c>
      <c r="C303" s="205" t="s">
        <v>703</v>
      </c>
      <c r="D303" s="205" t="s">
        <v>1571</v>
      </c>
      <c r="E303" s="205"/>
      <c r="F303" s="205">
        <v>2023</v>
      </c>
      <c r="G303" s="206" t="str">
        <f t="shared" si="49"/>
        <v>MSE162023</v>
      </c>
    </row>
    <row r="304" spans="1:7" ht="14.25" customHeight="1">
      <c r="A304" s="205" t="s">
        <v>1574</v>
      </c>
      <c r="B304" s="205" t="s">
        <v>1570</v>
      </c>
      <c r="C304" s="205" t="s">
        <v>703</v>
      </c>
      <c r="D304" s="205" t="s">
        <v>1571</v>
      </c>
      <c r="E304" s="205"/>
      <c r="F304" s="205">
        <v>2023</v>
      </c>
      <c r="G304" s="206" t="str">
        <f t="shared" si="49"/>
        <v>MSE162023</v>
      </c>
    </row>
    <row r="305" spans="1:7" ht="14.25" customHeight="1">
      <c r="A305" s="205" t="s">
        <v>1575</v>
      </c>
      <c r="B305" s="205" t="s">
        <v>1576</v>
      </c>
      <c r="C305" s="205" t="s">
        <v>699</v>
      </c>
      <c r="D305" s="205" t="s">
        <v>1577</v>
      </c>
      <c r="E305" s="205"/>
      <c r="F305" s="205">
        <v>2023</v>
      </c>
      <c r="G305" s="206" t="s">
        <v>1578</v>
      </c>
    </row>
    <row r="306" spans="1:7" ht="14.25" customHeight="1">
      <c r="A306" s="205" t="s">
        <v>1579</v>
      </c>
      <c r="B306" s="205" t="s">
        <v>1580</v>
      </c>
      <c r="C306" s="205" t="s">
        <v>681</v>
      </c>
      <c r="D306" s="205" t="s">
        <v>1581</v>
      </c>
      <c r="E306" s="205"/>
      <c r="F306" s="205">
        <v>2023</v>
      </c>
      <c r="G306" s="206" t="s">
        <v>1578</v>
      </c>
    </row>
    <row r="307" spans="1:7" ht="14.25" customHeight="1">
      <c r="A307" s="205" t="s">
        <v>1582</v>
      </c>
      <c r="B307" s="205" t="s">
        <v>1580</v>
      </c>
      <c r="C307" s="205" t="s">
        <v>681</v>
      </c>
      <c r="D307" s="205" t="s">
        <v>1581</v>
      </c>
      <c r="E307" s="205"/>
      <c r="F307" s="205">
        <v>2023</v>
      </c>
      <c r="G307" s="206" t="str">
        <f t="shared" ref="G307:G313" si="50">C307&amp;F307</f>
        <v>MSU122023</v>
      </c>
    </row>
    <row r="308" spans="1:7" ht="14.25" customHeight="1">
      <c r="A308" s="205" t="s">
        <v>1583</v>
      </c>
      <c r="B308" s="205" t="s">
        <v>1584</v>
      </c>
      <c r="C308" s="205" t="s">
        <v>666</v>
      </c>
      <c r="D308" s="205" t="s">
        <v>1585</v>
      </c>
      <c r="E308" s="205"/>
      <c r="F308" s="205">
        <v>2023</v>
      </c>
      <c r="G308" s="206" t="str">
        <f t="shared" si="50"/>
        <v>MSU162023</v>
      </c>
    </row>
    <row r="309" spans="1:7" ht="14.25" customHeight="1">
      <c r="A309" s="205" t="s">
        <v>1586</v>
      </c>
      <c r="B309" s="205" t="s">
        <v>1587</v>
      </c>
      <c r="C309" s="205" t="s">
        <v>667</v>
      </c>
      <c r="D309" s="205" t="s">
        <v>1588</v>
      </c>
      <c r="E309" s="205"/>
      <c r="F309" s="205">
        <v>2023</v>
      </c>
      <c r="G309" s="206" t="str">
        <f t="shared" si="50"/>
        <v>MTB162023</v>
      </c>
    </row>
    <row r="310" spans="1:7" ht="14.25" customHeight="1">
      <c r="A310" s="205" t="s">
        <v>1589</v>
      </c>
      <c r="B310" s="205" t="s">
        <v>1587</v>
      </c>
      <c r="C310" s="205" t="s">
        <v>667</v>
      </c>
      <c r="D310" s="205" t="s">
        <v>1588</v>
      </c>
      <c r="E310" s="205"/>
      <c r="F310" s="205">
        <v>2023</v>
      </c>
      <c r="G310" s="206" t="str">
        <f t="shared" si="50"/>
        <v>MTB162023</v>
      </c>
    </row>
    <row r="311" spans="1:7" ht="14.25" customHeight="1">
      <c r="A311" s="205" t="s">
        <v>1590</v>
      </c>
      <c r="B311" s="205" t="s">
        <v>1587</v>
      </c>
      <c r="C311" s="205" t="s">
        <v>667</v>
      </c>
      <c r="D311" s="205" t="s">
        <v>1588</v>
      </c>
      <c r="E311" s="205"/>
      <c r="F311" s="205">
        <v>2023</v>
      </c>
      <c r="G311" s="206" t="str">
        <f t="shared" si="50"/>
        <v>MTB162023</v>
      </c>
    </row>
    <row r="312" spans="1:7" ht="14.25" customHeight="1">
      <c r="A312" s="205" t="s">
        <v>1591</v>
      </c>
      <c r="B312" s="205" t="s">
        <v>1587</v>
      </c>
      <c r="C312" s="205" t="s">
        <v>667</v>
      </c>
      <c r="D312" s="205" t="s">
        <v>1588</v>
      </c>
      <c r="E312" s="205"/>
      <c r="F312" s="205">
        <v>2023</v>
      </c>
      <c r="G312" s="206" t="str">
        <f t="shared" si="50"/>
        <v>MTB162023</v>
      </c>
    </row>
    <row r="313" spans="1:7" ht="14.25" customHeight="1">
      <c r="A313" s="205" t="s">
        <v>1592</v>
      </c>
      <c r="B313" s="205" t="s">
        <v>1587</v>
      </c>
      <c r="C313" s="205" t="s">
        <v>667</v>
      </c>
      <c r="D313" s="205" t="s">
        <v>1588</v>
      </c>
      <c r="E313" s="205"/>
      <c r="F313" s="205">
        <v>2023</v>
      </c>
      <c r="G313" s="206" t="str">
        <f t="shared" si="50"/>
        <v>MTB162023</v>
      </c>
    </row>
    <row r="314" spans="1:7" ht="14.25" customHeight="1">
      <c r="A314" s="205" t="s">
        <v>1593</v>
      </c>
      <c r="B314" s="205" t="s">
        <v>1594</v>
      </c>
      <c r="C314" s="205" t="s">
        <v>680</v>
      </c>
      <c r="D314" s="205" t="s">
        <v>1595</v>
      </c>
      <c r="E314" s="205"/>
      <c r="F314" s="205">
        <v>2023</v>
      </c>
      <c r="G314" s="206" t="s">
        <v>1596</v>
      </c>
    </row>
    <row r="315" spans="1:7" ht="14.25" customHeight="1">
      <c r="A315" s="205" t="s">
        <v>1597</v>
      </c>
      <c r="B315" s="205" t="s">
        <v>1594</v>
      </c>
      <c r="C315" s="205" t="s">
        <v>680</v>
      </c>
      <c r="D315" s="205" t="s">
        <v>1595</v>
      </c>
      <c r="E315" s="205"/>
      <c r="F315" s="205">
        <v>2023</v>
      </c>
      <c r="G315" s="206" t="s">
        <v>1598</v>
      </c>
    </row>
    <row r="316" spans="1:7" ht="14.25" customHeight="1">
      <c r="A316" s="205" t="s">
        <v>1599</v>
      </c>
      <c r="B316" s="205" t="s">
        <v>1600</v>
      </c>
      <c r="C316" s="205" t="s">
        <v>668</v>
      </c>
      <c r="D316" s="205" t="s">
        <v>1601</v>
      </c>
      <c r="E316" s="205"/>
      <c r="F316" s="205">
        <v>2023</v>
      </c>
      <c r="G316" s="206" t="s">
        <v>1602</v>
      </c>
    </row>
    <row r="317" spans="1:7" ht="14.25" customHeight="1">
      <c r="A317" s="205" t="s">
        <v>1603</v>
      </c>
      <c r="B317" s="205" t="s">
        <v>1604</v>
      </c>
      <c r="C317" s="205" t="s">
        <v>1605</v>
      </c>
      <c r="D317" s="205" t="s">
        <v>1606</v>
      </c>
      <c r="E317" s="205"/>
      <c r="F317" s="205">
        <v>2023</v>
      </c>
      <c r="G317" s="206" t="s">
        <v>1607</v>
      </c>
    </row>
    <row r="318" spans="1:7" ht="14.25" customHeight="1">
      <c r="A318" s="205" t="s">
        <v>1608</v>
      </c>
      <c r="B318" s="205" t="s">
        <v>1609</v>
      </c>
      <c r="C318" s="205" t="s">
        <v>148</v>
      </c>
      <c r="D318" s="205" t="s">
        <v>1610</v>
      </c>
      <c r="E318" s="205"/>
      <c r="F318" s="205">
        <v>2023</v>
      </c>
      <c r="G318" s="206" t="s">
        <v>1611</v>
      </c>
    </row>
    <row r="319" spans="1:7" ht="14.25" customHeight="1">
      <c r="A319" s="205" t="s">
        <v>1612</v>
      </c>
      <c r="B319" s="205" t="s">
        <v>1613</v>
      </c>
      <c r="C319" s="205" t="s">
        <v>145</v>
      </c>
      <c r="D319" s="205" t="s">
        <v>1614</v>
      </c>
      <c r="E319" s="205"/>
      <c r="F319" s="205">
        <v>2023</v>
      </c>
      <c r="G319" s="206" t="s">
        <v>1615</v>
      </c>
    </row>
    <row r="320" spans="1:7" ht="14.25" customHeight="1">
      <c r="A320" s="205" t="s">
        <v>1612</v>
      </c>
      <c r="B320" s="205" t="s">
        <v>1616</v>
      </c>
      <c r="C320" s="205" t="s">
        <v>145</v>
      </c>
      <c r="D320" s="205" t="s">
        <v>1617</v>
      </c>
      <c r="E320" s="205"/>
      <c r="F320" s="205">
        <v>2023</v>
      </c>
      <c r="G320" s="206" t="s">
        <v>1618</v>
      </c>
    </row>
    <row r="321" spans="1:7" ht="14.25" customHeight="1">
      <c r="A321" s="205" t="s">
        <v>1619</v>
      </c>
      <c r="B321" s="205" t="s">
        <v>1620</v>
      </c>
      <c r="C321" s="205" t="s">
        <v>123</v>
      </c>
      <c r="D321" s="205" t="s">
        <v>1621</v>
      </c>
      <c r="E321" s="205"/>
      <c r="F321" s="205">
        <v>2023</v>
      </c>
      <c r="G321" s="206" t="s">
        <v>1622</v>
      </c>
    </row>
    <row r="322" spans="1:7" ht="14.25" customHeight="1">
      <c r="A322" s="205" t="s">
        <v>1623</v>
      </c>
      <c r="B322" s="205" t="s">
        <v>1624</v>
      </c>
      <c r="C322" s="205" t="s">
        <v>151</v>
      </c>
      <c r="D322" s="205" t="s">
        <v>1625</v>
      </c>
      <c r="E322" s="205"/>
      <c r="F322" s="205">
        <v>2023</v>
      </c>
      <c r="G322" s="206" t="s">
        <v>1622</v>
      </c>
    </row>
    <row r="323" spans="1:7" ht="14.25" customHeight="1">
      <c r="A323" s="205" t="s">
        <v>1626</v>
      </c>
      <c r="B323" s="205" t="s">
        <v>1627</v>
      </c>
      <c r="C323" s="205" t="s">
        <v>157</v>
      </c>
      <c r="D323" s="205" t="s">
        <v>1628</v>
      </c>
      <c r="E323" s="205"/>
      <c r="F323" s="205">
        <v>2023</v>
      </c>
      <c r="G323" s="206" t="str">
        <f t="shared" ref="G323:G327" si="51">C323&amp;F323</f>
        <v>OEM102023</v>
      </c>
    </row>
    <row r="324" spans="1:7" ht="14.25" customHeight="1">
      <c r="A324" s="205" t="s">
        <v>1629</v>
      </c>
      <c r="B324" s="205" t="s">
        <v>1630</v>
      </c>
      <c r="C324" s="205" t="s">
        <v>160</v>
      </c>
      <c r="D324" s="205" t="s">
        <v>1631</v>
      </c>
      <c r="E324" s="205"/>
      <c r="F324" s="205">
        <v>2023</v>
      </c>
      <c r="G324" s="206" t="str">
        <f t="shared" si="51"/>
        <v>OES122023</v>
      </c>
    </row>
    <row r="325" spans="1:7" ht="14.25" customHeight="1">
      <c r="A325" s="205" t="s">
        <v>1632</v>
      </c>
      <c r="B325" s="205" t="s">
        <v>1633</v>
      </c>
      <c r="C325" s="205" t="s">
        <v>669</v>
      </c>
      <c r="D325" s="205" t="s">
        <v>1634</v>
      </c>
      <c r="E325" s="205"/>
      <c r="F325" s="205">
        <v>2023</v>
      </c>
      <c r="G325" s="206" t="str">
        <f t="shared" si="51"/>
        <v>PNK122023</v>
      </c>
    </row>
    <row r="326" spans="1:7" ht="14.25" customHeight="1">
      <c r="A326" s="205" t="s">
        <v>1635</v>
      </c>
      <c r="B326" s="205" t="s">
        <v>1636</v>
      </c>
      <c r="C326" s="205" t="s">
        <v>99</v>
      </c>
      <c r="D326" s="205" t="s">
        <v>1637</v>
      </c>
      <c r="E326" s="205"/>
      <c r="F326" s="205">
        <v>2023</v>
      </c>
      <c r="G326" s="206" t="str">
        <f t="shared" si="51"/>
        <v>POS162023</v>
      </c>
    </row>
    <row r="327" spans="1:7" ht="14.25" customHeight="1">
      <c r="A327" s="205" t="s">
        <v>1638</v>
      </c>
      <c r="B327" s="205" t="s">
        <v>1639</v>
      </c>
      <c r="C327" s="205" t="s">
        <v>49</v>
      </c>
      <c r="D327" s="205" t="s">
        <v>1640</v>
      </c>
      <c r="E327" s="205"/>
      <c r="F327" s="205">
        <v>2023</v>
      </c>
      <c r="G327" s="206" t="str">
        <f t="shared" si="51"/>
        <v>PRJ122023</v>
      </c>
    </row>
    <row r="328" spans="1:7" ht="14.25" customHeight="1">
      <c r="A328" s="205" t="s">
        <v>1641</v>
      </c>
      <c r="B328" s="205" t="s">
        <v>1642</v>
      </c>
      <c r="C328" s="205" t="s">
        <v>34</v>
      </c>
      <c r="D328" s="205" t="s">
        <v>1643</v>
      </c>
      <c r="E328" s="205"/>
      <c r="F328" s="205">
        <v>2023</v>
      </c>
      <c r="G328" s="206" t="s">
        <v>1644</v>
      </c>
    </row>
    <row r="329" spans="1:7" ht="14.25" customHeight="1">
      <c r="A329" s="205" t="s">
        <v>1645</v>
      </c>
      <c r="B329" s="205" t="s">
        <v>1646</v>
      </c>
      <c r="C329" s="205" t="s">
        <v>25</v>
      </c>
      <c r="D329" s="205" t="s">
        <v>1647</v>
      </c>
      <c r="E329" s="205"/>
      <c r="F329" s="205">
        <v>2023</v>
      </c>
      <c r="G329" s="206" t="str">
        <f t="shared" ref="G329:G336" si="52">C329&amp;F329</f>
        <v>PSP122023</v>
      </c>
    </row>
    <row r="330" spans="1:7" ht="14.25" customHeight="1">
      <c r="A330" s="205" t="s">
        <v>1645</v>
      </c>
      <c r="B330" s="205" t="s">
        <v>1648</v>
      </c>
      <c r="C330" s="205" t="s">
        <v>25</v>
      </c>
      <c r="D330" s="205" t="s">
        <v>1649</v>
      </c>
      <c r="E330" s="205"/>
      <c r="F330" s="205">
        <v>2023</v>
      </c>
      <c r="G330" s="206" t="str">
        <f t="shared" si="52"/>
        <v>PSP122023</v>
      </c>
    </row>
    <row r="331" spans="1:7" ht="14.25" customHeight="1">
      <c r="A331" s="205" t="s">
        <v>1650</v>
      </c>
      <c r="B331" s="205" t="s">
        <v>1651</v>
      </c>
      <c r="C331" s="205" t="s">
        <v>137</v>
      </c>
      <c r="D331" s="205" t="s">
        <v>1652</v>
      </c>
      <c r="E331" s="205"/>
      <c r="F331" s="205">
        <v>2023</v>
      </c>
      <c r="G331" s="206" t="str">
        <f t="shared" si="52"/>
        <v>RKT162023</v>
      </c>
    </row>
    <row r="332" spans="1:7" ht="14.25" customHeight="1">
      <c r="A332" s="205" t="s">
        <v>1653</v>
      </c>
      <c r="B332" s="205" t="s">
        <v>1654</v>
      </c>
      <c r="C332" s="205" t="s">
        <v>670</v>
      </c>
      <c r="D332" s="205" t="s">
        <v>1655</v>
      </c>
      <c r="E332" s="205"/>
      <c r="F332" s="205">
        <v>2023</v>
      </c>
      <c r="G332" s="206" t="str">
        <f t="shared" si="52"/>
        <v>SAH122023</v>
      </c>
    </row>
    <row r="333" spans="1:7" ht="14.25" customHeight="1">
      <c r="A333" s="205" t="s">
        <v>1656</v>
      </c>
      <c r="B333" s="205" t="s">
        <v>1657</v>
      </c>
      <c r="C333" s="205" t="s">
        <v>41</v>
      </c>
      <c r="D333" s="205" t="s">
        <v>1658</v>
      </c>
      <c r="E333" s="205"/>
      <c r="F333" s="205">
        <v>2023</v>
      </c>
      <c r="G333" s="206" t="str">
        <f t="shared" si="52"/>
        <v>SBH122023</v>
      </c>
    </row>
    <row r="334" spans="1:7" ht="14.25" customHeight="1">
      <c r="A334" s="205" t="s">
        <v>1659</v>
      </c>
      <c r="B334" s="205" t="s">
        <v>1660</v>
      </c>
      <c r="C334" s="205" t="s">
        <v>192</v>
      </c>
      <c r="D334" s="205" t="s">
        <v>1661</v>
      </c>
      <c r="E334" s="205"/>
      <c r="F334" s="205">
        <v>2023</v>
      </c>
      <c r="G334" s="206" t="str">
        <f t="shared" si="52"/>
        <v>SGR122023</v>
      </c>
    </row>
    <row r="335" spans="1:7" ht="14.25" customHeight="1">
      <c r="A335" s="205" t="s">
        <v>1662</v>
      </c>
      <c r="B335" s="205" t="s">
        <v>1663</v>
      </c>
      <c r="C335" s="205" t="s">
        <v>671</v>
      </c>
      <c r="D335" s="205" t="s">
        <v>1664</v>
      </c>
      <c r="E335" s="205"/>
      <c r="F335" s="205">
        <v>2023</v>
      </c>
      <c r="G335" s="206" t="str">
        <f t="shared" si="52"/>
        <v>SLE122023</v>
      </c>
    </row>
    <row r="336" spans="1:7" ht="14.25" customHeight="1">
      <c r="A336" s="205" t="s">
        <v>1665</v>
      </c>
      <c r="B336" s="205" t="s">
        <v>1666</v>
      </c>
      <c r="C336" s="205" t="s">
        <v>129</v>
      </c>
      <c r="D336" s="205" t="s">
        <v>1667</v>
      </c>
      <c r="E336" s="205"/>
      <c r="F336" s="205">
        <v>2023</v>
      </c>
      <c r="G336" s="206" t="str">
        <f t="shared" si="52"/>
        <v>SLP122023</v>
      </c>
    </row>
    <row r="337" spans="1:7" ht="14.25" customHeight="1">
      <c r="A337" s="205" t="s">
        <v>1668</v>
      </c>
      <c r="B337" s="205" t="s">
        <v>1669</v>
      </c>
      <c r="C337" s="205" t="s">
        <v>126</v>
      </c>
      <c r="D337" s="205" t="s">
        <v>1670</v>
      </c>
      <c r="E337" s="205"/>
      <c r="F337" s="205">
        <v>2023</v>
      </c>
      <c r="G337" s="206" t="s">
        <v>1671</v>
      </c>
    </row>
    <row r="338" spans="1:7" ht="14.25" customHeight="1">
      <c r="A338" s="205" t="s">
        <v>1672</v>
      </c>
      <c r="B338" s="205" t="s">
        <v>1673</v>
      </c>
      <c r="C338" s="205" t="s">
        <v>107</v>
      </c>
      <c r="D338" s="205" t="s">
        <v>1674</v>
      </c>
      <c r="E338" s="205"/>
      <c r="F338" s="205">
        <v>2023</v>
      </c>
      <c r="G338" s="206" t="s">
        <v>1671</v>
      </c>
    </row>
    <row r="339" spans="1:7" ht="14.25" customHeight="1">
      <c r="A339" s="205" t="s">
        <v>1675</v>
      </c>
      <c r="B339" s="205" t="s">
        <v>1676</v>
      </c>
      <c r="C339" s="205" t="s">
        <v>109</v>
      </c>
      <c r="D339" s="205" t="s">
        <v>1677</v>
      </c>
      <c r="E339" s="205"/>
      <c r="F339" s="205">
        <v>2023</v>
      </c>
      <c r="G339" s="206" t="s">
        <v>1671</v>
      </c>
    </row>
    <row r="340" spans="1:7" ht="14.25" customHeight="1">
      <c r="A340" s="205" t="s">
        <v>1678</v>
      </c>
      <c r="B340" s="205" t="s">
        <v>1679</v>
      </c>
      <c r="C340" s="205" t="s">
        <v>268</v>
      </c>
      <c r="D340" s="205" t="s">
        <v>1680</v>
      </c>
      <c r="E340" s="205"/>
      <c r="F340" s="205">
        <v>2023</v>
      </c>
      <c r="G340" s="206" t="s">
        <v>1671</v>
      </c>
    </row>
    <row r="341" spans="1:7" ht="14.25" customHeight="1">
      <c r="A341" s="205" t="s">
        <v>1681</v>
      </c>
      <c r="B341" s="205" t="s">
        <v>1682</v>
      </c>
      <c r="C341" s="205" t="s">
        <v>92</v>
      </c>
      <c r="D341" s="205" t="s">
        <v>1683</v>
      </c>
      <c r="E341" s="205"/>
      <c r="F341" s="205">
        <v>2023</v>
      </c>
      <c r="G341" s="206" t="str">
        <f t="shared" ref="G341:G346" si="53">C341&amp;F341</f>
        <v>SRS122023</v>
      </c>
    </row>
    <row r="342" spans="1:7" ht="14.25" customHeight="1">
      <c r="A342" s="205" t="s">
        <v>1684</v>
      </c>
      <c r="B342" s="205" t="s">
        <v>1685</v>
      </c>
      <c r="C342" s="205" t="s">
        <v>256</v>
      </c>
      <c r="D342" s="205" t="s">
        <v>1686</v>
      </c>
      <c r="E342" s="205"/>
      <c r="F342" s="205">
        <v>2023</v>
      </c>
      <c r="G342" s="206" t="str">
        <f t="shared" si="53"/>
        <v>TEH122023</v>
      </c>
    </row>
    <row r="343" spans="1:7" ht="14.25" customHeight="1">
      <c r="A343" s="205" t="s">
        <v>1687</v>
      </c>
      <c r="B343" s="205" t="s">
        <v>1688</v>
      </c>
      <c r="C343" s="205" t="s">
        <v>258</v>
      </c>
      <c r="D343" s="205" t="s">
        <v>1689</v>
      </c>
      <c r="E343" s="205"/>
      <c r="F343" s="205">
        <v>2023</v>
      </c>
      <c r="G343" s="206" t="str">
        <f t="shared" si="53"/>
        <v>TEK122023</v>
      </c>
    </row>
    <row r="344" spans="1:7" ht="14.25" customHeight="1">
      <c r="A344" s="205" t="s">
        <v>1690</v>
      </c>
      <c r="B344" s="205" t="s">
        <v>1691</v>
      </c>
      <c r="C344" s="205" t="s">
        <v>260</v>
      </c>
      <c r="D344" s="205" t="s">
        <v>1692</v>
      </c>
      <c r="E344" s="205"/>
      <c r="F344" s="205">
        <v>2023</v>
      </c>
      <c r="G344" s="206" t="str">
        <f t="shared" si="53"/>
        <v>TEK162023</v>
      </c>
    </row>
    <row r="345" spans="1:7" ht="14.25" customHeight="1">
      <c r="A345" s="205" t="s">
        <v>1693</v>
      </c>
      <c r="B345" s="205" t="s">
        <v>1694</v>
      </c>
      <c r="C345" s="205" t="s">
        <v>262</v>
      </c>
      <c r="D345" s="205" t="s">
        <v>1695</v>
      </c>
      <c r="E345" s="205"/>
      <c r="F345" s="205">
        <v>2023</v>
      </c>
      <c r="G345" s="206" t="str">
        <f t="shared" si="53"/>
        <v>TEM122023</v>
      </c>
    </row>
    <row r="346" spans="1:7" ht="14.25" customHeight="1">
      <c r="A346" s="205" t="s">
        <v>1696</v>
      </c>
      <c r="B346" s="205" t="s">
        <v>1697</v>
      </c>
      <c r="C346" s="205" t="s">
        <v>57</v>
      </c>
      <c r="D346" s="205" t="s">
        <v>1698</v>
      </c>
      <c r="E346" s="205"/>
      <c r="F346" s="205">
        <v>2023</v>
      </c>
      <c r="G346" s="206" t="str">
        <f t="shared" si="53"/>
        <v>TRI202023</v>
      </c>
    </row>
    <row r="347" spans="1:7" ht="14.25" customHeight="1">
      <c r="A347" s="205" t="s">
        <v>1699</v>
      </c>
      <c r="B347" s="205" t="s">
        <v>1700</v>
      </c>
      <c r="C347" s="205" t="s">
        <v>704</v>
      </c>
      <c r="D347" s="205" t="s">
        <v>1701</v>
      </c>
      <c r="E347" s="205"/>
      <c r="F347" s="205">
        <v>2023</v>
      </c>
      <c r="G347" s="206" t="s">
        <v>1702</v>
      </c>
    </row>
    <row r="348" spans="1:7" ht="14.25" customHeight="1">
      <c r="A348" s="205" t="s">
        <v>1703</v>
      </c>
      <c r="B348" s="205" t="s">
        <v>1704</v>
      </c>
      <c r="C348" s="205" t="s">
        <v>101</v>
      </c>
      <c r="D348" s="205" t="s">
        <v>1705</v>
      </c>
      <c r="E348" s="205"/>
      <c r="F348" s="205">
        <v>2023</v>
      </c>
      <c r="G348" s="206" t="str">
        <f t="shared" ref="G348:G360" si="54">C348&amp;F348</f>
        <v>TTL162023</v>
      </c>
    </row>
    <row r="349" spans="1:7" ht="14.25" customHeight="1">
      <c r="A349" s="205" t="s">
        <v>1706</v>
      </c>
      <c r="B349" s="205" t="s">
        <v>1707</v>
      </c>
      <c r="C349" s="205" t="s">
        <v>230</v>
      </c>
      <c r="D349" s="205" t="s">
        <v>1708</v>
      </c>
      <c r="E349" s="205"/>
      <c r="F349" s="205">
        <v>2023</v>
      </c>
      <c r="G349" s="206" t="str">
        <f t="shared" si="54"/>
        <v>TWG162023</v>
      </c>
    </row>
    <row r="350" spans="1:7" ht="14.25" customHeight="1">
      <c r="A350" s="205" t="s">
        <v>1709</v>
      </c>
      <c r="B350" s="205" t="s">
        <v>1710</v>
      </c>
      <c r="C350" s="205" t="s">
        <v>239</v>
      </c>
      <c r="D350" s="205" t="s">
        <v>1711</v>
      </c>
      <c r="E350" s="205"/>
      <c r="F350" s="205">
        <v>2023</v>
      </c>
      <c r="G350" s="206" t="str">
        <f t="shared" si="54"/>
        <v>TWR122023</v>
      </c>
    </row>
    <row r="351" spans="1:7" ht="14.25" customHeight="1">
      <c r="A351" s="205" t="s">
        <v>1712</v>
      </c>
      <c r="B351" s="205" t="s">
        <v>1713</v>
      </c>
      <c r="C351" s="205" t="s">
        <v>227</v>
      </c>
      <c r="D351" s="205" t="s">
        <v>1714</v>
      </c>
      <c r="E351" s="205"/>
      <c r="F351" s="205">
        <v>2023</v>
      </c>
      <c r="G351" s="206" t="str">
        <f t="shared" si="54"/>
        <v>TWR162023</v>
      </c>
    </row>
    <row r="352" spans="1:7" ht="14.25" customHeight="1">
      <c r="A352" s="205" t="s">
        <v>1715</v>
      </c>
      <c r="B352" s="205" t="s">
        <v>1716</v>
      </c>
      <c r="C352" s="205" t="s">
        <v>224</v>
      </c>
      <c r="D352" s="205" t="s">
        <v>1717</v>
      </c>
      <c r="E352" s="205"/>
      <c r="F352" s="205">
        <v>2023</v>
      </c>
      <c r="G352" s="206" t="str">
        <f t="shared" si="54"/>
        <v>TWY162023</v>
      </c>
    </row>
    <row r="353" spans="1:7" ht="14.25" customHeight="1">
      <c r="A353" s="205" t="s">
        <v>1718</v>
      </c>
      <c r="B353" s="205" t="s">
        <v>1719</v>
      </c>
      <c r="C353" s="205" t="s">
        <v>1227</v>
      </c>
      <c r="D353" s="205" t="s">
        <v>1720</v>
      </c>
      <c r="E353" s="205"/>
      <c r="F353" s="205">
        <v>2023</v>
      </c>
      <c r="G353" s="206" t="str">
        <f t="shared" si="54"/>
        <v>UNT162023</v>
      </c>
    </row>
    <row r="354" spans="1:7" ht="14.25" customHeight="1">
      <c r="A354" s="205" t="s">
        <v>1721</v>
      </c>
      <c r="B354" s="205" t="s">
        <v>1722</v>
      </c>
      <c r="C354" s="205" t="s">
        <v>46</v>
      </c>
      <c r="D354" s="205" t="s">
        <v>1723</v>
      </c>
      <c r="E354" s="205"/>
      <c r="F354" s="205">
        <v>2023</v>
      </c>
      <c r="G354" s="206" t="str">
        <f t="shared" si="54"/>
        <v>VER202023</v>
      </c>
    </row>
    <row r="355" spans="1:7" ht="14.25" customHeight="1">
      <c r="A355" s="205" t="s">
        <v>1724</v>
      </c>
      <c r="B355" s="205" t="s">
        <v>1725</v>
      </c>
      <c r="C355" s="205" t="s">
        <v>67</v>
      </c>
      <c r="D355" s="205" t="s">
        <v>1726</v>
      </c>
      <c r="E355" s="205"/>
      <c r="F355" s="205">
        <v>2023</v>
      </c>
      <c r="G355" s="206" t="str">
        <f t="shared" si="54"/>
        <v>VGZ162023</v>
      </c>
    </row>
    <row r="356" spans="1:7" ht="14.25" customHeight="1">
      <c r="A356" s="205" t="s">
        <v>1727</v>
      </c>
      <c r="B356" s="205" t="s">
        <v>1728</v>
      </c>
      <c r="C356" s="205" t="s">
        <v>254</v>
      </c>
      <c r="D356" s="205" t="s">
        <v>1729</v>
      </c>
      <c r="E356" s="205"/>
      <c r="F356" s="205">
        <v>2023</v>
      </c>
      <c r="G356" s="206" t="str">
        <f t="shared" si="54"/>
        <v>VTX162023</v>
      </c>
    </row>
    <row r="357" spans="1:7" ht="14.25" customHeight="1">
      <c r="A357" s="205" t="s">
        <v>1730</v>
      </c>
      <c r="B357" s="205" t="s">
        <v>1731</v>
      </c>
      <c r="C357" s="205" t="s">
        <v>685</v>
      </c>
      <c r="D357" s="205" t="s">
        <v>1732</v>
      </c>
      <c r="E357" s="205"/>
      <c r="F357" s="205">
        <v>2023</v>
      </c>
      <c r="G357" s="206" t="str">
        <f t="shared" si="54"/>
        <v>ZIG162023</v>
      </c>
    </row>
    <row r="358" spans="1:7" ht="14.25" customHeight="1">
      <c r="A358" s="205" t="s">
        <v>1733</v>
      </c>
      <c r="B358" s="205" t="s">
        <v>1734</v>
      </c>
      <c r="C358" s="205" t="s">
        <v>720</v>
      </c>
      <c r="D358" s="205" t="s">
        <v>1735</v>
      </c>
      <c r="E358" s="205"/>
      <c r="F358" s="205">
        <v>2024</v>
      </c>
      <c r="G358" s="206" t="str">
        <f t="shared" si="54"/>
        <v>ALD122024</v>
      </c>
    </row>
    <row r="359" spans="1:7" ht="14.25" customHeight="1">
      <c r="A359" s="205" t="s">
        <v>1736</v>
      </c>
      <c r="B359" s="205" t="s">
        <v>1737</v>
      </c>
      <c r="C359" s="205" t="s">
        <v>721</v>
      </c>
      <c r="D359" s="205" t="s">
        <v>1738</v>
      </c>
      <c r="E359" s="205"/>
      <c r="F359" s="205">
        <v>2024</v>
      </c>
      <c r="G359" s="206" t="str">
        <f t="shared" si="54"/>
        <v>ALR122024</v>
      </c>
    </row>
    <row r="360" spans="1:7" ht="14.25" customHeight="1">
      <c r="A360" s="205" t="s">
        <v>1739</v>
      </c>
      <c r="B360" s="205" t="s">
        <v>1740</v>
      </c>
      <c r="C360" s="205" t="s">
        <v>273</v>
      </c>
      <c r="D360" s="205" t="s">
        <v>1741</v>
      </c>
      <c r="E360" s="205"/>
      <c r="F360" s="205">
        <v>2024</v>
      </c>
      <c r="G360" s="206" t="str">
        <f t="shared" si="54"/>
        <v>APB122024</v>
      </c>
    </row>
    <row r="361" spans="1:7" ht="14.25" customHeight="1">
      <c r="A361" s="205" t="s">
        <v>1742</v>
      </c>
      <c r="B361" s="205" t="s">
        <v>1743</v>
      </c>
      <c r="C361" s="205" t="s">
        <v>275</v>
      </c>
      <c r="D361" s="205" t="s">
        <v>1744</v>
      </c>
      <c r="E361" s="205"/>
      <c r="F361" s="205">
        <v>2024</v>
      </c>
      <c r="G361" s="206" t="s">
        <v>1745</v>
      </c>
    </row>
    <row r="362" spans="1:7" ht="14.25" customHeight="1">
      <c r="A362" s="205" t="s">
        <v>1742</v>
      </c>
      <c r="B362" s="205" t="s">
        <v>1746</v>
      </c>
      <c r="C362" s="205" t="s">
        <v>275</v>
      </c>
      <c r="D362" s="205" t="s">
        <v>1747</v>
      </c>
      <c r="E362" s="205"/>
      <c r="F362" s="205">
        <v>2024</v>
      </c>
      <c r="G362" s="206" t="s">
        <v>1748</v>
      </c>
    </row>
    <row r="363" spans="1:7" ht="14.25" customHeight="1">
      <c r="A363" s="205" t="s">
        <v>1749</v>
      </c>
      <c r="B363" s="205" t="s">
        <v>1750</v>
      </c>
      <c r="C363" s="205" t="s">
        <v>279</v>
      </c>
      <c r="D363" s="205" t="s">
        <v>1751</v>
      </c>
      <c r="E363" s="205"/>
      <c r="F363" s="205">
        <v>2024</v>
      </c>
      <c r="G363" s="206" t="s">
        <v>1752</v>
      </c>
    </row>
    <row r="364" spans="1:7" ht="14.25" customHeight="1">
      <c r="A364" s="205" t="s">
        <v>1753</v>
      </c>
      <c r="B364" s="205" t="s">
        <v>1754</v>
      </c>
      <c r="C364" s="205" t="s">
        <v>281</v>
      </c>
      <c r="D364" s="205" t="s">
        <v>1755</v>
      </c>
      <c r="E364" s="205"/>
      <c r="F364" s="205">
        <v>2024</v>
      </c>
      <c r="G364" s="206" t="str">
        <f t="shared" ref="G364:G370" si="55">C364&amp;F364</f>
        <v>API162024</v>
      </c>
    </row>
    <row r="365" spans="1:7" ht="14.25" customHeight="1">
      <c r="A365" s="205" t="s">
        <v>1753</v>
      </c>
      <c r="B365" s="205" t="s">
        <v>1756</v>
      </c>
      <c r="C365" s="205" t="s">
        <v>281</v>
      </c>
      <c r="D365" s="205" t="s">
        <v>1755</v>
      </c>
      <c r="E365" s="205"/>
      <c r="F365" s="205">
        <v>2024</v>
      </c>
      <c r="G365" s="206" t="str">
        <f t="shared" si="55"/>
        <v>API162024</v>
      </c>
    </row>
    <row r="366" spans="1:7" ht="14.25" customHeight="1">
      <c r="A366" s="205" t="s">
        <v>1753</v>
      </c>
      <c r="B366" s="205" t="s">
        <v>1757</v>
      </c>
      <c r="C366" s="205" t="s">
        <v>281</v>
      </c>
      <c r="D366" s="205" t="s">
        <v>1755</v>
      </c>
      <c r="E366" s="205"/>
      <c r="F366" s="205">
        <v>2024</v>
      </c>
      <c r="G366" s="206" t="str">
        <f t="shared" si="55"/>
        <v>API162024</v>
      </c>
    </row>
    <row r="367" spans="1:7" ht="14.25" customHeight="1">
      <c r="A367" s="205" t="s">
        <v>1758</v>
      </c>
      <c r="B367" s="205" t="s">
        <v>1759</v>
      </c>
      <c r="C367" s="205" t="s">
        <v>81</v>
      </c>
      <c r="D367" s="205" t="s">
        <v>1760</v>
      </c>
      <c r="E367" s="205"/>
      <c r="F367" s="205">
        <v>2024</v>
      </c>
      <c r="G367" s="206" t="str">
        <f t="shared" si="55"/>
        <v>ARB122024</v>
      </c>
    </row>
    <row r="368" spans="1:7" ht="14.25" customHeight="1">
      <c r="A368" s="205" t="s">
        <v>1761</v>
      </c>
      <c r="B368" s="205" t="s">
        <v>1762</v>
      </c>
      <c r="C368" s="205" t="s">
        <v>79</v>
      </c>
      <c r="D368" s="205" t="s">
        <v>1763</v>
      </c>
      <c r="E368" s="205"/>
      <c r="F368" s="205">
        <v>2024</v>
      </c>
      <c r="G368" s="206" t="str">
        <f t="shared" si="55"/>
        <v>ARK122024</v>
      </c>
    </row>
    <row r="369" spans="1:7" ht="14.25" customHeight="1">
      <c r="A369" s="205" t="s">
        <v>1764</v>
      </c>
      <c r="B369" s="205" t="s">
        <v>1765</v>
      </c>
      <c r="C369" s="205" t="s">
        <v>85</v>
      </c>
      <c r="D369" s="205" t="s">
        <v>1766</v>
      </c>
      <c r="E369" s="205"/>
      <c r="F369" s="205">
        <v>2024</v>
      </c>
      <c r="G369" s="206" t="str">
        <f t="shared" si="55"/>
        <v>ARL162024</v>
      </c>
    </row>
    <row r="370" spans="1:7" ht="14.25" customHeight="1">
      <c r="A370" s="205" t="s">
        <v>1767</v>
      </c>
      <c r="B370" s="205" t="s">
        <v>1768</v>
      </c>
      <c r="C370" s="205" t="s">
        <v>74</v>
      </c>
      <c r="D370" s="205" t="s">
        <v>1769</v>
      </c>
      <c r="E370" s="205"/>
      <c r="F370" s="205">
        <v>2024</v>
      </c>
      <c r="G370" s="206" t="str">
        <f t="shared" si="55"/>
        <v>ARM122024</v>
      </c>
    </row>
    <row r="371" spans="1:7" ht="14.25" customHeight="1">
      <c r="A371" s="205" t="s">
        <v>1770</v>
      </c>
      <c r="B371" s="205" t="s">
        <v>1771</v>
      </c>
      <c r="C371" s="205" t="s">
        <v>77</v>
      </c>
      <c r="D371" s="205" t="s">
        <v>1772</v>
      </c>
      <c r="E371" s="205"/>
      <c r="F371" s="205">
        <v>2024</v>
      </c>
      <c r="G371" s="206" t="s">
        <v>1773</v>
      </c>
    </row>
    <row r="372" spans="1:7" ht="14.25" customHeight="1">
      <c r="A372" s="205" t="s">
        <v>1774</v>
      </c>
      <c r="B372" s="205" t="s">
        <v>1775</v>
      </c>
      <c r="C372" s="205" t="s">
        <v>691</v>
      </c>
      <c r="D372" s="205" t="s">
        <v>1776</v>
      </c>
      <c r="E372" s="205"/>
      <c r="F372" s="205">
        <v>2024</v>
      </c>
      <c r="G372" s="206" t="str">
        <f t="shared" ref="G372:G380" si="56">C372&amp;F372</f>
        <v>AUL122024</v>
      </c>
    </row>
    <row r="373" spans="1:7" ht="14.25" customHeight="1">
      <c r="A373" s="205" t="s">
        <v>1777</v>
      </c>
      <c r="B373" s="205" t="s">
        <v>1778</v>
      </c>
      <c r="C373" s="205" t="s">
        <v>690</v>
      </c>
      <c r="D373" s="205" t="s">
        <v>1779</v>
      </c>
      <c r="E373" s="205"/>
      <c r="F373" s="205">
        <v>2024</v>
      </c>
      <c r="G373" s="206" t="str">
        <f t="shared" si="56"/>
        <v>AUL162024</v>
      </c>
    </row>
    <row r="374" spans="1:7" ht="14.25" customHeight="1">
      <c r="A374" s="205" t="s">
        <v>1780</v>
      </c>
      <c r="B374" s="205" t="s">
        <v>1781</v>
      </c>
      <c r="C374" s="205" t="s">
        <v>647</v>
      </c>
      <c r="D374" s="205" t="s">
        <v>1782</v>
      </c>
      <c r="E374" s="205"/>
      <c r="F374" s="205">
        <v>2024</v>
      </c>
      <c r="G374" s="206" t="str">
        <f t="shared" si="56"/>
        <v>AVM202024</v>
      </c>
    </row>
    <row r="375" spans="1:7" ht="14.25" customHeight="1">
      <c r="A375" s="205" t="s">
        <v>1783</v>
      </c>
      <c r="B375" s="205" t="s">
        <v>1781</v>
      </c>
      <c r="C375" s="205" t="s">
        <v>647</v>
      </c>
      <c r="D375" s="205" t="s">
        <v>1782</v>
      </c>
      <c r="E375" s="205"/>
      <c r="F375" s="205">
        <v>2024</v>
      </c>
      <c r="G375" s="206" t="str">
        <f t="shared" si="56"/>
        <v>AVM202024</v>
      </c>
    </row>
    <row r="376" spans="1:7" ht="14.25" customHeight="1">
      <c r="A376" s="205" t="s">
        <v>1784</v>
      </c>
      <c r="B376" s="205" t="s">
        <v>1781</v>
      </c>
      <c r="C376" s="205" t="s">
        <v>647</v>
      </c>
      <c r="D376" s="205" t="s">
        <v>1782</v>
      </c>
      <c r="E376" s="205"/>
      <c r="F376" s="205">
        <v>2024</v>
      </c>
      <c r="G376" s="206" t="str">
        <f t="shared" si="56"/>
        <v>AVM202024</v>
      </c>
    </row>
    <row r="377" spans="1:7" ht="14.25" customHeight="1">
      <c r="A377" s="205" t="s">
        <v>1785</v>
      </c>
      <c r="B377" s="205" t="s">
        <v>1781</v>
      </c>
      <c r="C377" s="205" t="s">
        <v>647</v>
      </c>
      <c r="D377" s="205" t="s">
        <v>1786</v>
      </c>
      <c r="E377" s="205"/>
      <c r="F377" s="205">
        <v>2024</v>
      </c>
      <c r="G377" s="206" t="str">
        <f t="shared" si="56"/>
        <v>AVM202024</v>
      </c>
    </row>
    <row r="378" spans="1:7" ht="14.25" customHeight="1">
      <c r="A378" s="205" t="s">
        <v>1787</v>
      </c>
      <c r="B378" s="205" t="s">
        <v>1788</v>
      </c>
      <c r="C378" s="205" t="s">
        <v>648</v>
      </c>
      <c r="D378" s="205" t="s">
        <v>1789</v>
      </c>
      <c r="E378" s="205"/>
      <c r="F378" s="205">
        <v>2024</v>
      </c>
      <c r="G378" s="206" t="str">
        <f t="shared" si="56"/>
        <v>AVR202024</v>
      </c>
    </row>
    <row r="379" spans="1:7" ht="14.25" customHeight="1">
      <c r="A379" s="205" t="s">
        <v>1790</v>
      </c>
      <c r="B379" s="205" t="s">
        <v>1788</v>
      </c>
      <c r="C379" s="205" t="s">
        <v>648</v>
      </c>
      <c r="D379" s="205" t="s">
        <v>1789</v>
      </c>
      <c r="E379" s="205"/>
      <c r="F379" s="205">
        <v>2024</v>
      </c>
      <c r="G379" s="206" t="str">
        <f t="shared" si="56"/>
        <v>AVR202024</v>
      </c>
    </row>
    <row r="380" spans="1:7" ht="14.25" customHeight="1">
      <c r="A380" s="205" t="s">
        <v>1791</v>
      </c>
      <c r="B380" s="205" t="s">
        <v>1788</v>
      </c>
      <c r="C380" s="205" t="s">
        <v>648</v>
      </c>
      <c r="D380" s="205" t="s">
        <v>1789</v>
      </c>
      <c r="E380" s="205"/>
      <c r="F380" s="205">
        <v>2024</v>
      </c>
      <c r="G380" s="206" t="str">
        <f t="shared" si="56"/>
        <v>AVR202024</v>
      </c>
    </row>
    <row r="381" spans="1:7" ht="14.25" customHeight="1">
      <c r="A381" s="205" t="s">
        <v>1792</v>
      </c>
      <c r="B381" s="205" t="s">
        <v>1788</v>
      </c>
      <c r="C381" s="205" t="s">
        <v>648</v>
      </c>
      <c r="D381" s="205" t="s">
        <v>1789</v>
      </c>
      <c r="E381" s="205"/>
      <c r="F381" s="205">
        <v>2024</v>
      </c>
      <c r="G381" s="206" t="s">
        <v>1793</v>
      </c>
    </row>
    <row r="382" spans="1:7" ht="14.25" customHeight="1">
      <c r="A382" s="205" t="s">
        <v>1794</v>
      </c>
      <c r="B382" s="205" t="s">
        <v>1795</v>
      </c>
      <c r="C382" s="205" t="s">
        <v>723</v>
      </c>
      <c r="D382" s="205" t="s">
        <v>1796</v>
      </c>
      <c r="E382" s="205"/>
      <c r="F382" s="205">
        <v>2024</v>
      </c>
      <c r="G382" s="206" t="s">
        <v>1793</v>
      </c>
    </row>
    <row r="383" spans="1:7" ht="14.25" customHeight="1">
      <c r="A383" s="205" t="s">
        <v>1797</v>
      </c>
      <c r="B383" s="205" t="s">
        <v>1798</v>
      </c>
      <c r="C383" s="205" t="s">
        <v>120</v>
      </c>
      <c r="D383" s="205" t="s">
        <v>1799</v>
      </c>
      <c r="E383" s="205"/>
      <c r="F383" s="205">
        <v>2024</v>
      </c>
      <c r="G383" s="206" t="s">
        <v>1800</v>
      </c>
    </row>
    <row r="384" spans="1:7" ht="14.25" customHeight="1">
      <c r="A384" s="205" t="s">
        <v>1801</v>
      </c>
      <c r="B384" s="205" t="s">
        <v>1802</v>
      </c>
      <c r="C384" s="205" t="s">
        <v>29</v>
      </c>
      <c r="D384" s="205" t="s">
        <v>1803</v>
      </c>
      <c r="E384" s="205"/>
      <c r="F384" s="205">
        <v>2024</v>
      </c>
      <c r="G384" s="206" t="str">
        <f t="shared" ref="G384:G386" si="57">C384&amp;F384</f>
        <v>BGS122024</v>
      </c>
    </row>
    <row r="385" spans="1:7" ht="14.25" customHeight="1">
      <c r="A385" s="205" t="s">
        <v>1804</v>
      </c>
      <c r="B385" s="205" t="s">
        <v>1805</v>
      </c>
      <c r="C385" s="205" t="s">
        <v>203</v>
      </c>
      <c r="D385" s="205" t="s">
        <v>1806</v>
      </c>
      <c r="E385" s="205"/>
      <c r="F385" s="205">
        <v>2024</v>
      </c>
      <c r="G385" s="206" t="str">
        <f t="shared" si="57"/>
        <v>BHU122024</v>
      </c>
    </row>
    <row r="386" spans="1:7" ht="14.25" customHeight="1">
      <c r="A386" s="205" t="s">
        <v>1807</v>
      </c>
      <c r="B386" s="205" t="s">
        <v>1808</v>
      </c>
      <c r="C386" s="205" t="s">
        <v>88</v>
      </c>
      <c r="D386" s="205" t="s">
        <v>1809</v>
      </c>
      <c r="E386" s="205"/>
      <c r="F386" s="205">
        <v>2024</v>
      </c>
      <c r="G386" s="206" t="str">
        <f t="shared" si="57"/>
        <v>BRW122024</v>
      </c>
    </row>
    <row r="387" spans="1:7" ht="14.25" customHeight="1">
      <c r="A387" s="205" t="s">
        <v>1810</v>
      </c>
      <c r="B387" s="205" t="s">
        <v>1811</v>
      </c>
      <c r="C387" s="205" t="s">
        <v>64</v>
      </c>
      <c r="D387" s="205" t="s">
        <v>1812</v>
      </c>
      <c r="E387" s="205"/>
      <c r="F387" s="205">
        <v>2024</v>
      </c>
      <c r="G387" s="206" t="s">
        <v>1813</v>
      </c>
    </row>
    <row r="388" spans="1:7" ht="14.25" customHeight="1">
      <c r="A388" s="205" t="s">
        <v>1814</v>
      </c>
      <c r="B388" s="205" t="s">
        <v>1815</v>
      </c>
      <c r="C388" s="205" t="s">
        <v>245</v>
      </c>
      <c r="D388" s="205" t="s">
        <v>1816</v>
      </c>
      <c r="E388" s="205"/>
      <c r="F388" s="205">
        <v>2024</v>
      </c>
      <c r="G388" s="206" t="s">
        <v>1813</v>
      </c>
    </row>
    <row r="389" spans="1:7" ht="14.25" customHeight="1">
      <c r="A389" s="205" t="s">
        <v>1817</v>
      </c>
      <c r="B389" s="205" t="s">
        <v>1818</v>
      </c>
      <c r="C389" s="205" t="s">
        <v>247</v>
      </c>
      <c r="D389" s="205" t="s">
        <v>1819</v>
      </c>
      <c r="E389" s="205"/>
      <c r="F389" s="205">
        <v>2024</v>
      </c>
      <c r="G389" s="206" t="s">
        <v>1813</v>
      </c>
    </row>
    <row r="390" spans="1:7" ht="14.25" customHeight="1">
      <c r="A390" s="205" t="s">
        <v>1817</v>
      </c>
      <c r="B390" s="205" t="s">
        <v>1820</v>
      </c>
      <c r="C390" s="205" t="s">
        <v>247</v>
      </c>
      <c r="D390" s="205" t="s">
        <v>1821</v>
      </c>
      <c r="E390" s="205"/>
      <c r="F390" s="205">
        <v>2024</v>
      </c>
      <c r="G390" s="206" t="s">
        <v>1813</v>
      </c>
    </row>
    <row r="391" spans="1:7" ht="14.25" customHeight="1">
      <c r="A391" s="205" t="s">
        <v>1822</v>
      </c>
      <c r="B391" s="205" t="s">
        <v>1823</v>
      </c>
      <c r="C391" s="205" t="s">
        <v>250</v>
      </c>
      <c r="D391" s="205" t="s">
        <v>1824</v>
      </c>
      <c r="E391" s="205"/>
      <c r="F391" s="205">
        <v>2024</v>
      </c>
      <c r="G391" s="206" t="s">
        <v>1825</v>
      </c>
    </row>
    <row r="392" spans="1:7" ht="14.25" customHeight="1">
      <c r="A392" s="205" t="s">
        <v>1826</v>
      </c>
      <c r="B392" s="205" t="s">
        <v>1827</v>
      </c>
      <c r="C392" s="205" t="s">
        <v>252</v>
      </c>
      <c r="D392" s="205" t="s">
        <v>1828</v>
      </c>
      <c r="E392" s="205"/>
      <c r="F392" s="205">
        <v>2024</v>
      </c>
      <c r="G392" s="206" t="str">
        <f t="shared" ref="G392:G400" si="58">C392&amp;F392</f>
        <v>DFI162024</v>
      </c>
    </row>
    <row r="393" spans="1:7" ht="14.25" customHeight="1">
      <c r="A393" s="205" t="s">
        <v>1829</v>
      </c>
      <c r="B393" s="205" t="s">
        <v>1830</v>
      </c>
      <c r="C393" s="205" t="s">
        <v>714</v>
      </c>
      <c r="D393" s="205" t="s">
        <v>1831</v>
      </c>
      <c r="E393" s="205"/>
      <c r="F393" s="205">
        <v>2024</v>
      </c>
      <c r="G393" s="206" t="str">
        <f t="shared" si="58"/>
        <v>DLA122024</v>
      </c>
    </row>
    <row r="394" spans="1:7" ht="14.25" customHeight="1">
      <c r="A394" s="205" t="s">
        <v>1832</v>
      </c>
      <c r="B394" s="205" t="s">
        <v>1830</v>
      </c>
      <c r="C394" s="205" t="s">
        <v>714</v>
      </c>
      <c r="D394" s="205" t="s">
        <v>1831</v>
      </c>
      <c r="E394" s="205"/>
      <c r="F394" s="205">
        <v>2024</v>
      </c>
      <c r="G394" s="206" t="str">
        <f t="shared" si="58"/>
        <v>DLA122024</v>
      </c>
    </row>
    <row r="395" spans="1:7" ht="14.25" customHeight="1">
      <c r="A395" s="205" t="s">
        <v>1833</v>
      </c>
      <c r="B395" s="205" t="s">
        <v>1834</v>
      </c>
      <c r="C395" s="205" t="s">
        <v>649</v>
      </c>
      <c r="D395" s="205" t="s">
        <v>1835</v>
      </c>
      <c r="E395" s="205"/>
      <c r="F395" s="205">
        <v>2024</v>
      </c>
      <c r="G395" s="206" t="str">
        <f t="shared" si="58"/>
        <v>DLE122024</v>
      </c>
    </row>
    <row r="396" spans="1:7" ht="14.25" customHeight="1">
      <c r="A396" s="205" t="s">
        <v>1836</v>
      </c>
      <c r="B396" s="205" t="s">
        <v>1837</v>
      </c>
      <c r="C396" s="205" t="s">
        <v>707</v>
      </c>
      <c r="D396" s="205" t="s">
        <v>1838</v>
      </c>
      <c r="E396" s="205"/>
      <c r="F396" s="205">
        <v>2024</v>
      </c>
      <c r="G396" s="206" t="str">
        <f t="shared" si="58"/>
        <v>DRE122024</v>
      </c>
    </row>
    <row r="397" spans="1:7" ht="14.25" customHeight="1">
      <c r="A397" s="205" t="s">
        <v>1839</v>
      </c>
      <c r="B397" s="205" t="s">
        <v>1840</v>
      </c>
      <c r="C397" s="205" t="s">
        <v>652</v>
      </c>
      <c r="D397" s="205" t="s">
        <v>1841</v>
      </c>
      <c r="E397" s="205"/>
      <c r="F397" s="205">
        <v>2024</v>
      </c>
      <c r="G397" s="206" t="str">
        <f t="shared" si="58"/>
        <v>DSB122024</v>
      </c>
    </row>
    <row r="398" spans="1:7" ht="14.25" customHeight="1">
      <c r="A398" s="205" t="s">
        <v>1842</v>
      </c>
      <c r="B398" s="205" t="s">
        <v>1843</v>
      </c>
      <c r="C398" s="205" t="s">
        <v>709</v>
      </c>
      <c r="D398" s="205" t="s">
        <v>1844</v>
      </c>
      <c r="E398" s="205"/>
      <c r="F398" s="205">
        <v>2024</v>
      </c>
      <c r="G398" s="206" t="str">
        <f t="shared" si="58"/>
        <v>DSB162024</v>
      </c>
    </row>
    <row r="399" spans="1:7" ht="14.25" customHeight="1">
      <c r="A399" s="205" t="s">
        <v>1845</v>
      </c>
      <c r="B399" s="205" t="s">
        <v>1846</v>
      </c>
      <c r="C399" s="205" t="s">
        <v>653</v>
      </c>
      <c r="D399" s="205" t="s">
        <v>1847</v>
      </c>
      <c r="E399" s="205"/>
      <c r="F399" s="205">
        <v>2024</v>
      </c>
      <c r="G399" s="206" t="str">
        <f t="shared" si="58"/>
        <v>DSE122024</v>
      </c>
    </row>
    <row r="400" spans="1:7" ht="14.25" customHeight="1">
      <c r="A400" s="205" t="s">
        <v>1848</v>
      </c>
      <c r="B400" s="205" t="s">
        <v>1846</v>
      </c>
      <c r="C400" s="205" t="s">
        <v>653</v>
      </c>
      <c r="D400" s="205" t="s">
        <v>1847</v>
      </c>
      <c r="E400" s="205"/>
      <c r="F400" s="205">
        <v>2024</v>
      </c>
      <c r="G400" s="206" t="str">
        <f t="shared" si="58"/>
        <v>DSE122024</v>
      </c>
    </row>
    <row r="401" spans="1:7" ht="14.25" customHeight="1">
      <c r="A401" s="205" t="s">
        <v>1849</v>
      </c>
      <c r="B401" s="205" t="s">
        <v>1850</v>
      </c>
      <c r="C401" s="205" t="s">
        <v>654</v>
      </c>
      <c r="D401" s="205" t="s">
        <v>1851</v>
      </c>
      <c r="E401" s="205"/>
      <c r="F401" s="205">
        <v>2024</v>
      </c>
      <c r="G401" s="206" t="s">
        <v>1852</v>
      </c>
    </row>
    <row r="402" spans="1:7" ht="14.25" customHeight="1">
      <c r="A402" s="205" t="s">
        <v>1853</v>
      </c>
      <c r="B402" s="205" t="s">
        <v>1850</v>
      </c>
      <c r="C402" s="205" t="s">
        <v>654</v>
      </c>
      <c r="D402" s="205" t="s">
        <v>1851</v>
      </c>
      <c r="E402" s="205"/>
      <c r="F402" s="205">
        <v>2024</v>
      </c>
      <c r="G402" s="206" t="s">
        <v>1854</v>
      </c>
    </row>
    <row r="403" spans="1:7" ht="14.25" customHeight="1">
      <c r="A403" s="205" t="s">
        <v>1855</v>
      </c>
      <c r="B403" s="205" t="s">
        <v>1856</v>
      </c>
      <c r="C403" s="205" t="s">
        <v>655</v>
      </c>
      <c r="D403" s="205" t="s">
        <v>1857</v>
      </c>
      <c r="E403" s="205"/>
      <c r="F403" s="205">
        <v>2024</v>
      </c>
      <c r="G403" s="206" t="str">
        <f t="shared" ref="G403:G405" si="59">C403&amp;F403</f>
        <v>DSS122024</v>
      </c>
    </row>
    <row r="404" spans="1:7" ht="14.25" customHeight="1">
      <c r="A404" s="205" t="s">
        <v>1858</v>
      </c>
      <c r="B404" s="205" t="s">
        <v>1859</v>
      </c>
      <c r="C404" s="205" t="s">
        <v>656</v>
      </c>
      <c r="D404" s="205" t="s">
        <v>1860</v>
      </c>
      <c r="E404" s="205"/>
      <c r="F404" s="205">
        <v>2024</v>
      </c>
      <c r="G404" s="206" t="str">
        <f t="shared" si="59"/>
        <v>DSS162024</v>
      </c>
    </row>
    <row r="405" spans="1:7" ht="14.25" customHeight="1">
      <c r="A405" s="205" t="s">
        <v>1861</v>
      </c>
      <c r="B405" s="205" t="s">
        <v>1862</v>
      </c>
      <c r="C405" s="205" t="s">
        <v>718</v>
      </c>
      <c r="D405" s="205" t="s">
        <v>1863</v>
      </c>
      <c r="E405" s="205"/>
      <c r="F405" s="205">
        <v>2024</v>
      </c>
      <c r="G405" s="206" t="str">
        <f t="shared" si="59"/>
        <v>DTC122024</v>
      </c>
    </row>
    <row r="406" spans="1:7" ht="14.25" customHeight="1">
      <c r="A406" s="205" t="s">
        <v>1864</v>
      </c>
      <c r="B406" s="205" t="s">
        <v>1865</v>
      </c>
      <c r="C406" s="205" t="s">
        <v>701</v>
      </c>
      <c r="D406" s="205" t="s">
        <v>1866</v>
      </c>
      <c r="E406" s="205"/>
      <c r="F406" s="205">
        <v>2024</v>
      </c>
      <c r="G406" s="206" t="s">
        <v>1867</v>
      </c>
    </row>
    <row r="407" spans="1:7" ht="14.25" customHeight="1">
      <c r="A407" s="205" t="s">
        <v>1868</v>
      </c>
      <c r="B407" s="205" t="s">
        <v>1869</v>
      </c>
      <c r="C407" s="205" t="s">
        <v>286</v>
      </c>
      <c r="D407" s="205" t="s">
        <v>1870</v>
      </c>
      <c r="E407" s="205"/>
      <c r="F407" s="205">
        <v>2024</v>
      </c>
      <c r="G407" s="206" t="s">
        <v>1871</v>
      </c>
    </row>
    <row r="408" spans="1:7" ht="14.25" customHeight="1">
      <c r="A408" s="205" t="s">
        <v>1872</v>
      </c>
      <c r="B408" s="205" t="s">
        <v>1873</v>
      </c>
      <c r="C408" s="205" t="s">
        <v>288</v>
      </c>
      <c r="D408" s="205" t="s">
        <v>1874</v>
      </c>
      <c r="E408" s="205"/>
      <c r="F408" s="205">
        <v>2024</v>
      </c>
      <c r="G408" s="206" t="str">
        <f t="shared" ref="G408:G426" si="60">C408&amp;F408</f>
        <v>GLY162024</v>
      </c>
    </row>
    <row r="409" spans="1:7" ht="14.25" customHeight="1">
      <c r="A409" s="205" t="s">
        <v>1875</v>
      </c>
      <c r="B409" s="205" t="s">
        <v>1876</v>
      </c>
      <c r="C409" s="205" t="s">
        <v>60</v>
      </c>
      <c r="D409" s="205" t="s">
        <v>1877</v>
      </c>
      <c r="E409" s="205"/>
      <c r="F409" s="205">
        <v>2024</v>
      </c>
      <c r="G409" s="206" t="str">
        <f t="shared" si="60"/>
        <v>GSS122024</v>
      </c>
    </row>
    <row r="410" spans="1:7" ht="14.25" customHeight="1">
      <c r="A410" s="205" t="s">
        <v>1878</v>
      </c>
      <c r="B410" s="205" t="s">
        <v>1879</v>
      </c>
      <c r="C410" s="205" t="s">
        <v>37</v>
      </c>
      <c r="D410" s="205" t="s">
        <v>1880</v>
      </c>
      <c r="E410" s="205"/>
      <c r="F410" s="205">
        <v>2024</v>
      </c>
      <c r="G410" s="206" t="str">
        <f t="shared" si="60"/>
        <v>KAM122024</v>
      </c>
    </row>
    <row r="411" spans="1:7" ht="14.25" customHeight="1">
      <c r="A411" s="205" t="s">
        <v>1881</v>
      </c>
      <c r="B411" s="205" t="s">
        <v>1882</v>
      </c>
      <c r="C411" s="205" t="s">
        <v>264</v>
      </c>
      <c r="D411" s="205" t="s">
        <v>1883</v>
      </c>
      <c r="E411" s="205"/>
      <c r="F411" s="205">
        <v>2024</v>
      </c>
      <c r="G411" s="206" t="str">
        <f t="shared" si="60"/>
        <v>KIT122024</v>
      </c>
    </row>
    <row r="412" spans="1:7" ht="14.25" customHeight="1">
      <c r="A412" s="205" t="s">
        <v>1884</v>
      </c>
      <c r="B412" s="205" t="s">
        <v>1885</v>
      </c>
      <c r="C412" s="205" t="s">
        <v>266</v>
      </c>
      <c r="D412" s="205" t="s">
        <v>1886</v>
      </c>
      <c r="E412" s="205"/>
      <c r="F412" s="205">
        <v>2024</v>
      </c>
      <c r="G412" s="206" t="str">
        <f t="shared" si="60"/>
        <v>KIT162024</v>
      </c>
    </row>
    <row r="413" spans="1:7" ht="14.25" customHeight="1">
      <c r="A413" s="205" t="s">
        <v>1887</v>
      </c>
      <c r="B413" s="205" t="s">
        <v>1888</v>
      </c>
      <c r="C413" s="205" t="s">
        <v>134</v>
      </c>
      <c r="D413" s="205" t="s">
        <v>1889</v>
      </c>
      <c r="E413" s="205"/>
      <c r="F413" s="205">
        <v>2024</v>
      </c>
      <c r="G413" s="206" t="str">
        <f t="shared" si="60"/>
        <v>KPT122024</v>
      </c>
    </row>
    <row r="414" spans="1:7" ht="14.25" customHeight="1">
      <c r="A414" s="205" t="s">
        <v>1890</v>
      </c>
      <c r="B414" s="205" t="s">
        <v>1891</v>
      </c>
      <c r="C414" s="205" t="s">
        <v>186</v>
      </c>
      <c r="D414" s="205" t="s">
        <v>1892</v>
      </c>
      <c r="E414" s="205"/>
      <c r="F414" s="205">
        <v>2024</v>
      </c>
      <c r="G414" s="206" t="str">
        <f t="shared" si="60"/>
        <v>LOJ122024</v>
      </c>
    </row>
    <row r="415" spans="1:7" ht="14.25" customHeight="1">
      <c r="A415" s="205" t="s">
        <v>1893</v>
      </c>
      <c r="B415" s="205" t="s">
        <v>1894</v>
      </c>
      <c r="C415" s="205" t="s">
        <v>189</v>
      </c>
      <c r="D415" s="205" t="s">
        <v>1895</v>
      </c>
      <c r="E415" s="205"/>
      <c r="F415" s="205">
        <v>2024</v>
      </c>
      <c r="G415" s="206" t="str">
        <f t="shared" si="60"/>
        <v>LOK122024</v>
      </c>
    </row>
    <row r="416" spans="1:7" ht="14.25" customHeight="1">
      <c r="A416" s="205" t="s">
        <v>1896</v>
      </c>
      <c r="B416" s="205" t="s">
        <v>1897</v>
      </c>
      <c r="C416" s="205" t="s">
        <v>679</v>
      </c>
      <c r="D416" s="205" t="s">
        <v>1898</v>
      </c>
      <c r="E416" s="205"/>
      <c r="F416" s="205">
        <v>2024</v>
      </c>
      <c r="G416" s="206" t="str">
        <f t="shared" si="60"/>
        <v>MBC122024</v>
      </c>
    </row>
    <row r="417" spans="1:7" ht="14.25" customHeight="1">
      <c r="A417" s="205" t="s">
        <v>1899</v>
      </c>
      <c r="B417" s="205" t="s">
        <v>1900</v>
      </c>
      <c r="C417" s="205" t="s">
        <v>679</v>
      </c>
      <c r="D417" s="205" t="s">
        <v>1901</v>
      </c>
      <c r="E417" s="205"/>
      <c r="F417" s="205">
        <v>2024</v>
      </c>
      <c r="G417" s="206" t="str">
        <f t="shared" si="60"/>
        <v>MBC122024</v>
      </c>
    </row>
    <row r="418" spans="1:7" ht="14.25" customHeight="1">
      <c r="A418" s="205" t="s">
        <v>1902</v>
      </c>
      <c r="B418" s="205" t="s">
        <v>1903</v>
      </c>
      <c r="C418" s="205" t="s">
        <v>678</v>
      </c>
      <c r="D418" s="205" t="s">
        <v>1904</v>
      </c>
      <c r="E418" s="205" t="s">
        <v>1470</v>
      </c>
      <c r="F418" s="205">
        <v>2024</v>
      </c>
      <c r="G418" s="206" t="str">
        <f t="shared" si="60"/>
        <v>MBG202024</v>
      </c>
    </row>
    <row r="419" spans="1:7" ht="14.25" customHeight="1">
      <c r="A419" s="205" t="s">
        <v>1905</v>
      </c>
      <c r="B419" s="205" t="s">
        <v>1906</v>
      </c>
      <c r="C419" s="205" t="s">
        <v>678</v>
      </c>
      <c r="D419" s="205" t="s">
        <v>1907</v>
      </c>
      <c r="E419" s="205" t="s">
        <v>1908</v>
      </c>
      <c r="F419" s="205">
        <v>2024</v>
      </c>
      <c r="G419" s="206" t="str">
        <f t="shared" si="60"/>
        <v>MBG202024</v>
      </c>
    </row>
    <row r="420" spans="1:7" ht="14.25" customHeight="1">
      <c r="A420" s="205" t="s">
        <v>1909</v>
      </c>
      <c r="B420" s="205" t="s">
        <v>1910</v>
      </c>
      <c r="C420" s="205" t="s">
        <v>657</v>
      </c>
      <c r="D420" s="205" t="s">
        <v>1911</v>
      </c>
      <c r="E420" s="205"/>
      <c r="F420" s="205">
        <v>2024</v>
      </c>
      <c r="G420" s="206" t="str">
        <f t="shared" si="60"/>
        <v>MBL202024</v>
      </c>
    </row>
    <row r="421" spans="1:7" ht="14.25" customHeight="1">
      <c r="A421" s="205" t="s">
        <v>1912</v>
      </c>
      <c r="B421" s="205" t="s">
        <v>1910</v>
      </c>
      <c r="C421" s="205" t="s">
        <v>657</v>
      </c>
      <c r="D421" s="205" t="s">
        <v>1911</v>
      </c>
      <c r="E421" s="205"/>
      <c r="F421" s="205">
        <v>2024</v>
      </c>
      <c r="G421" s="206" t="str">
        <f t="shared" si="60"/>
        <v>MBL202024</v>
      </c>
    </row>
    <row r="422" spans="1:7" ht="14.25" customHeight="1">
      <c r="A422" s="205" t="s">
        <v>1913</v>
      </c>
      <c r="B422" s="205" t="s">
        <v>1910</v>
      </c>
      <c r="C422" s="205" t="s">
        <v>657</v>
      </c>
      <c r="D422" s="205" t="s">
        <v>1911</v>
      </c>
      <c r="E422" s="205"/>
      <c r="F422" s="205">
        <v>2024</v>
      </c>
      <c r="G422" s="206" t="str">
        <f t="shared" si="60"/>
        <v>MBL202024</v>
      </c>
    </row>
    <row r="423" spans="1:7" ht="14.25" customHeight="1">
      <c r="A423" s="205" t="s">
        <v>1914</v>
      </c>
      <c r="B423" s="205" t="s">
        <v>1910</v>
      </c>
      <c r="C423" s="205" t="s">
        <v>657</v>
      </c>
      <c r="D423" s="205" t="s">
        <v>1911</v>
      </c>
      <c r="E423" s="205"/>
      <c r="F423" s="205">
        <v>2024</v>
      </c>
      <c r="G423" s="206" t="str">
        <f t="shared" si="60"/>
        <v>MBL202024</v>
      </c>
    </row>
    <row r="424" spans="1:7" ht="14.25" customHeight="1">
      <c r="A424" s="205" t="s">
        <v>1915</v>
      </c>
      <c r="B424" s="205" t="s">
        <v>1910</v>
      </c>
      <c r="C424" s="205" t="s">
        <v>657</v>
      </c>
      <c r="D424" s="205" t="s">
        <v>1911</v>
      </c>
      <c r="E424" s="205"/>
      <c r="F424" s="205">
        <v>2024</v>
      </c>
      <c r="G424" s="206" t="str">
        <f t="shared" si="60"/>
        <v>MBL202024</v>
      </c>
    </row>
    <row r="425" spans="1:7" ht="14.25" customHeight="1">
      <c r="A425" s="205" t="s">
        <v>1916</v>
      </c>
      <c r="B425" s="205" t="s">
        <v>1917</v>
      </c>
      <c r="C425" s="205" t="s">
        <v>658</v>
      </c>
      <c r="D425" s="205" t="s">
        <v>1918</v>
      </c>
      <c r="E425" s="205"/>
      <c r="F425" s="205">
        <v>2024</v>
      </c>
      <c r="G425" s="206" t="str">
        <f t="shared" si="60"/>
        <v>MBR202024</v>
      </c>
    </row>
    <row r="426" spans="1:7" ht="14.25" customHeight="1">
      <c r="A426" s="205" t="s">
        <v>1919</v>
      </c>
      <c r="B426" s="205" t="s">
        <v>1917</v>
      </c>
      <c r="C426" s="205" t="s">
        <v>658</v>
      </c>
      <c r="D426" s="205" t="s">
        <v>1918</v>
      </c>
      <c r="E426" s="205"/>
      <c r="F426" s="205">
        <v>2024</v>
      </c>
      <c r="G426" s="206" t="str">
        <f t="shared" si="60"/>
        <v>MBR202024</v>
      </c>
    </row>
    <row r="427" spans="1:7" ht="14.25" customHeight="1">
      <c r="A427" s="205" t="s">
        <v>1920</v>
      </c>
      <c r="B427" s="205" t="s">
        <v>1917</v>
      </c>
      <c r="C427" s="205" t="s">
        <v>658</v>
      </c>
      <c r="D427" s="205" t="s">
        <v>1918</v>
      </c>
      <c r="E427" s="205"/>
      <c r="F427" s="205">
        <v>2024</v>
      </c>
      <c r="G427" s="206" t="s">
        <v>1921</v>
      </c>
    </row>
    <row r="428" spans="1:7" ht="14.25" customHeight="1">
      <c r="A428" s="205" t="s">
        <v>1922</v>
      </c>
      <c r="B428" s="205" t="s">
        <v>1917</v>
      </c>
      <c r="C428" s="205" t="s">
        <v>658</v>
      </c>
      <c r="D428" s="205" t="s">
        <v>1918</v>
      </c>
      <c r="E428" s="205"/>
      <c r="F428" s="205">
        <v>2024</v>
      </c>
      <c r="G428" s="206" t="s">
        <v>1921</v>
      </c>
    </row>
    <row r="429" spans="1:7" ht="14.25" customHeight="1">
      <c r="A429" s="205" t="s">
        <v>1923</v>
      </c>
      <c r="B429" s="205" t="s">
        <v>1917</v>
      </c>
      <c r="C429" s="205" t="s">
        <v>658</v>
      </c>
      <c r="D429" s="205" t="s">
        <v>1918</v>
      </c>
      <c r="E429" s="205"/>
      <c r="F429" s="205">
        <v>2024</v>
      </c>
      <c r="G429" s="206" t="s">
        <v>1921</v>
      </c>
    </row>
    <row r="430" spans="1:7" ht="14.25" customHeight="1">
      <c r="A430" s="205" t="s">
        <v>1924</v>
      </c>
      <c r="B430" s="205" t="s">
        <v>1925</v>
      </c>
      <c r="C430" s="205" t="s">
        <v>705</v>
      </c>
      <c r="D430" s="205" t="s">
        <v>1926</v>
      </c>
      <c r="E430" s="205"/>
      <c r="F430" s="205">
        <v>2024</v>
      </c>
      <c r="G430" s="206" t="str">
        <f t="shared" ref="G430:G439" si="61">C430&amp;F430</f>
        <v>MCO122024</v>
      </c>
    </row>
    <row r="431" spans="1:7" ht="14.25" customHeight="1">
      <c r="A431" s="205" t="s">
        <v>1927</v>
      </c>
      <c r="B431" s="205" t="s">
        <v>1928</v>
      </c>
      <c r="C431" s="205" t="s">
        <v>724</v>
      </c>
      <c r="D431" s="205" t="s">
        <v>1929</v>
      </c>
      <c r="E431" s="205"/>
      <c r="F431" s="205">
        <v>2024</v>
      </c>
      <c r="G431" s="206" t="str">
        <f t="shared" si="61"/>
        <v>MCS122024</v>
      </c>
    </row>
    <row r="432" spans="1:7" ht="14.25" customHeight="1">
      <c r="A432" s="205" t="s">
        <v>1930</v>
      </c>
      <c r="B432" s="205" t="s">
        <v>1931</v>
      </c>
      <c r="C432" s="205" t="s">
        <v>659</v>
      </c>
      <c r="D432" s="205" t="s">
        <v>1932</v>
      </c>
      <c r="E432" s="205"/>
      <c r="F432" s="205">
        <v>2024</v>
      </c>
      <c r="G432" s="206" t="str">
        <f t="shared" si="61"/>
        <v>MFB122024</v>
      </c>
    </row>
    <row r="433" spans="1:7" ht="14.25" customHeight="1">
      <c r="A433" s="205" t="s">
        <v>1933</v>
      </c>
      <c r="B433" s="205" t="s">
        <v>1934</v>
      </c>
      <c r="C433" s="205" t="s">
        <v>673</v>
      </c>
      <c r="D433" s="205" t="s">
        <v>1935</v>
      </c>
      <c r="E433" s="205"/>
      <c r="F433" s="205">
        <v>2024</v>
      </c>
      <c r="G433" s="206" t="str">
        <f t="shared" si="61"/>
        <v>MFB162024</v>
      </c>
    </row>
    <row r="434" spans="1:7" ht="14.25" customHeight="1">
      <c r="A434" s="205" t="s">
        <v>1936</v>
      </c>
      <c r="B434" s="205" t="s">
        <v>1937</v>
      </c>
      <c r="C434" s="205" t="s">
        <v>660</v>
      </c>
      <c r="D434" s="205" t="s">
        <v>1938</v>
      </c>
      <c r="E434" s="205"/>
      <c r="F434" s="205">
        <v>2024</v>
      </c>
      <c r="G434" s="206" t="str">
        <f t="shared" si="61"/>
        <v>MFB202024</v>
      </c>
    </row>
    <row r="435" spans="1:7" ht="14.25" customHeight="1">
      <c r="A435" s="205" t="s">
        <v>1939</v>
      </c>
      <c r="B435" s="205" t="s">
        <v>1940</v>
      </c>
      <c r="C435" s="205" t="s">
        <v>684</v>
      </c>
      <c r="D435" s="205" t="s">
        <v>1941</v>
      </c>
      <c r="E435" s="205" t="s">
        <v>1515</v>
      </c>
      <c r="F435" s="205">
        <v>2024</v>
      </c>
      <c r="G435" s="206" t="str">
        <f t="shared" si="61"/>
        <v>MFE202024</v>
      </c>
    </row>
    <row r="436" spans="1:7" ht="14.25" customHeight="1">
      <c r="A436" s="205" t="s">
        <v>1942</v>
      </c>
      <c r="B436" s="205" t="s">
        <v>1943</v>
      </c>
      <c r="C436" s="205" t="s">
        <v>684</v>
      </c>
      <c r="D436" s="205" t="s">
        <v>1944</v>
      </c>
      <c r="E436" s="205" t="s">
        <v>1945</v>
      </c>
      <c r="F436" s="205">
        <v>2024</v>
      </c>
      <c r="G436" s="206" t="str">
        <f t="shared" si="61"/>
        <v>MFE202024</v>
      </c>
    </row>
    <row r="437" spans="1:7" ht="14.25" customHeight="1">
      <c r="A437" s="205" t="s">
        <v>1946</v>
      </c>
      <c r="B437" s="205" t="s">
        <v>1947</v>
      </c>
      <c r="C437" s="205" t="s">
        <v>713</v>
      </c>
      <c r="D437" s="205" t="s">
        <v>1948</v>
      </c>
      <c r="E437" s="205"/>
      <c r="F437" s="205">
        <v>2024</v>
      </c>
      <c r="G437" s="206" t="str">
        <f t="shared" si="61"/>
        <v>MGA162024</v>
      </c>
    </row>
    <row r="438" spans="1:7" ht="14.25" customHeight="1">
      <c r="A438" s="205" t="s">
        <v>1949</v>
      </c>
      <c r="B438" s="205" t="s">
        <v>1950</v>
      </c>
      <c r="C438" s="205" t="s">
        <v>728</v>
      </c>
      <c r="D438" s="205" t="s">
        <v>1951</v>
      </c>
      <c r="E438" s="205"/>
      <c r="F438" s="205">
        <v>2024</v>
      </c>
      <c r="G438" s="206" t="str">
        <f t="shared" si="61"/>
        <v>MKB122024</v>
      </c>
    </row>
    <row r="439" spans="1:7" ht="14.25" customHeight="1">
      <c r="A439" s="205" t="s">
        <v>1952</v>
      </c>
      <c r="B439" s="205" t="s">
        <v>1953</v>
      </c>
      <c r="C439" s="205" t="s">
        <v>726</v>
      </c>
      <c r="D439" s="205" t="s">
        <v>1954</v>
      </c>
      <c r="E439" s="205"/>
      <c r="F439" s="205">
        <v>2024</v>
      </c>
      <c r="G439" s="206" t="str">
        <f t="shared" si="61"/>
        <v>MKC122024</v>
      </c>
    </row>
    <row r="440" spans="1:7" ht="14.25" customHeight="1">
      <c r="A440" s="205" t="s">
        <v>1955</v>
      </c>
      <c r="B440" s="205" t="s">
        <v>1956</v>
      </c>
      <c r="C440" s="205" t="s">
        <v>725</v>
      </c>
      <c r="D440" s="205" t="s">
        <v>1957</v>
      </c>
      <c r="E440" s="205"/>
      <c r="F440" s="205">
        <v>2024</v>
      </c>
      <c r="G440" s="206" t="s">
        <v>1958</v>
      </c>
    </row>
    <row r="441" spans="1:7" ht="14.25" customHeight="1">
      <c r="A441" s="205" t="s">
        <v>1959</v>
      </c>
      <c r="B441" s="205" t="s">
        <v>1960</v>
      </c>
      <c r="C441" s="205" t="s">
        <v>711</v>
      </c>
      <c r="D441" s="205" t="s">
        <v>1961</v>
      </c>
      <c r="E441" s="205"/>
      <c r="F441" s="205">
        <v>2024</v>
      </c>
      <c r="G441" s="206" t="s">
        <v>1958</v>
      </c>
    </row>
    <row r="442" spans="1:7" ht="14.25" customHeight="1">
      <c r="A442" s="205" t="s">
        <v>1962</v>
      </c>
      <c r="B442" s="205" t="s">
        <v>1963</v>
      </c>
      <c r="C442" s="205" t="s">
        <v>717</v>
      </c>
      <c r="D442" s="205" t="s">
        <v>1964</v>
      </c>
      <c r="E442" s="205"/>
      <c r="F442" s="205">
        <v>2024</v>
      </c>
      <c r="G442" s="206" t="s">
        <v>1958</v>
      </c>
    </row>
    <row r="443" spans="1:7" ht="14.25" customHeight="1">
      <c r="A443" s="205" t="s">
        <v>1965</v>
      </c>
      <c r="B443" s="205" t="s">
        <v>1966</v>
      </c>
      <c r="C443" s="205" t="s">
        <v>661</v>
      </c>
      <c r="D443" s="205" t="s">
        <v>1967</v>
      </c>
      <c r="E443" s="205"/>
      <c r="F443" s="205">
        <v>2024</v>
      </c>
      <c r="G443" s="206" t="s">
        <v>1958</v>
      </c>
    </row>
    <row r="444" spans="1:7" ht="14.25" customHeight="1">
      <c r="A444" s="205" t="s">
        <v>1968</v>
      </c>
      <c r="B444" s="205" t="s">
        <v>1969</v>
      </c>
      <c r="C444" s="205" t="s">
        <v>662</v>
      </c>
      <c r="D444" s="205" t="s">
        <v>1970</v>
      </c>
      <c r="E444" s="205"/>
      <c r="F444" s="205">
        <v>2024</v>
      </c>
      <c r="G444" s="206" t="s">
        <v>1971</v>
      </c>
    </row>
    <row r="445" spans="1:7" ht="14.25" customHeight="1">
      <c r="A445" s="205" t="s">
        <v>1972</v>
      </c>
      <c r="B445" s="205" t="s">
        <v>1969</v>
      </c>
      <c r="C445" s="205" t="s">
        <v>662</v>
      </c>
      <c r="D445" s="205" t="s">
        <v>1970</v>
      </c>
      <c r="E445" s="205"/>
      <c r="F445" s="205">
        <v>2024</v>
      </c>
      <c r="G445" s="206" t="s">
        <v>1973</v>
      </c>
    </row>
    <row r="446" spans="1:7" ht="14.25" customHeight="1">
      <c r="A446" s="205" t="s">
        <v>1974</v>
      </c>
      <c r="B446" s="205" t="s">
        <v>1969</v>
      </c>
      <c r="C446" s="205" t="s">
        <v>662</v>
      </c>
      <c r="D446" s="205" t="s">
        <v>1970</v>
      </c>
      <c r="E446" s="205"/>
      <c r="F446" s="205">
        <v>2024</v>
      </c>
      <c r="G446" s="206" t="s">
        <v>1975</v>
      </c>
    </row>
    <row r="447" spans="1:7" ht="14.25" customHeight="1">
      <c r="A447" s="205" t="s">
        <v>1976</v>
      </c>
      <c r="B447" s="205" t="s">
        <v>1969</v>
      </c>
      <c r="C447" s="205" t="s">
        <v>662</v>
      </c>
      <c r="D447" s="205" t="s">
        <v>1970</v>
      </c>
      <c r="E447" s="205"/>
      <c r="F447" s="205">
        <v>2024</v>
      </c>
      <c r="G447" s="206" t="s">
        <v>1975</v>
      </c>
    </row>
    <row r="448" spans="1:7" ht="14.25" customHeight="1">
      <c r="A448" s="205" t="s">
        <v>1977</v>
      </c>
      <c r="B448" s="205" t="s">
        <v>1969</v>
      </c>
      <c r="C448" s="205" t="s">
        <v>662</v>
      </c>
      <c r="D448" s="205" t="s">
        <v>1970</v>
      </c>
      <c r="E448" s="205"/>
      <c r="F448" s="205">
        <v>2024</v>
      </c>
      <c r="G448" s="206" t="s">
        <v>1978</v>
      </c>
    </row>
    <row r="449" spans="1:7" ht="14.25" customHeight="1">
      <c r="A449" s="205" t="s">
        <v>1979</v>
      </c>
      <c r="B449" s="205" t="s">
        <v>1969</v>
      </c>
      <c r="C449" s="205" t="s">
        <v>662</v>
      </c>
      <c r="D449" s="205" t="s">
        <v>1970</v>
      </c>
      <c r="E449" s="205"/>
      <c r="F449" s="205">
        <v>2024</v>
      </c>
      <c r="G449" s="206" t="str">
        <f t="shared" ref="G449:G452" si="62">C449&amp;F449</f>
        <v>MLD162024</v>
      </c>
    </row>
    <row r="450" spans="1:7" ht="14.25" customHeight="1">
      <c r="A450" s="205" t="s">
        <v>1980</v>
      </c>
      <c r="B450" s="205" t="s">
        <v>1981</v>
      </c>
      <c r="C450" s="205" t="s">
        <v>674</v>
      </c>
      <c r="D450" s="205" t="s">
        <v>1982</v>
      </c>
      <c r="E450" s="205"/>
      <c r="F450" s="205">
        <v>2024</v>
      </c>
      <c r="G450" s="206" t="str">
        <f t="shared" si="62"/>
        <v>MLD502024</v>
      </c>
    </row>
    <row r="451" spans="1:7" ht="14.25" customHeight="1">
      <c r="A451" s="205" t="s">
        <v>1983</v>
      </c>
      <c r="B451" s="205" t="s">
        <v>1984</v>
      </c>
      <c r="C451" s="205" t="s">
        <v>676</v>
      </c>
      <c r="D451" s="205" t="s">
        <v>1985</v>
      </c>
      <c r="E451" s="205" t="s">
        <v>1543</v>
      </c>
      <c r="F451" s="205">
        <v>2024</v>
      </c>
      <c r="G451" s="206" t="str">
        <f t="shared" si="62"/>
        <v>MLG202024</v>
      </c>
    </row>
    <row r="452" spans="1:7" ht="14.25" customHeight="1">
      <c r="A452" s="205" t="s">
        <v>1986</v>
      </c>
      <c r="B452" s="205" t="s">
        <v>1987</v>
      </c>
      <c r="C452" s="205" t="s">
        <v>676</v>
      </c>
      <c r="D452" s="205" t="s">
        <v>1988</v>
      </c>
      <c r="E452" s="205" t="s">
        <v>1989</v>
      </c>
      <c r="F452" s="205">
        <v>2024</v>
      </c>
      <c r="G452" s="206" t="str">
        <f t="shared" si="62"/>
        <v>MLG202024</v>
      </c>
    </row>
    <row r="453" spans="1:7" ht="14.25" customHeight="1">
      <c r="A453" s="205" t="s">
        <v>1990</v>
      </c>
      <c r="B453" s="205" t="s">
        <v>1991</v>
      </c>
      <c r="C453" s="205" t="s">
        <v>677</v>
      </c>
      <c r="D453" s="205" t="s">
        <v>1992</v>
      </c>
      <c r="E453" s="205" t="s">
        <v>1551</v>
      </c>
      <c r="F453" s="205">
        <v>2024</v>
      </c>
      <c r="G453" s="206" t="s">
        <v>1993</v>
      </c>
    </row>
    <row r="454" spans="1:7" ht="14.25" customHeight="1">
      <c r="A454" s="205" t="s">
        <v>1994</v>
      </c>
      <c r="B454" s="205" t="s">
        <v>1995</v>
      </c>
      <c r="C454" s="205" t="s">
        <v>677</v>
      </c>
      <c r="D454" s="205" t="s">
        <v>1996</v>
      </c>
      <c r="E454" s="205" t="s">
        <v>1997</v>
      </c>
      <c r="F454" s="205">
        <v>2024</v>
      </c>
      <c r="G454" s="206" t="str">
        <f t="shared" ref="G454:G457" si="63">C454&amp;F454</f>
        <v>MMG202024</v>
      </c>
    </row>
    <row r="455" spans="1:7" ht="14.25" customHeight="1">
      <c r="A455" s="205" t="s">
        <v>1998</v>
      </c>
      <c r="B455" s="205" t="s">
        <v>1999</v>
      </c>
      <c r="C455" s="205" t="s">
        <v>665</v>
      </c>
      <c r="D455" s="205" t="s">
        <v>2000</v>
      </c>
      <c r="E455" s="205"/>
      <c r="F455" s="205">
        <v>2024</v>
      </c>
      <c r="G455" s="206" t="str">
        <f t="shared" si="63"/>
        <v>MMI202024</v>
      </c>
    </row>
    <row r="456" spans="1:7" ht="14.25" customHeight="1">
      <c r="A456" s="205" t="s">
        <v>2001</v>
      </c>
      <c r="B456" s="205" t="s">
        <v>1999</v>
      </c>
      <c r="C456" s="205" t="s">
        <v>665</v>
      </c>
      <c r="D456" s="205" t="s">
        <v>2000</v>
      </c>
      <c r="E456" s="205"/>
      <c r="F456" s="205">
        <v>2024</v>
      </c>
      <c r="G456" s="206" t="str">
        <f t="shared" si="63"/>
        <v>MMI202024</v>
      </c>
    </row>
    <row r="457" spans="1:7" ht="14.25" customHeight="1">
      <c r="A457" s="205" t="s">
        <v>2002</v>
      </c>
      <c r="B457" s="205" t="s">
        <v>1999</v>
      </c>
      <c r="C457" s="205" t="s">
        <v>665</v>
      </c>
      <c r="D457" s="205" t="s">
        <v>2000</v>
      </c>
      <c r="E457" s="205"/>
      <c r="F457" s="205">
        <v>2024</v>
      </c>
      <c r="G457" s="206" t="str">
        <f t="shared" si="63"/>
        <v>MMI202024</v>
      </c>
    </row>
    <row r="458" spans="1:7" ht="14.25" customHeight="1">
      <c r="A458" s="205" t="s">
        <v>2003</v>
      </c>
      <c r="B458" s="205" t="s">
        <v>1999</v>
      </c>
      <c r="C458" s="205" t="s">
        <v>665</v>
      </c>
      <c r="D458" s="205" t="s">
        <v>2000</v>
      </c>
      <c r="E458" s="205"/>
      <c r="F458" s="205">
        <v>2024</v>
      </c>
      <c r="G458" s="206" t="s">
        <v>2004</v>
      </c>
    </row>
    <row r="459" spans="1:7" ht="14.25" customHeight="1">
      <c r="A459" s="205" t="s">
        <v>2005</v>
      </c>
      <c r="B459" s="205" t="s">
        <v>1999</v>
      </c>
      <c r="C459" s="205" t="s">
        <v>665</v>
      </c>
      <c r="D459" s="205" t="s">
        <v>2000</v>
      </c>
      <c r="E459" s="205"/>
      <c r="F459" s="205">
        <v>2024</v>
      </c>
      <c r="G459" s="206" t="s">
        <v>2004</v>
      </c>
    </row>
    <row r="460" spans="1:7" ht="14.25" customHeight="1">
      <c r="A460" s="205" t="s">
        <v>2006</v>
      </c>
      <c r="B460" s="205" t="s">
        <v>1999</v>
      </c>
      <c r="C460" s="205" t="s">
        <v>665</v>
      </c>
      <c r="D460" s="205" t="s">
        <v>2000</v>
      </c>
      <c r="E460" s="205"/>
      <c r="F460" s="205">
        <v>2024</v>
      </c>
      <c r="G460" s="206" t="str">
        <f t="shared" ref="G460:G461" si="64">C460&amp;F460</f>
        <v>MMI202024</v>
      </c>
    </row>
    <row r="461" spans="1:7" ht="14.25" customHeight="1">
      <c r="A461" s="205" t="s">
        <v>2007</v>
      </c>
      <c r="B461" s="205" t="s">
        <v>2008</v>
      </c>
      <c r="C461" s="205" t="s">
        <v>706</v>
      </c>
      <c r="D461" s="205" t="s">
        <v>2009</v>
      </c>
      <c r="E461" s="205"/>
      <c r="F461" s="205">
        <v>2024</v>
      </c>
      <c r="G461" s="206" t="str">
        <f t="shared" si="64"/>
        <v>MRL162024</v>
      </c>
    </row>
    <row r="462" spans="1:7" ht="14.25" customHeight="1">
      <c r="A462" s="205" t="s">
        <v>2010</v>
      </c>
      <c r="B462" s="205" t="s">
        <v>2008</v>
      </c>
      <c r="C462" s="205" t="s">
        <v>706</v>
      </c>
      <c r="D462" s="205" t="s">
        <v>2011</v>
      </c>
      <c r="E462" s="205"/>
      <c r="F462" s="205">
        <v>2024</v>
      </c>
      <c r="G462" s="206" t="s">
        <v>2012</v>
      </c>
    </row>
    <row r="463" spans="1:7" ht="14.25" customHeight="1">
      <c r="A463" s="205" t="s">
        <v>2013</v>
      </c>
      <c r="B463" s="205" t="s">
        <v>2008</v>
      </c>
      <c r="C463" s="205" t="s">
        <v>706</v>
      </c>
      <c r="D463" s="205" t="s">
        <v>2011</v>
      </c>
      <c r="E463" s="205"/>
      <c r="F463" s="205">
        <v>2024</v>
      </c>
      <c r="G463" s="206" t="str">
        <f t="shared" ref="G463:G464" si="65">C463&amp;F463</f>
        <v>MRL162024</v>
      </c>
    </row>
    <row r="464" spans="1:7" ht="14.25" customHeight="1">
      <c r="A464" s="205" t="s">
        <v>2014</v>
      </c>
      <c r="B464" s="205" t="s">
        <v>2015</v>
      </c>
      <c r="C464" s="205" t="s">
        <v>708</v>
      </c>
      <c r="D464" s="205" t="s">
        <v>1951</v>
      </c>
      <c r="E464" s="205"/>
      <c r="F464" s="205">
        <v>2024</v>
      </c>
      <c r="G464" s="206" t="str">
        <f t="shared" si="65"/>
        <v>MSB122024</v>
      </c>
    </row>
    <row r="465" spans="1:7" ht="14.25" customHeight="1">
      <c r="A465" s="205" t="s">
        <v>2016</v>
      </c>
      <c r="B465" s="205" t="s">
        <v>2017</v>
      </c>
      <c r="C465" s="205" t="s">
        <v>703</v>
      </c>
      <c r="D465" s="205" t="s">
        <v>2018</v>
      </c>
      <c r="E465" s="205"/>
      <c r="F465" s="205">
        <v>2024</v>
      </c>
      <c r="G465" s="206" t="s">
        <v>2019</v>
      </c>
    </row>
    <row r="466" spans="1:7" ht="14.25" customHeight="1">
      <c r="A466" s="205" t="s">
        <v>2020</v>
      </c>
      <c r="B466" s="205" t="s">
        <v>2021</v>
      </c>
      <c r="C466" s="205" t="s">
        <v>681</v>
      </c>
      <c r="D466" s="205" t="s">
        <v>2022</v>
      </c>
      <c r="E466" s="205"/>
      <c r="F466" s="205">
        <v>2024</v>
      </c>
      <c r="G466" s="206" t="s">
        <v>2023</v>
      </c>
    </row>
    <row r="467" spans="1:7" ht="14.25" customHeight="1">
      <c r="A467" s="205" t="s">
        <v>2024</v>
      </c>
      <c r="B467" s="205" t="s">
        <v>2025</v>
      </c>
      <c r="C467" s="205" t="s">
        <v>666</v>
      </c>
      <c r="D467" s="205" t="s">
        <v>2026</v>
      </c>
      <c r="E467" s="205"/>
      <c r="F467" s="205">
        <v>2024</v>
      </c>
      <c r="G467" s="206" t="s">
        <v>2027</v>
      </c>
    </row>
    <row r="468" spans="1:7" ht="14.25" customHeight="1">
      <c r="A468" s="205" t="s">
        <v>2028</v>
      </c>
      <c r="B468" s="205" t="s">
        <v>2025</v>
      </c>
      <c r="C468" s="205" t="s">
        <v>666</v>
      </c>
      <c r="D468" s="205" t="s">
        <v>2026</v>
      </c>
      <c r="E468" s="205"/>
      <c r="F468" s="205">
        <v>2024</v>
      </c>
      <c r="G468" s="206" t="s">
        <v>2029</v>
      </c>
    </row>
    <row r="469" spans="1:7" ht="14.25" customHeight="1">
      <c r="A469" s="205" t="s">
        <v>2030</v>
      </c>
      <c r="B469" s="205" t="s">
        <v>2031</v>
      </c>
      <c r="C469" s="205" t="s">
        <v>667</v>
      </c>
      <c r="D469" s="205" t="s">
        <v>2032</v>
      </c>
      <c r="E469" s="205"/>
      <c r="F469" s="205">
        <v>2024</v>
      </c>
      <c r="G469" s="206" t="str">
        <f t="shared" ref="G469:G471" si="66">C469&amp;F469</f>
        <v>MTB162024</v>
      </c>
    </row>
    <row r="470" spans="1:7" ht="14.25" customHeight="1">
      <c r="A470" s="205" t="s">
        <v>2033</v>
      </c>
      <c r="B470" s="205" t="s">
        <v>2031</v>
      </c>
      <c r="C470" s="205" t="s">
        <v>667</v>
      </c>
      <c r="D470" s="205" t="s">
        <v>2032</v>
      </c>
      <c r="E470" s="205"/>
      <c r="F470" s="205">
        <v>2024</v>
      </c>
      <c r="G470" s="206" t="str">
        <f t="shared" si="66"/>
        <v>MTB162024</v>
      </c>
    </row>
    <row r="471" spans="1:7" ht="14.25" customHeight="1">
      <c r="A471" s="205" t="s">
        <v>2034</v>
      </c>
      <c r="B471" s="205" t="s">
        <v>2031</v>
      </c>
      <c r="C471" s="205" t="s">
        <v>667</v>
      </c>
      <c r="D471" s="205" t="s">
        <v>2032</v>
      </c>
      <c r="E471" s="205"/>
      <c r="F471" s="205">
        <v>2024</v>
      </c>
      <c r="G471" s="206" t="str">
        <f t="shared" si="66"/>
        <v>MTB162024</v>
      </c>
    </row>
    <row r="472" spans="1:7" ht="14.25" customHeight="1">
      <c r="A472" s="205" t="s">
        <v>2035</v>
      </c>
      <c r="B472" s="205" t="s">
        <v>2031</v>
      </c>
      <c r="C472" s="205" t="s">
        <v>667</v>
      </c>
      <c r="D472" s="205" t="s">
        <v>2032</v>
      </c>
      <c r="E472" s="205"/>
      <c r="F472" s="205">
        <v>2024</v>
      </c>
      <c r="G472" s="206" t="s">
        <v>2036</v>
      </c>
    </row>
    <row r="473" spans="1:7" ht="14.25" customHeight="1">
      <c r="A473" s="205" t="s">
        <v>2037</v>
      </c>
      <c r="B473" s="205" t="s">
        <v>2031</v>
      </c>
      <c r="C473" s="205" t="s">
        <v>667</v>
      </c>
      <c r="D473" s="205" t="s">
        <v>2032</v>
      </c>
      <c r="E473" s="205"/>
      <c r="F473" s="205">
        <v>2024</v>
      </c>
      <c r="G473" s="206" t="str">
        <f t="shared" ref="G473:G475" si="67">C473&amp;F473</f>
        <v>MTB162024</v>
      </c>
    </row>
    <row r="474" spans="1:7" ht="14.25" customHeight="1">
      <c r="A474" s="205" t="s">
        <v>2038</v>
      </c>
      <c r="B474" s="205" t="s">
        <v>2031</v>
      </c>
      <c r="C474" s="205" t="s">
        <v>667</v>
      </c>
      <c r="D474" s="205" t="s">
        <v>2032</v>
      </c>
      <c r="E474" s="205"/>
      <c r="F474" s="205">
        <v>2024</v>
      </c>
      <c r="G474" s="223" t="str">
        <f t="shared" si="67"/>
        <v>MTB162024</v>
      </c>
    </row>
    <row r="475" spans="1:7" ht="14.25" customHeight="1">
      <c r="A475" s="205" t="s">
        <v>2039</v>
      </c>
      <c r="B475" s="205" t="s">
        <v>2040</v>
      </c>
      <c r="C475" s="205" t="s">
        <v>680</v>
      </c>
      <c r="D475" s="205" t="s">
        <v>2041</v>
      </c>
      <c r="E475" s="205"/>
      <c r="F475" s="205">
        <v>2024</v>
      </c>
      <c r="G475" s="223" t="str">
        <f t="shared" si="67"/>
        <v>MTR122024</v>
      </c>
    </row>
    <row r="476" spans="1:7" ht="14.25" customHeight="1">
      <c r="A476" s="205" t="s">
        <v>2042</v>
      </c>
      <c r="B476" s="205" t="s">
        <v>1600</v>
      </c>
      <c r="C476" s="205" t="s">
        <v>668</v>
      </c>
      <c r="D476" s="205" t="s">
        <v>1601</v>
      </c>
      <c r="E476" s="205"/>
      <c r="F476" s="205">
        <v>2024</v>
      </c>
      <c r="G476" s="223" t="s">
        <v>2043</v>
      </c>
    </row>
    <row r="477" spans="1:7" ht="14.25" customHeight="1">
      <c r="A477" s="205" t="s">
        <v>2044</v>
      </c>
      <c r="B477" s="205" t="s">
        <v>2045</v>
      </c>
      <c r="C477" s="205" t="s">
        <v>668</v>
      </c>
      <c r="D477" s="205" t="s">
        <v>2046</v>
      </c>
      <c r="E477" s="205"/>
      <c r="F477" s="205">
        <v>2024</v>
      </c>
      <c r="G477" s="223" t="s">
        <v>2047</v>
      </c>
    </row>
    <row r="478" spans="1:7" ht="14.25" customHeight="1">
      <c r="A478" s="205" t="s">
        <v>2048</v>
      </c>
      <c r="B478" s="205" t="s">
        <v>2045</v>
      </c>
      <c r="C478" s="205" t="s">
        <v>668</v>
      </c>
      <c r="D478" s="205" t="s">
        <v>2046</v>
      </c>
      <c r="E478" s="205"/>
      <c r="F478" s="205">
        <v>2024</v>
      </c>
      <c r="G478" s="223" t="str">
        <f t="shared" ref="G478:G483" si="68">C478&amp;F478</f>
        <v>MTR162024</v>
      </c>
    </row>
    <row r="479" spans="1:7" ht="14.25" customHeight="1">
      <c r="A479" s="205" t="s">
        <v>2049</v>
      </c>
      <c r="B479" s="205" t="s">
        <v>2050</v>
      </c>
      <c r="C479" s="205" t="s">
        <v>722</v>
      </c>
      <c r="D479" s="205" t="s">
        <v>2051</v>
      </c>
      <c r="E479" s="205"/>
      <c r="F479" s="205">
        <v>2024</v>
      </c>
      <c r="G479" s="223" t="str">
        <f t="shared" si="68"/>
        <v>MVP162024</v>
      </c>
    </row>
    <row r="480" spans="1:7" ht="14.25" customHeight="1">
      <c r="A480" s="205" t="s">
        <v>2052</v>
      </c>
      <c r="B480" s="205" t="s">
        <v>2053</v>
      </c>
      <c r="C480" s="205" t="s">
        <v>719</v>
      </c>
      <c r="D480" s="205" t="s">
        <v>2054</v>
      </c>
      <c r="E480" s="205"/>
      <c r="F480" s="205">
        <v>2024</v>
      </c>
      <c r="G480" s="223" t="str">
        <f t="shared" si="68"/>
        <v>MVT162024</v>
      </c>
    </row>
    <row r="481" spans="1:7" ht="14.25" customHeight="1">
      <c r="A481" s="205" t="s">
        <v>2055</v>
      </c>
      <c r="B481" s="205" t="s">
        <v>2056</v>
      </c>
      <c r="C481" s="205" t="s">
        <v>153</v>
      </c>
      <c r="D481" s="205" t="s">
        <v>2057</v>
      </c>
      <c r="E481" s="205"/>
      <c r="F481" s="205">
        <v>2024</v>
      </c>
      <c r="G481" s="223" t="str">
        <f t="shared" si="68"/>
        <v>NAG202024</v>
      </c>
    </row>
    <row r="482" spans="1:7" ht="14.25" customHeight="1">
      <c r="A482" s="205" t="s">
        <v>2058</v>
      </c>
      <c r="B482" s="205" t="s">
        <v>2059</v>
      </c>
      <c r="C482" s="205" t="s">
        <v>148</v>
      </c>
      <c r="D482" s="205" t="s">
        <v>2060</v>
      </c>
      <c r="E482" s="205"/>
      <c r="F482" s="205">
        <v>2024</v>
      </c>
      <c r="G482" s="223" t="str">
        <f t="shared" si="68"/>
        <v>NAT162024</v>
      </c>
    </row>
    <row r="483" spans="1:7" ht="14.25" customHeight="1">
      <c r="A483" s="205" t="s">
        <v>2061</v>
      </c>
      <c r="B483" s="205" t="s">
        <v>2062</v>
      </c>
      <c r="C483" s="205" t="s">
        <v>145</v>
      </c>
      <c r="D483" s="205" t="s">
        <v>2063</v>
      </c>
      <c r="E483" s="205"/>
      <c r="F483" s="205">
        <v>2024</v>
      </c>
      <c r="G483" s="223" t="str">
        <f t="shared" si="68"/>
        <v>NAT202024</v>
      </c>
    </row>
    <row r="484" spans="1:7" ht="14.25" customHeight="1">
      <c r="A484" s="205" t="s">
        <v>2061</v>
      </c>
      <c r="B484" s="205" t="s">
        <v>2064</v>
      </c>
      <c r="C484" s="205" t="s">
        <v>145</v>
      </c>
      <c r="D484" s="205" t="s">
        <v>2065</v>
      </c>
      <c r="E484" s="205"/>
      <c r="F484" s="205">
        <v>2024</v>
      </c>
      <c r="G484" s="223" t="s">
        <v>2066</v>
      </c>
    </row>
    <row r="485" spans="1:7" ht="14.25" customHeight="1">
      <c r="A485" s="205" t="s">
        <v>2067</v>
      </c>
      <c r="B485" s="205" t="s">
        <v>2068</v>
      </c>
      <c r="C485" s="205" t="s">
        <v>123</v>
      </c>
      <c r="D485" s="205" t="s">
        <v>2069</v>
      </c>
      <c r="E485" s="205"/>
      <c r="F485" s="205">
        <v>2024</v>
      </c>
      <c r="G485" s="223" t="str">
        <f t="shared" ref="G485:G486" si="69">C485&amp;F485</f>
        <v>NIA162024</v>
      </c>
    </row>
    <row r="486" spans="1:7" ht="14.25" customHeight="1">
      <c r="A486" s="205" t="s">
        <v>2070</v>
      </c>
      <c r="B486" s="205" t="s">
        <v>2071</v>
      </c>
      <c r="C486" s="205" t="s">
        <v>151</v>
      </c>
      <c r="D486" s="205" t="s">
        <v>2072</v>
      </c>
      <c r="E486" s="205"/>
      <c r="F486" s="205">
        <v>2024</v>
      </c>
      <c r="G486" s="223" t="str">
        <f t="shared" si="69"/>
        <v>NTL162024</v>
      </c>
    </row>
    <row r="487" spans="1:7" ht="14.25" customHeight="1">
      <c r="A487" s="205" t="s">
        <v>2073</v>
      </c>
      <c r="B487" s="205" t="s">
        <v>2074</v>
      </c>
      <c r="C487" s="205" t="s">
        <v>166</v>
      </c>
      <c r="D487" s="205" t="s">
        <v>2075</v>
      </c>
      <c r="E487" s="205"/>
      <c r="F487" s="205">
        <v>2024</v>
      </c>
      <c r="G487" s="223" t="s">
        <v>2076</v>
      </c>
    </row>
    <row r="488" spans="1:7" ht="14.25" customHeight="1">
      <c r="A488" s="205" t="s">
        <v>2077</v>
      </c>
      <c r="B488" s="205" t="s">
        <v>2078</v>
      </c>
      <c r="C488" s="205" t="s">
        <v>169</v>
      </c>
      <c r="D488" s="205" t="s">
        <v>2079</v>
      </c>
      <c r="E488" s="205"/>
      <c r="F488" s="205">
        <v>2024</v>
      </c>
      <c r="G488" s="223" t="str">
        <f t="shared" ref="G488:G489" si="70">C488&amp;F488</f>
        <v>OEB162024</v>
      </c>
    </row>
    <row r="489" spans="1:7" ht="14.25" customHeight="1">
      <c r="A489" s="205" t="s">
        <v>2080</v>
      </c>
      <c r="B489" s="205" t="s">
        <v>2081</v>
      </c>
      <c r="C489" s="205" t="s">
        <v>171</v>
      </c>
      <c r="D489" s="205" t="s">
        <v>2082</v>
      </c>
      <c r="E489" s="205"/>
      <c r="F489" s="205">
        <v>2024</v>
      </c>
      <c r="G489" s="223" t="str">
        <f t="shared" si="70"/>
        <v>OEB202024</v>
      </c>
    </row>
    <row r="490" spans="1:7" ht="14.25" customHeight="1">
      <c r="A490" s="205" t="s">
        <v>2083</v>
      </c>
      <c r="B490" s="205" t="s">
        <v>2084</v>
      </c>
      <c r="C490" s="205" t="s">
        <v>157</v>
      </c>
      <c r="D490" s="205" t="s">
        <v>2085</v>
      </c>
      <c r="E490" s="205"/>
      <c r="F490" s="205">
        <v>2024</v>
      </c>
      <c r="G490" s="223" t="s">
        <v>2086</v>
      </c>
    </row>
    <row r="491" spans="1:7" ht="14.25" customHeight="1">
      <c r="A491" s="205" t="s">
        <v>2087</v>
      </c>
      <c r="B491" s="205" t="s">
        <v>2088</v>
      </c>
      <c r="C491" s="205" t="s">
        <v>160</v>
      </c>
      <c r="D491" s="205" t="s">
        <v>2089</v>
      </c>
      <c r="E491" s="205"/>
      <c r="F491" s="205">
        <v>2024</v>
      </c>
      <c r="G491" s="223" t="s">
        <v>2090</v>
      </c>
    </row>
    <row r="492" spans="1:7" ht="14.25" customHeight="1">
      <c r="A492" s="205" t="s">
        <v>2091</v>
      </c>
      <c r="B492" s="205" t="s">
        <v>2092</v>
      </c>
      <c r="C492" s="205" t="s">
        <v>669</v>
      </c>
      <c r="D492" s="205" t="s">
        <v>2093</v>
      </c>
      <c r="E492" s="205"/>
      <c r="F492" s="205">
        <v>2024</v>
      </c>
      <c r="G492" s="223" t="str">
        <f t="shared" ref="G492:G493" si="71">C492&amp;F492</f>
        <v>PNK122024</v>
      </c>
    </row>
    <row r="493" spans="1:7" ht="14.25" customHeight="1">
      <c r="A493" s="205" t="s">
        <v>2094</v>
      </c>
      <c r="B493" s="205" t="s">
        <v>2095</v>
      </c>
      <c r="C493" s="205" t="s">
        <v>99</v>
      </c>
      <c r="D493" s="205" t="s">
        <v>2096</v>
      </c>
      <c r="E493" s="205"/>
      <c r="F493" s="205">
        <v>2024</v>
      </c>
      <c r="G493" s="223" t="str">
        <f t="shared" si="71"/>
        <v>POS162024</v>
      </c>
    </row>
    <row r="494" spans="1:7" ht="14.25" customHeight="1">
      <c r="A494" s="205" t="s">
        <v>2097</v>
      </c>
      <c r="B494" s="205" t="s">
        <v>2098</v>
      </c>
      <c r="C494" s="205" t="s">
        <v>49</v>
      </c>
      <c r="D494" s="205" t="s">
        <v>2099</v>
      </c>
      <c r="E494" s="205"/>
      <c r="F494" s="205">
        <v>2024</v>
      </c>
      <c r="G494" s="223" t="s">
        <v>2100</v>
      </c>
    </row>
    <row r="495" spans="1:7" ht="14.25" customHeight="1">
      <c r="A495" s="205" t="s">
        <v>2101</v>
      </c>
      <c r="B495" s="205" t="s">
        <v>2102</v>
      </c>
      <c r="C495" s="205" t="s">
        <v>34</v>
      </c>
      <c r="D495" s="205" t="s">
        <v>2103</v>
      </c>
      <c r="E495" s="205"/>
      <c r="F495" s="205">
        <v>2024</v>
      </c>
      <c r="G495" s="223" t="str">
        <f t="shared" ref="G495:G500" si="72">C495&amp;F495</f>
        <v>PRU122024</v>
      </c>
    </row>
    <row r="496" spans="1:7" ht="14.25" customHeight="1">
      <c r="A496" s="205" t="s">
        <v>2104</v>
      </c>
      <c r="B496" s="205" t="s">
        <v>2105</v>
      </c>
      <c r="C496" s="205" t="s">
        <v>25</v>
      </c>
      <c r="D496" s="205" t="s">
        <v>2106</v>
      </c>
      <c r="E496" s="205"/>
      <c r="F496" s="205">
        <v>2024</v>
      </c>
      <c r="G496" s="223" t="str">
        <f t="shared" si="72"/>
        <v>PSP122024</v>
      </c>
    </row>
    <row r="497" spans="1:7" ht="14.25" customHeight="1">
      <c r="A497" s="205" t="s">
        <v>2104</v>
      </c>
      <c r="B497" s="205" t="s">
        <v>2107</v>
      </c>
      <c r="C497" s="205" t="s">
        <v>25</v>
      </c>
      <c r="D497" s="205" t="s">
        <v>2108</v>
      </c>
      <c r="E497" s="205"/>
      <c r="F497" s="205">
        <v>2024</v>
      </c>
      <c r="G497" s="223" t="str">
        <f t="shared" si="72"/>
        <v>PSP122024</v>
      </c>
    </row>
    <row r="498" spans="1:7" ht="14.25" customHeight="1">
      <c r="A498" s="205" t="s">
        <v>2109</v>
      </c>
      <c r="B498" s="205" t="s">
        <v>2110</v>
      </c>
      <c r="C498" s="205" t="s">
        <v>137</v>
      </c>
      <c r="D498" s="205" t="s">
        <v>2111</v>
      </c>
      <c r="E498" s="205"/>
      <c r="F498" s="205">
        <v>2024</v>
      </c>
      <c r="G498" s="223" t="str">
        <f t="shared" si="72"/>
        <v>RKT162024</v>
      </c>
    </row>
    <row r="499" spans="1:7" ht="14.25" customHeight="1">
      <c r="A499" s="205" t="s">
        <v>2112</v>
      </c>
      <c r="B499" s="205" t="s">
        <v>2113</v>
      </c>
      <c r="C499" s="205" t="s">
        <v>670</v>
      </c>
      <c r="D499" s="205" t="s">
        <v>2114</v>
      </c>
      <c r="E499" s="205"/>
      <c r="F499" s="205">
        <v>2024</v>
      </c>
      <c r="G499" s="223" t="str">
        <f t="shared" si="72"/>
        <v>SAH122024</v>
      </c>
    </row>
    <row r="500" spans="1:7" ht="14.25" customHeight="1">
      <c r="A500" s="205" t="s">
        <v>2115</v>
      </c>
      <c r="B500" s="205" t="s">
        <v>2116</v>
      </c>
      <c r="C500" s="205" t="s">
        <v>710</v>
      </c>
      <c r="D500" s="205" t="s">
        <v>2117</v>
      </c>
      <c r="E500" s="205"/>
      <c r="F500" s="205">
        <v>2024</v>
      </c>
      <c r="G500" s="223" t="str">
        <f t="shared" si="72"/>
        <v>SAI122024</v>
      </c>
    </row>
    <row r="501" spans="1:7" ht="14.25" customHeight="1">
      <c r="A501" s="205" t="s">
        <v>2118</v>
      </c>
      <c r="B501" s="205" t="s">
        <v>2119</v>
      </c>
      <c r="C501" s="205" t="s">
        <v>712</v>
      </c>
      <c r="D501" s="205" t="s">
        <v>2120</v>
      </c>
      <c r="E501" s="205"/>
      <c r="F501" s="205">
        <v>2024</v>
      </c>
      <c r="G501" s="223" t="s">
        <v>2121</v>
      </c>
    </row>
    <row r="502" spans="1:7" ht="14.25" customHeight="1">
      <c r="A502" s="205" t="s">
        <v>2122</v>
      </c>
      <c r="B502" s="205" t="s">
        <v>2123</v>
      </c>
      <c r="C502" s="205" t="s">
        <v>41</v>
      </c>
      <c r="D502" s="205" t="s">
        <v>2124</v>
      </c>
      <c r="E502" s="205"/>
      <c r="F502" s="205">
        <v>2024</v>
      </c>
      <c r="G502" s="223" t="s">
        <v>2121</v>
      </c>
    </row>
    <row r="503" spans="1:7" ht="14.25" customHeight="1">
      <c r="A503" s="205" t="s">
        <v>2125</v>
      </c>
      <c r="B503" s="205" t="s">
        <v>2126</v>
      </c>
      <c r="C503" s="205" t="s">
        <v>727</v>
      </c>
      <c r="D503" s="205" t="s">
        <v>2127</v>
      </c>
      <c r="E503" s="205"/>
      <c r="F503" s="205">
        <v>2024</v>
      </c>
      <c r="G503" s="223" t="str">
        <f t="shared" ref="G503:G504" si="73">C503&amp;F503</f>
        <v>SGO122024</v>
      </c>
    </row>
    <row r="504" spans="1:7" ht="14.25" customHeight="1">
      <c r="A504" s="205" t="s">
        <v>2128</v>
      </c>
      <c r="B504" s="205" t="s">
        <v>2129</v>
      </c>
      <c r="C504" s="205" t="s">
        <v>192</v>
      </c>
      <c r="D504" s="205" t="s">
        <v>2130</v>
      </c>
      <c r="E504" s="205"/>
      <c r="F504" s="205">
        <v>2024</v>
      </c>
      <c r="G504" s="223" t="str">
        <f t="shared" si="73"/>
        <v>SGR122024</v>
      </c>
    </row>
    <row r="505" spans="1:7" ht="14.25" customHeight="1">
      <c r="A505" s="205" t="s">
        <v>2131</v>
      </c>
      <c r="B505" s="205" t="s">
        <v>2132</v>
      </c>
      <c r="C505" s="205" t="s">
        <v>716</v>
      </c>
      <c r="D505" s="205" t="s">
        <v>2133</v>
      </c>
      <c r="E505" s="205"/>
      <c r="F505" s="205">
        <v>2024</v>
      </c>
      <c r="G505" s="223" t="s">
        <v>2134</v>
      </c>
    </row>
    <row r="506" spans="1:7" ht="14.25" customHeight="1">
      <c r="A506" s="205" t="s">
        <v>2135</v>
      </c>
      <c r="B506" s="205" t="s">
        <v>2136</v>
      </c>
      <c r="C506" s="205" t="s">
        <v>671</v>
      </c>
      <c r="D506" s="205" t="s">
        <v>2137</v>
      </c>
      <c r="E506" s="205"/>
      <c r="F506" s="205">
        <v>2024</v>
      </c>
      <c r="G506" s="223" t="s">
        <v>2134</v>
      </c>
    </row>
    <row r="507" spans="1:7" ht="14.25" customHeight="1">
      <c r="A507" s="205" t="s">
        <v>2138</v>
      </c>
      <c r="B507" s="205" t="s">
        <v>2139</v>
      </c>
      <c r="C507" s="205" t="s">
        <v>129</v>
      </c>
      <c r="D507" s="205" t="s">
        <v>2140</v>
      </c>
      <c r="E507" s="205"/>
      <c r="F507" s="205">
        <v>2024</v>
      </c>
      <c r="G507" s="223" t="str">
        <f t="shared" ref="G507:G514" si="74">C507&amp;F507</f>
        <v>SLP122024</v>
      </c>
    </row>
    <row r="508" spans="1:7" ht="14.25" customHeight="1">
      <c r="A508" s="205" t="s">
        <v>2141</v>
      </c>
      <c r="B508" s="205" t="s">
        <v>2142</v>
      </c>
      <c r="C508" s="205" t="s">
        <v>126</v>
      </c>
      <c r="D508" s="205" t="s">
        <v>2143</v>
      </c>
      <c r="E508" s="205"/>
      <c r="F508" s="205">
        <v>2024</v>
      </c>
      <c r="G508" s="223" t="str">
        <f t="shared" si="74"/>
        <v>SLR122024</v>
      </c>
    </row>
    <row r="509" spans="1:7" ht="14.25" customHeight="1">
      <c r="A509" s="205" t="s">
        <v>2144</v>
      </c>
      <c r="B509" s="205" t="s">
        <v>2145</v>
      </c>
      <c r="C509" s="205" t="s">
        <v>715</v>
      </c>
      <c r="D509" s="205" t="s">
        <v>2146</v>
      </c>
      <c r="E509" s="205"/>
      <c r="F509" s="205">
        <v>2024</v>
      </c>
      <c r="G509" s="223" t="str">
        <f t="shared" si="74"/>
        <v>SLS122024</v>
      </c>
    </row>
    <row r="510" spans="1:7" ht="14.25" customHeight="1">
      <c r="A510" s="205" t="s">
        <v>2147</v>
      </c>
      <c r="B510" s="205" t="s">
        <v>2148</v>
      </c>
      <c r="C510" s="205" t="s">
        <v>107</v>
      </c>
      <c r="D510" s="205" t="s">
        <v>2149</v>
      </c>
      <c r="E510" s="205"/>
      <c r="F510" s="205">
        <v>2024</v>
      </c>
      <c r="G510" s="223" t="str">
        <f t="shared" si="74"/>
        <v>SLT122024</v>
      </c>
    </row>
    <row r="511" spans="1:7" ht="14.25" customHeight="1">
      <c r="A511" s="205" t="s">
        <v>2150</v>
      </c>
      <c r="B511" s="205" t="s">
        <v>2151</v>
      </c>
      <c r="C511" s="205" t="s">
        <v>109</v>
      </c>
      <c r="D511" s="205" t="s">
        <v>2152</v>
      </c>
      <c r="E511" s="205"/>
      <c r="F511" s="205">
        <v>2024</v>
      </c>
      <c r="G511" s="223" t="str">
        <f t="shared" si="74"/>
        <v>SLT162024</v>
      </c>
    </row>
    <row r="512" spans="1:7" ht="14.25" customHeight="1">
      <c r="A512" s="205" t="s">
        <v>2153</v>
      </c>
      <c r="B512" s="205" t="s">
        <v>2154</v>
      </c>
      <c r="C512" s="205" t="s">
        <v>268</v>
      </c>
      <c r="D512" s="205" t="s">
        <v>2155</v>
      </c>
      <c r="E512" s="205"/>
      <c r="F512" s="205">
        <v>2024</v>
      </c>
      <c r="G512" s="223" t="str">
        <f t="shared" si="74"/>
        <v>SOA122024</v>
      </c>
    </row>
    <row r="513" spans="1:7" ht="14.25" customHeight="1">
      <c r="A513" s="205" t="s">
        <v>2156</v>
      </c>
      <c r="B513" s="205" t="s">
        <v>2157</v>
      </c>
      <c r="C513" s="205" t="s">
        <v>92</v>
      </c>
      <c r="D513" s="205" t="s">
        <v>2158</v>
      </c>
      <c r="E513" s="205"/>
      <c r="F513" s="205">
        <v>2024</v>
      </c>
      <c r="G513" s="223" t="str">
        <f t="shared" si="74"/>
        <v>SRS122024</v>
      </c>
    </row>
    <row r="514" spans="1:7" ht="14.25" customHeight="1">
      <c r="A514" s="205" t="s">
        <v>2159</v>
      </c>
      <c r="B514" s="205" t="s">
        <v>2160</v>
      </c>
      <c r="C514" s="205" t="s">
        <v>256</v>
      </c>
      <c r="D514" s="205" t="s">
        <v>2161</v>
      </c>
      <c r="E514" s="205"/>
      <c r="F514" s="205">
        <v>2024</v>
      </c>
      <c r="G514" s="223" t="str">
        <f t="shared" si="74"/>
        <v>TEH122024</v>
      </c>
    </row>
    <row r="515" spans="1:7" ht="14.25" customHeight="1">
      <c r="A515" s="205" t="s">
        <v>2162</v>
      </c>
      <c r="B515" s="205" t="s">
        <v>2163</v>
      </c>
      <c r="C515" s="205" t="s">
        <v>258</v>
      </c>
      <c r="D515" s="205" t="s">
        <v>2164</v>
      </c>
      <c r="E515" s="205"/>
      <c r="F515" s="205">
        <v>2024</v>
      </c>
      <c r="G515" s="223" t="s">
        <v>2165</v>
      </c>
    </row>
    <row r="516" spans="1:7" ht="14.25" customHeight="1">
      <c r="A516" s="205" t="s">
        <v>2166</v>
      </c>
      <c r="B516" s="205" t="s">
        <v>2167</v>
      </c>
      <c r="C516" s="205" t="s">
        <v>260</v>
      </c>
      <c r="D516" s="205" t="s">
        <v>2168</v>
      </c>
      <c r="E516" s="205"/>
      <c r="F516" s="205">
        <v>2024</v>
      </c>
      <c r="G516" s="223" t="str">
        <f>C516&amp;F516</f>
        <v>TEK162024</v>
      </c>
    </row>
    <row r="517" spans="1:7" ht="14.25" customHeight="1">
      <c r="A517" s="205" t="s">
        <v>2169</v>
      </c>
      <c r="B517" s="205" t="s">
        <v>2170</v>
      </c>
      <c r="C517" s="205" t="s">
        <v>262</v>
      </c>
      <c r="D517" s="205" t="s">
        <v>2171</v>
      </c>
      <c r="E517" s="205"/>
      <c r="F517" s="205">
        <v>2024</v>
      </c>
      <c r="G517" s="223" t="s">
        <v>2172</v>
      </c>
    </row>
    <row r="518" spans="1:7" ht="14.25" customHeight="1">
      <c r="A518" s="205" t="s">
        <v>2173</v>
      </c>
      <c r="B518" s="205" t="s">
        <v>2174</v>
      </c>
      <c r="C518" s="205" t="s">
        <v>57</v>
      </c>
      <c r="D518" s="205" t="s">
        <v>2175</v>
      </c>
      <c r="E518" s="205"/>
      <c r="F518" s="205">
        <v>2024</v>
      </c>
      <c r="G518" s="223" t="s">
        <v>2176</v>
      </c>
    </row>
    <row r="519" spans="1:7" ht="14.25" customHeight="1">
      <c r="A519" s="205" t="s">
        <v>2173</v>
      </c>
      <c r="B519" s="205" t="s">
        <v>2177</v>
      </c>
      <c r="C519" s="205" t="s">
        <v>57</v>
      </c>
      <c r="D519" s="205" t="s">
        <v>2178</v>
      </c>
      <c r="E519" s="205"/>
      <c r="F519" s="205">
        <v>2024</v>
      </c>
      <c r="G519" s="223" t="str">
        <f t="shared" ref="G519:G520" si="75">C519&amp;F519</f>
        <v>TRI202024</v>
      </c>
    </row>
    <row r="520" spans="1:7" ht="14.25" customHeight="1">
      <c r="A520" s="205" t="s">
        <v>2179</v>
      </c>
      <c r="B520" s="205" t="s">
        <v>2180</v>
      </c>
      <c r="C520" s="205" t="s">
        <v>101</v>
      </c>
      <c r="D520" s="205" t="s">
        <v>2181</v>
      </c>
      <c r="E520" s="205"/>
      <c r="F520" s="205">
        <v>2024</v>
      </c>
      <c r="G520" s="223" t="str">
        <f t="shared" si="75"/>
        <v>TTL162024</v>
      </c>
    </row>
    <row r="521" spans="1:7" ht="14.25" customHeight="1">
      <c r="A521" s="205" t="s">
        <v>2182</v>
      </c>
      <c r="B521" s="205" t="s">
        <v>2183</v>
      </c>
      <c r="C521" s="205" t="s">
        <v>234</v>
      </c>
      <c r="D521" s="205" t="s">
        <v>2184</v>
      </c>
      <c r="E521" s="205"/>
      <c r="F521" s="205">
        <v>2024</v>
      </c>
      <c r="G521" s="223" t="s">
        <v>2185</v>
      </c>
    </row>
    <row r="522" spans="1:7" ht="14.25" customHeight="1">
      <c r="A522" s="205" t="s">
        <v>2186</v>
      </c>
      <c r="B522" s="205" t="s">
        <v>2187</v>
      </c>
      <c r="C522" s="205" t="s">
        <v>230</v>
      </c>
      <c r="D522" s="205" t="s">
        <v>2188</v>
      </c>
      <c r="E522" s="205"/>
      <c r="F522" s="205">
        <v>2024</v>
      </c>
      <c r="G522" s="223" t="s">
        <v>2189</v>
      </c>
    </row>
    <row r="523" spans="1:7" ht="14.25" customHeight="1">
      <c r="A523" s="205" t="s">
        <v>2190</v>
      </c>
      <c r="B523" s="205" t="s">
        <v>2191</v>
      </c>
      <c r="C523" s="205" t="s">
        <v>239</v>
      </c>
      <c r="D523" s="205" t="s">
        <v>2192</v>
      </c>
      <c r="E523" s="205"/>
      <c r="F523" s="205">
        <v>2024</v>
      </c>
      <c r="G523" s="223" t="str">
        <f t="shared" ref="G523:G525" si="76">C523&amp;F523</f>
        <v>TWR122024</v>
      </c>
    </row>
    <row r="524" spans="1:7" ht="14.25" customHeight="1">
      <c r="A524" s="205" t="s">
        <v>2193</v>
      </c>
      <c r="B524" s="205" t="s">
        <v>2194</v>
      </c>
      <c r="C524" s="205" t="s">
        <v>227</v>
      </c>
      <c r="D524" s="205" t="s">
        <v>2195</v>
      </c>
      <c r="E524" s="205"/>
      <c r="F524" s="205">
        <v>2024</v>
      </c>
      <c r="G524" s="223" t="str">
        <f t="shared" si="76"/>
        <v>TWR162024</v>
      </c>
    </row>
    <row r="525" spans="1:7" ht="14.25" customHeight="1">
      <c r="A525" s="205" t="s">
        <v>2196</v>
      </c>
      <c r="B525" s="205" t="s">
        <v>2197</v>
      </c>
      <c r="C525" s="205" t="s">
        <v>232</v>
      </c>
      <c r="D525" s="205" t="s">
        <v>2198</v>
      </c>
      <c r="E525" s="205"/>
      <c r="F525" s="205">
        <v>2024</v>
      </c>
      <c r="G525" s="223" t="str">
        <f t="shared" si="76"/>
        <v>TWS162024</v>
      </c>
    </row>
    <row r="526" spans="1:7" ht="14.25" customHeight="1">
      <c r="A526" s="205" t="s">
        <v>2199</v>
      </c>
      <c r="B526" s="205" t="s">
        <v>2200</v>
      </c>
      <c r="C526" s="205" t="s">
        <v>224</v>
      </c>
      <c r="D526" s="205" t="s">
        <v>2201</v>
      </c>
      <c r="E526" s="205"/>
      <c r="F526" s="205">
        <v>2024</v>
      </c>
      <c r="G526" s="223" t="s">
        <v>2202</v>
      </c>
    </row>
    <row r="527" spans="1:7" ht="14.25" customHeight="1">
      <c r="A527" s="205" t="s">
        <v>2203</v>
      </c>
      <c r="B527" s="205" t="s">
        <v>2204</v>
      </c>
      <c r="C527" s="205" t="s">
        <v>210</v>
      </c>
      <c r="D527" s="205" t="s">
        <v>2205</v>
      </c>
      <c r="E527" s="205"/>
      <c r="F527" s="205">
        <v>2024</v>
      </c>
      <c r="G527" s="223" t="s">
        <v>2206</v>
      </c>
    </row>
    <row r="528" spans="1:7" ht="14.25" customHeight="1">
      <c r="A528" s="205" t="s">
        <v>2207</v>
      </c>
      <c r="B528" s="205" t="s">
        <v>2208</v>
      </c>
      <c r="C528" s="205" t="s">
        <v>46</v>
      </c>
      <c r="D528" s="205" t="s">
        <v>2209</v>
      </c>
      <c r="E528" s="205"/>
      <c r="F528" s="205">
        <v>2024</v>
      </c>
      <c r="G528" s="223" t="s">
        <v>2210</v>
      </c>
    </row>
    <row r="529" spans="1:7" ht="14.25" customHeight="1">
      <c r="A529" s="205" t="s">
        <v>2211</v>
      </c>
      <c r="B529" s="205" t="s">
        <v>2212</v>
      </c>
      <c r="C529" s="205" t="s">
        <v>67</v>
      </c>
      <c r="D529" s="205" t="s">
        <v>2213</v>
      </c>
      <c r="E529" s="205"/>
      <c r="F529" s="205">
        <v>2024</v>
      </c>
      <c r="G529" s="223" t="s">
        <v>2214</v>
      </c>
    </row>
    <row r="530" spans="1:7" ht="14.25" customHeight="1">
      <c r="A530" s="205" t="s">
        <v>2215</v>
      </c>
      <c r="B530" s="205" t="s">
        <v>2216</v>
      </c>
      <c r="C530" s="205" t="s">
        <v>104</v>
      </c>
      <c r="D530" s="205" t="s">
        <v>2217</v>
      </c>
      <c r="E530" s="205"/>
      <c r="F530" s="205">
        <v>2024</v>
      </c>
      <c r="G530" s="223" t="str">
        <f t="shared" ref="G530:G533" si="77">C530&amp;F530</f>
        <v>VKT162024</v>
      </c>
    </row>
    <row r="531" spans="1:7" ht="14.25" customHeight="1">
      <c r="A531" s="205" t="s">
        <v>2218</v>
      </c>
      <c r="B531" s="205" t="s">
        <v>2219</v>
      </c>
      <c r="C531" s="205" t="s">
        <v>142</v>
      </c>
      <c r="D531" s="205" t="s">
        <v>2220</v>
      </c>
      <c r="E531" s="205"/>
      <c r="F531" s="205">
        <v>2024</v>
      </c>
      <c r="G531" s="223" t="str">
        <f t="shared" si="77"/>
        <v>VOK122024</v>
      </c>
    </row>
    <row r="532" spans="1:7" ht="14.25" customHeight="1">
      <c r="A532" s="205" t="s">
        <v>2221</v>
      </c>
      <c r="B532" s="205" t="s">
        <v>2222</v>
      </c>
      <c r="C532" s="205" t="s">
        <v>254</v>
      </c>
      <c r="D532" s="205" t="s">
        <v>2223</v>
      </c>
      <c r="E532" s="205"/>
      <c r="F532" s="205">
        <v>2024</v>
      </c>
      <c r="G532" s="223" t="str">
        <f t="shared" si="77"/>
        <v>VTX162024</v>
      </c>
    </row>
    <row r="533" spans="1:7" ht="14.25" customHeight="1">
      <c r="A533" s="205" t="s">
        <v>2224</v>
      </c>
      <c r="B533" s="205" t="s">
        <v>2225</v>
      </c>
      <c r="C533" s="205" t="s">
        <v>735</v>
      </c>
      <c r="D533" s="205" t="s">
        <v>2226</v>
      </c>
      <c r="E533" s="205"/>
      <c r="F533" s="205">
        <v>2025</v>
      </c>
      <c r="G533" s="223" t="str">
        <f t="shared" si="77"/>
        <v>AVL202025</v>
      </c>
    </row>
    <row r="534" spans="1:7" ht="14.25" customHeight="1">
      <c r="A534" s="205" t="s">
        <v>2227</v>
      </c>
      <c r="B534" s="205" t="s">
        <v>2228</v>
      </c>
      <c r="C534" s="205" t="s">
        <v>647</v>
      </c>
      <c r="D534" s="205" t="s">
        <v>2229</v>
      </c>
      <c r="E534" s="205"/>
      <c r="F534" s="205">
        <v>2025</v>
      </c>
      <c r="G534" s="223" t="s">
        <v>2230</v>
      </c>
    </row>
    <row r="535" spans="1:7" ht="14.25" customHeight="1">
      <c r="A535" s="205" t="s">
        <v>2231</v>
      </c>
      <c r="B535" s="205" t="s">
        <v>2228</v>
      </c>
      <c r="C535" s="205" t="s">
        <v>647</v>
      </c>
      <c r="D535" s="205" t="s">
        <v>2229</v>
      </c>
      <c r="E535" s="205"/>
      <c r="F535" s="205">
        <v>2025</v>
      </c>
      <c r="G535" s="223" t="s">
        <v>2232</v>
      </c>
    </row>
    <row r="536" spans="1:7" ht="14.25" customHeight="1">
      <c r="A536" s="205" t="s">
        <v>2233</v>
      </c>
      <c r="B536" s="205" t="s">
        <v>2228</v>
      </c>
      <c r="C536" s="205" t="s">
        <v>647</v>
      </c>
      <c r="D536" s="205" t="s">
        <v>2229</v>
      </c>
      <c r="E536" s="205"/>
      <c r="F536" s="205">
        <v>2025</v>
      </c>
      <c r="G536" s="223" t="s">
        <v>2234</v>
      </c>
    </row>
    <row r="537" spans="1:7" ht="14.25" customHeight="1">
      <c r="A537" s="205" t="s">
        <v>2235</v>
      </c>
      <c r="B537" s="205" t="s">
        <v>2236</v>
      </c>
      <c r="C537" s="205" t="s">
        <v>648</v>
      </c>
      <c r="D537" s="205" t="s">
        <v>2237</v>
      </c>
      <c r="E537" s="205"/>
      <c r="F537" s="205">
        <v>2025</v>
      </c>
      <c r="G537" s="223" t="s">
        <v>2238</v>
      </c>
    </row>
    <row r="538" spans="1:7" ht="14.25" customHeight="1">
      <c r="A538" s="205" t="s">
        <v>2239</v>
      </c>
      <c r="B538" s="205" t="s">
        <v>2236</v>
      </c>
      <c r="C538" s="205" t="s">
        <v>648</v>
      </c>
      <c r="D538" s="205" t="s">
        <v>2237</v>
      </c>
      <c r="E538" s="205"/>
      <c r="F538" s="205">
        <v>2025</v>
      </c>
      <c r="G538" s="223" t="str">
        <f t="shared" ref="G538:G539" si="78">C538&amp;F538</f>
        <v>AVR202025</v>
      </c>
    </row>
    <row r="539" spans="1:7" ht="14.25" customHeight="1">
      <c r="A539" s="205" t="s">
        <v>2240</v>
      </c>
      <c r="B539" s="205" t="s">
        <v>2236</v>
      </c>
      <c r="C539" s="205" t="s">
        <v>648</v>
      </c>
      <c r="D539" s="205" t="s">
        <v>2237</v>
      </c>
      <c r="E539" s="205"/>
      <c r="F539" s="205">
        <v>2025</v>
      </c>
      <c r="G539" s="223" t="str">
        <f t="shared" si="78"/>
        <v>AVR202025</v>
      </c>
    </row>
    <row r="540" spans="1:7" ht="14.25" customHeight="1">
      <c r="A540" s="205" t="s">
        <v>2241</v>
      </c>
      <c r="B540" s="205" t="s">
        <v>2242</v>
      </c>
      <c r="C540" s="205" t="s">
        <v>723</v>
      </c>
      <c r="D540" s="205" t="s">
        <v>2243</v>
      </c>
      <c r="E540" s="205"/>
      <c r="F540" s="205">
        <v>2025</v>
      </c>
      <c r="G540" s="223" t="s">
        <v>2244</v>
      </c>
    </row>
    <row r="541" spans="1:7" ht="14.25" customHeight="1">
      <c r="A541" s="205" t="s">
        <v>2245</v>
      </c>
      <c r="B541" s="205" t="s">
        <v>2246</v>
      </c>
      <c r="C541" s="205" t="s">
        <v>714</v>
      </c>
      <c r="D541" s="205" t="s">
        <v>2247</v>
      </c>
      <c r="E541" s="205"/>
      <c r="F541" s="205">
        <v>2025</v>
      </c>
      <c r="G541" s="223" t="s">
        <v>2244</v>
      </c>
    </row>
    <row r="542" spans="1:7" ht="14.25" customHeight="1">
      <c r="A542" s="205" t="s">
        <v>2248</v>
      </c>
      <c r="B542" s="205" t="s">
        <v>2249</v>
      </c>
      <c r="C542" s="205" t="s">
        <v>1224</v>
      </c>
      <c r="D542" s="205" t="s">
        <v>2250</v>
      </c>
      <c r="E542" s="205"/>
      <c r="F542" s="205">
        <v>2025</v>
      </c>
      <c r="G542" s="223" t="str">
        <f t="shared" ref="G542:G544" si="79">C542&amp;F542</f>
        <v>DPP122025</v>
      </c>
    </row>
    <row r="543" spans="1:7" ht="14.25" customHeight="1">
      <c r="A543" s="205" t="s">
        <v>2251</v>
      </c>
      <c r="B543" s="205" t="s">
        <v>2252</v>
      </c>
      <c r="C543" s="205" t="s">
        <v>707</v>
      </c>
      <c r="D543" s="205" t="s">
        <v>2253</v>
      </c>
      <c r="E543" s="205"/>
      <c r="F543" s="205">
        <v>2025</v>
      </c>
      <c r="G543" s="223" t="str">
        <f t="shared" si="79"/>
        <v>DRE122025</v>
      </c>
    </row>
    <row r="544" spans="1:7" ht="14.25" customHeight="1">
      <c r="A544" s="205" t="s">
        <v>2254</v>
      </c>
      <c r="B544" s="205" t="s">
        <v>2255</v>
      </c>
      <c r="C544" s="205" t="s">
        <v>652</v>
      </c>
      <c r="D544" s="205" t="s">
        <v>2256</v>
      </c>
      <c r="E544" s="205"/>
      <c r="F544" s="205">
        <v>2025</v>
      </c>
      <c r="G544" s="223" t="str">
        <f t="shared" si="79"/>
        <v>DSB122025</v>
      </c>
    </row>
    <row r="545" spans="1:7" ht="14.25" customHeight="1">
      <c r="A545" s="205" t="s">
        <v>2257</v>
      </c>
      <c r="B545" s="205" t="s">
        <v>2258</v>
      </c>
      <c r="C545" s="205" t="s">
        <v>709</v>
      </c>
      <c r="D545" s="205" t="s">
        <v>2259</v>
      </c>
      <c r="E545" s="205"/>
      <c r="F545" s="205">
        <v>2025</v>
      </c>
      <c r="G545" s="223" t="s">
        <v>2260</v>
      </c>
    </row>
    <row r="546" spans="1:7" ht="14.25" customHeight="1">
      <c r="A546" s="205" t="s">
        <v>2261</v>
      </c>
      <c r="B546" s="205" t="s">
        <v>2262</v>
      </c>
      <c r="C546" s="205" t="s">
        <v>653</v>
      </c>
      <c r="D546" s="205" t="s">
        <v>2263</v>
      </c>
      <c r="E546" s="205"/>
      <c r="F546" s="205">
        <v>2025</v>
      </c>
      <c r="G546" s="223" t="s">
        <v>2264</v>
      </c>
    </row>
    <row r="547" spans="1:7" ht="14.25" customHeight="1">
      <c r="A547" s="205" t="s">
        <v>2265</v>
      </c>
      <c r="B547" s="205" t="s">
        <v>2266</v>
      </c>
      <c r="C547" s="205" t="s">
        <v>654</v>
      </c>
      <c r="D547" s="205" t="s">
        <v>2267</v>
      </c>
      <c r="E547" s="205"/>
      <c r="F547" s="205">
        <v>2025</v>
      </c>
      <c r="G547" s="223" t="str">
        <f t="shared" ref="G547:G549" si="80">C547&amp;F547</f>
        <v>DSM122025</v>
      </c>
    </row>
    <row r="548" spans="1:7" ht="14.25" customHeight="1">
      <c r="A548" s="205" t="s">
        <v>2268</v>
      </c>
      <c r="B548" s="205" t="s">
        <v>2269</v>
      </c>
      <c r="C548" s="205" t="s">
        <v>655</v>
      </c>
      <c r="D548" s="205" t="s">
        <v>2270</v>
      </c>
      <c r="E548" s="205"/>
      <c r="F548" s="205">
        <v>2025</v>
      </c>
      <c r="G548" s="223" t="str">
        <f t="shared" si="80"/>
        <v>DSS122025</v>
      </c>
    </row>
    <row r="549" spans="1:7" ht="14.25" customHeight="1">
      <c r="A549" s="205" t="s">
        <v>2271</v>
      </c>
      <c r="B549" s="205" t="s">
        <v>2272</v>
      </c>
      <c r="C549" s="205" t="s">
        <v>656</v>
      </c>
      <c r="D549" s="205" t="s">
        <v>2273</v>
      </c>
      <c r="E549" s="205"/>
      <c r="F549" s="205">
        <v>2025</v>
      </c>
      <c r="G549" s="223" t="str">
        <f t="shared" si="80"/>
        <v>DSS162025</v>
      </c>
    </row>
    <row r="550" spans="1:7" ht="14.25" customHeight="1">
      <c r="A550" s="205" t="s">
        <v>2274</v>
      </c>
      <c r="B550" s="205" t="s">
        <v>2275</v>
      </c>
      <c r="C550" s="205" t="s">
        <v>718</v>
      </c>
      <c r="D550" s="205" t="s">
        <v>2276</v>
      </c>
      <c r="E550" s="205"/>
      <c r="F550" s="205">
        <v>2025</v>
      </c>
      <c r="G550" s="223" t="s">
        <v>2277</v>
      </c>
    </row>
    <row r="551" spans="1:7" ht="14.25" customHeight="1">
      <c r="A551" s="205" t="s">
        <v>2278</v>
      </c>
      <c r="B551" s="205" t="s">
        <v>2279</v>
      </c>
      <c r="C551" s="205" t="s">
        <v>737</v>
      </c>
      <c r="D551" s="205" t="s">
        <v>2280</v>
      </c>
      <c r="E551" s="205"/>
      <c r="F551" s="205">
        <v>2025</v>
      </c>
      <c r="G551" s="223" t="str">
        <f t="shared" ref="G551:G552" si="81">C551&amp;F551</f>
        <v>DTM122025</v>
      </c>
    </row>
    <row r="552" spans="1:7" ht="14.25" customHeight="1">
      <c r="A552" s="205" t="s">
        <v>2281</v>
      </c>
      <c r="B552" s="205" t="s">
        <v>2282</v>
      </c>
      <c r="C552" s="205" t="s">
        <v>1252</v>
      </c>
      <c r="D552" s="205" t="s">
        <v>2283</v>
      </c>
      <c r="E552" s="205"/>
      <c r="F552" s="205">
        <v>2025</v>
      </c>
      <c r="G552" s="223" t="str">
        <f t="shared" si="81"/>
        <v>MAC122025</v>
      </c>
    </row>
    <row r="553" spans="1:7" ht="14.25" customHeight="1">
      <c r="A553" s="205" t="s">
        <v>2284</v>
      </c>
      <c r="B553" s="205" t="s">
        <v>2285</v>
      </c>
      <c r="C553" s="205" t="s">
        <v>679</v>
      </c>
      <c r="D553" s="205" t="s">
        <v>2286</v>
      </c>
      <c r="E553" s="205"/>
      <c r="F553" s="205">
        <v>2025</v>
      </c>
      <c r="G553" s="223" t="s">
        <v>2287</v>
      </c>
    </row>
    <row r="554" spans="1:7" ht="14.25" customHeight="1">
      <c r="A554" s="205" t="s">
        <v>2288</v>
      </c>
      <c r="B554" s="205" t="s">
        <v>2289</v>
      </c>
      <c r="C554" s="205" t="s">
        <v>657</v>
      </c>
      <c r="D554" s="205" t="s">
        <v>2290</v>
      </c>
      <c r="E554" s="205"/>
      <c r="F554" s="205">
        <v>2025</v>
      </c>
      <c r="G554" s="223" t="s">
        <v>2291</v>
      </c>
    </row>
    <row r="555" spans="1:7" ht="14.25" customHeight="1">
      <c r="A555" s="205" t="s">
        <v>2292</v>
      </c>
      <c r="B555" s="205" t="s">
        <v>2289</v>
      </c>
      <c r="C555" s="205" t="s">
        <v>657</v>
      </c>
      <c r="D555" s="205" t="s">
        <v>2290</v>
      </c>
      <c r="E555" s="205"/>
      <c r="F555" s="205">
        <v>2025</v>
      </c>
      <c r="G555" s="223" t="str">
        <f t="shared" ref="G555:G557" si="82">C555&amp;F555</f>
        <v>MBL202025</v>
      </c>
    </row>
    <row r="556" spans="1:7" ht="14.25" customHeight="1">
      <c r="A556" s="205" t="s">
        <v>2293</v>
      </c>
      <c r="B556" s="205" t="s">
        <v>2289</v>
      </c>
      <c r="C556" s="205" t="s">
        <v>657</v>
      </c>
      <c r="D556" s="205" t="s">
        <v>2290</v>
      </c>
      <c r="E556" s="205"/>
      <c r="F556" s="205">
        <v>2025</v>
      </c>
      <c r="G556" s="223" t="str">
        <f t="shared" si="82"/>
        <v>MBL202025</v>
      </c>
    </row>
    <row r="557" spans="1:7" ht="14.25" customHeight="1">
      <c r="A557" s="205" t="s">
        <v>2294</v>
      </c>
      <c r="B557" s="205" t="s">
        <v>2295</v>
      </c>
      <c r="C557" s="205" t="s">
        <v>658</v>
      </c>
      <c r="D557" s="205" t="s">
        <v>2296</v>
      </c>
      <c r="E557" s="205"/>
      <c r="F557" s="205">
        <v>2025</v>
      </c>
      <c r="G557" s="223" t="str">
        <f t="shared" si="82"/>
        <v>MBR202025</v>
      </c>
    </row>
    <row r="558" spans="1:7" ht="14.25" customHeight="1">
      <c r="A558" s="205" t="s">
        <v>2297</v>
      </c>
      <c r="B558" s="205" t="s">
        <v>2295</v>
      </c>
      <c r="C558" s="205" t="s">
        <v>658</v>
      </c>
      <c r="D558" s="205" t="s">
        <v>2296</v>
      </c>
      <c r="E558" s="205"/>
      <c r="F558" s="205">
        <v>2025</v>
      </c>
      <c r="G558" s="223" t="s">
        <v>2298</v>
      </c>
    </row>
    <row r="559" spans="1:7" ht="14.25" customHeight="1">
      <c r="A559" s="205" t="s">
        <v>2299</v>
      </c>
      <c r="B559" s="205" t="s">
        <v>2295</v>
      </c>
      <c r="C559" s="205" t="s">
        <v>658</v>
      </c>
      <c r="D559" s="205" t="s">
        <v>2296</v>
      </c>
      <c r="E559" s="205"/>
      <c r="F559" s="205">
        <v>2025</v>
      </c>
      <c r="G559" s="223" t="str">
        <f t="shared" ref="G559:G562" si="83">C559&amp;F559</f>
        <v>MBR202025</v>
      </c>
    </row>
    <row r="560" spans="1:7" ht="14.25" customHeight="1">
      <c r="A560" s="205" t="s">
        <v>2300</v>
      </c>
      <c r="B560" s="205" t="s">
        <v>2301</v>
      </c>
      <c r="C560" s="205" t="s">
        <v>724</v>
      </c>
      <c r="D560" s="205" t="s">
        <v>2302</v>
      </c>
      <c r="E560" s="205"/>
      <c r="F560" s="205">
        <v>2025</v>
      </c>
      <c r="G560" s="223" t="str">
        <f t="shared" si="83"/>
        <v>MCS122025</v>
      </c>
    </row>
    <row r="561" spans="1:7" ht="14.25" customHeight="1">
      <c r="A561" s="205" t="s">
        <v>2303</v>
      </c>
      <c r="B561" s="205" t="s">
        <v>2304</v>
      </c>
      <c r="C561" s="205" t="s">
        <v>659</v>
      </c>
      <c r="D561" s="205" t="s">
        <v>2305</v>
      </c>
      <c r="E561" s="205"/>
      <c r="F561" s="205">
        <v>2025</v>
      </c>
      <c r="G561" s="223" t="str">
        <f t="shared" si="83"/>
        <v>MFB122025</v>
      </c>
    </row>
    <row r="562" spans="1:7" ht="14.25" customHeight="1">
      <c r="A562" s="205" t="s">
        <v>2306</v>
      </c>
      <c r="B562" s="205" t="s">
        <v>2304</v>
      </c>
      <c r="C562" s="205" t="s">
        <v>659</v>
      </c>
      <c r="D562" s="205" t="s">
        <v>2305</v>
      </c>
      <c r="E562" s="205"/>
      <c r="F562" s="205">
        <v>2025</v>
      </c>
      <c r="G562" s="223" t="str">
        <f t="shared" si="83"/>
        <v>MFB122025</v>
      </c>
    </row>
    <row r="563" spans="1:7" ht="14.25" customHeight="1">
      <c r="A563" s="205" t="s">
        <v>2307</v>
      </c>
      <c r="B563" s="205" t="s">
        <v>2304</v>
      </c>
      <c r="C563" s="205" t="s">
        <v>659</v>
      </c>
      <c r="D563" s="205" t="s">
        <v>2305</v>
      </c>
      <c r="E563" s="205"/>
      <c r="F563" s="205">
        <v>2025</v>
      </c>
      <c r="G563" s="223" t="s">
        <v>2308</v>
      </c>
    </row>
    <row r="564" spans="1:7" ht="14.25" customHeight="1">
      <c r="A564" s="205" t="s">
        <v>2309</v>
      </c>
      <c r="B564" s="205" t="s">
        <v>2310</v>
      </c>
      <c r="C564" s="205" t="s">
        <v>673</v>
      </c>
      <c r="D564" s="205" t="s">
        <v>2311</v>
      </c>
      <c r="E564" s="205"/>
      <c r="F564" s="205">
        <v>2025</v>
      </c>
      <c r="G564" s="223" t="str">
        <f>C564&amp;F564</f>
        <v>MFB162025</v>
      </c>
    </row>
    <row r="565" spans="1:7" ht="14.25" customHeight="1">
      <c r="A565" s="205" t="s">
        <v>2312</v>
      </c>
      <c r="B565" s="205" t="s">
        <v>2310</v>
      </c>
      <c r="C565" s="205" t="s">
        <v>673</v>
      </c>
      <c r="D565" s="205" t="s">
        <v>2311</v>
      </c>
      <c r="E565" s="205"/>
      <c r="F565" s="205">
        <v>2025</v>
      </c>
      <c r="G565" s="223" t="s">
        <v>2313</v>
      </c>
    </row>
    <row r="566" spans="1:7" ht="14.25" customHeight="1">
      <c r="A566" s="205" t="s">
        <v>2314</v>
      </c>
      <c r="B566" s="205" t="s">
        <v>2310</v>
      </c>
      <c r="C566" s="205" t="s">
        <v>673</v>
      </c>
      <c r="D566" s="205" t="s">
        <v>2311</v>
      </c>
      <c r="E566" s="205"/>
      <c r="F566" s="205">
        <v>2025</v>
      </c>
      <c r="G566" s="223" t="str">
        <f t="shared" ref="G566:G568" si="84">C566&amp;F566</f>
        <v>MFB162025</v>
      </c>
    </row>
    <row r="567" spans="1:7" ht="14.25" customHeight="1">
      <c r="A567" s="205" t="s">
        <v>2315</v>
      </c>
      <c r="B567" s="205" t="s">
        <v>2316</v>
      </c>
      <c r="C567" s="205" t="s">
        <v>660</v>
      </c>
      <c r="D567" s="205" t="s">
        <v>2317</v>
      </c>
      <c r="E567" s="205"/>
      <c r="F567" s="205">
        <v>2025</v>
      </c>
      <c r="G567" s="223" t="str">
        <f t="shared" si="84"/>
        <v>MFB202025</v>
      </c>
    </row>
    <row r="568" spans="1:7" ht="14.25" customHeight="1">
      <c r="A568" s="205" t="s">
        <v>2318</v>
      </c>
      <c r="B568" s="205" t="s">
        <v>2316</v>
      </c>
      <c r="C568" s="205" t="s">
        <v>660</v>
      </c>
      <c r="D568" s="205" t="s">
        <v>2317</v>
      </c>
      <c r="E568" s="205"/>
      <c r="F568" s="205">
        <v>2025</v>
      </c>
      <c r="G568" s="223" t="str">
        <f t="shared" si="84"/>
        <v>MFB202025</v>
      </c>
    </row>
    <row r="569" spans="1:7" ht="14.25" customHeight="1">
      <c r="A569" s="205" t="s">
        <v>2319</v>
      </c>
      <c r="B569" s="205" t="s">
        <v>2320</v>
      </c>
      <c r="C569" s="205" t="s">
        <v>713</v>
      </c>
      <c r="D569" s="205" t="s">
        <v>2321</v>
      </c>
      <c r="E569" s="205"/>
      <c r="F569" s="205">
        <v>2025</v>
      </c>
      <c r="G569" s="223" t="s">
        <v>2322</v>
      </c>
    </row>
    <row r="570" spans="1:7" ht="14.25" customHeight="1">
      <c r="A570" s="205" t="s">
        <v>2323</v>
      </c>
      <c r="B570" s="205" t="s">
        <v>2324</v>
      </c>
      <c r="C570" s="205" t="s">
        <v>730</v>
      </c>
      <c r="D570" s="205" t="s">
        <v>2325</v>
      </c>
      <c r="E570" s="205"/>
      <c r="F570" s="205">
        <v>2025</v>
      </c>
      <c r="G570" s="223" t="s">
        <v>2326</v>
      </c>
    </row>
    <row r="571" spans="1:7" ht="14.25" customHeight="1">
      <c r="A571" s="205" t="s">
        <v>2327</v>
      </c>
      <c r="B571" s="205" t="s">
        <v>2328</v>
      </c>
      <c r="C571" s="205" t="s">
        <v>738</v>
      </c>
      <c r="D571" s="205" t="s">
        <v>2329</v>
      </c>
      <c r="E571" s="205"/>
      <c r="F571" s="205">
        <v>2025</v>
      </c>
      <c r="G571" s="223" t="str">
        <f t="shared" ref="G571:G572" si="85">C571&amp;F571</f>
        <v>MGV122025</v>
      </c>
    </row>
    <row r="572" spans="1:7" ht="14.25" customHeight="1">
      <c r="A572" s="205" t="s">
        <v>2330</v>
      </c>
      <c r="B572" s="205" t="s">
        <v>2331</v>
      </c>
      <c r="C572" s="205" t="s">
        <v>728</v>
      </c>
      <c r="D572" s="205" t="s">
        <v>2332</v>
      </c>
      <c r="E572" s="205"/>
      <c r="F572" s="205">
        <v>2025</v>
      </c>
      <c r="G572" s="223" t="str">
        <f t="shared" si="85"/>
        <v>MKB122025</v>
      </c>
    </row>
    <row r="573" spans="1:7" ht="14.25" customHeight="1">
      <c r="A573" s="205" t="s">
        <v>2333</v>
      </c>
      <c r="B573" s="205" t="s">
        <v>2334</v>
      </c>
      <c r="C573" s="205" t="s">
        <v>726</v>
      </c>
      <c r="D573" s="205" t="s">
        <v>2335</v>
      </c>
      <c r="E573" s="205"/>
      <c r="F573" s="205">
        <v>2025</v>
      </c>
      <c r="G573" s="223" t="s">
        <v>2336</v>
      </c>
    </row>
    <row r="574" spans="1:7" ht="14.25" customHeight="1">
      <c r="A574" s="205" t="s">
        <v>2337</v>
      </c>
      <c r="B574" s="205" t="s">
        <v>2338</v>
      </c>
      <c r="C574" s="205" t="s">
        <v>725</v>
      </c>
      <c r="D574" s="205" t="s">
        <v>2339</v>
      </c>
      <c r="E574" s="205"/>
      <c r="F574" s="205">
        <v>2025</v>
      </c>
      <c r="G574" s="223" t="str">
        <f t="shared" ref="G574:G575" si="86">C574&amp;F574</f>
        <v>MKM122025</v>
      </c>
    </row>
    <row r="575" spans="1:7" ht="14.25" customHeight="1">
      <c r="A575" s="205" t="s">
        <v>2340</v>
      </c>
      <c r="B575" s="205" t="s">
        <v>2341</v>
      </c>
      <c r="C575" s="205" t="s">
        <v>711</v>
      </c>
      <c r="D575" s="205" t="s">
        <v>2342</v>
      </c>
      <c r="E575" s="205"/>
      <c r="F575" s="205">
        <v>2025</v>
      </c>
      <c r="G575" s="223" t="str">
        <f t="shared" si="86"/>
        <v>MKT122025</v>
      </c>
    </row>
    <row r="576" spans="1:7" ht="14.25" customHeight="1">
      <c r="A576" s="205" t="s">
        <v>2343</v>
      </c>
      <c r="B576" s="205" t="s">
        <v>2344</v>
      </c>
      <c r="C576" s="205" t="s">
        <v>717</v>
      </c>
      <c r="D576" s="205" t="s">
        <v>2345</v>
      </c>
      <c r="E576" s="205"/>
      <c r="F576" s="205">
        <v>2025</v>
      </c>
      <c r="G576" s="223" t="s">
        <v>2346</v>
      </c>
    </row>
    <row r="577" spans="1:7" ht="14.25" customHeight="1">
      <c r="A577" s="205" t="s">
        <v>2347</v>
      </c>
      <c r="B577" s="205" t="s">
        <v>2344</v>
      </c>
      <c r="C577" s="205" t="s">
        <v>717</v>
      </c>
      <c r="D577" s="205" t="s">
        <v>2345</v>
      </c>
      <c r="E577" s="205"/>
      <c r="F577" s="205">
        <v>2025</v>
      </c>
      <c r="G577" s="223" t="str">
        <f t="shared" ref="G577:G578" si="87">C577&amp;F577</f>
        <v>MLA162025</v>
      </c>
    </row>
    <row r="578" spans="1:7" ht="14.25" customHeight="1">
      <c r="A578" s="205" t="s">
        <v>2348</v>
      </c>
      <c r="B578" s="205" t="s">
        <v>2349</v>
      </c>
      <c r="C578" s="205" t="s">
        <v>661</v>
      </c>
      <c r="D578" s="205" t="s">
        <v>2350</v>
      </c>
      <c r="E578" s="205"/>
      <c r="F578" s="205">
        <v>2025</v>
      </c>
      <c r="G578" s="223" t="str">
        <f t="shared" si="87"/>
        <v>MLD122025</v>
      </c>
    </row>
    <row r="579" spans="1:7" ht="14.25" customHeight="1">
      <c r="A579" s="205" t="s">
        <v>2351</v>
      </c>
      <c r="B579" s="205" t="s">
        <v>2352</v>
      </c>
      <c r="C579" s="205" t="s">
        <v>662</v>
      </c>
      <c r="D579" s="205" t="s">
        <v>2353</v>
      </c>
      <c r="E579" s="205"/>
      <c r="F579" s="205">
        <v>2025</v>
      </c>
      <c r="G579" s="223" t="s">
        <v>2354</v>
      </c>
    </row>
    <row r="580" spans="1:7" ht="14.25" customHeight="1">
      <c r="A580" s="205" t="s">
        <v>2355</v>
      </c>
      <c r="B580" s="205" t="s">
        <v>2352</v>
      </c>
      <c r="C580" s="205" t="s">
        <v>662</v>
      </c>
      <c r="D580" s="205" t="s">
        <v>2353</v>
      </c>
      <c r="E580" s="205"/>
      <c r="F580" s="205">
        <v>2025</v>
      </c>
      <c r="G580" s="223" t="str">
        <f t="shared" ref="G580:G581" si="88">C580&amp;F580</f>
        <v>MLD162025</v>
      </c>
    </row>
    <row r="581" spans="1:7" ht="14.25" customHeight="1">
      <c r="A581" s="205" t="s">
        <v>2356</v>
      </c>
      <c r="B581" s="205" t="s">
        <v>2352</v>
      </c>
      <c r="C581" s="205" t="s">
        <v>662</v>
      </c>
      <c r="D581" s="205" t="s">
        <v>2353</v>
      </c>
      <c r="E581" s="205"/>
      <c r="F581" s="205">
        <v>2025</v>
      </c>
      <c r="G581" s="223" t="str">
        <f t="shared" si="88"/>
        <v>MLD162025</v>
      </c>
    </row>
    <row r="582" spans="1:7" ht="14.25" customHeight="1">
      <c r="A582" s="205" t="s">
        <v>2357</v>
      </c>
      <c r="B582" s="205" t="s">
        <v>2352</v>
      </c>
      <c r="C582" s="205" t="s">
        <v>662</v>
      </c>
      <c r="D582" s="205" t="s">
        <v>2353</v>
      </c>
      <c r="E582" s="205"/>
      <c r="F582" s="205">
        <v>2025</v>
      </c>
      <c r="G582" s="223" t="s">
        <v>2358</v>
      </c>
    </row>
    <row r="583" spans="1:7" ht="14.25" customHeight="1">
      <c r="A583" s="205" t="s">
        <v>2359</v>
      </c>
      <c r="B583" s="205" t="s">
        <v>2352</v>
      </c>
      <c r="C583" s="205" t="s">
        <v>662</v>
      </c>
      <c r="D583" s="205" t="s">
        <v>2353</v>
      </c>
      <c r="E583" s="205"/>
      <c r="F583" s="205">
        <v>2025</v>
      </c>
      <c r="G583" s="223" t="str">
        <f t="shared" ref="G583:G584" si="89">C583&amp;F583</f>
        <v>MLD162025</v>
      </c>
    </row>
    <row r="584" spans="1:7" ht="14.25" customHeight="1">
      <c r="A584" s="205" t="s">
        <v>2360</v>
      </c>
      <c r="B584" s="205" t="s">
        <v>2361</v>
      </c>
      <c r="C584" s="205" t="s">
        <v>674</v>
      </c>
      <c r="D584" s="205" t="s">
        <v>2362</v>
      </c>
      <c r="E584" s="205"/>
      <c r="F584" s="205">
        <v>2025</v>
      </c>
      <c r="G584" s="223" t="str">
        <f t="shared" si="89"/>
        <v>MLD502025</v>
      </c>
    </row>
    <row r="585" spans="1:7" ht="14.25" customHeight="1">
      <c r="A585" s="205" t="s">
        <v>2363</v>
      </c>
      <c r="B585" s="205" t="s">
        <v>2364</v>
      </c>
      <c r="C585" s="205" t="s">
        <v>1241</v>
      </c>
      <c r="D585" s="205" t="s">
        <v>2365</v>
      </c>
      <c r="E585" s="205"/>
      <c r="F585" s="205">
        <v>2025</v>
      </c>
      <c r="G585" s="223" t="s">
        <v>2366</v>
      </c>
    </row>
    <row r="586" spans="1:7" ht="14.25" customHeight="1">
      <c r="A586" s="205" t="s">
        <v>2367</v>
      </c>
      <c r="B586" s="205" t="s">
        <v>2368</v>
      </c>
      <c r="C586" s="205" t="s">
        <v>734</v>
      </c>
      <c r="D586" s="205" t="s">
        <v>2369</v>
      </c>
      <c r="E586" s="205"/>
      <c r="F586" s="205">
        <v>2025</v>
      </c>
      <c r="G586" s="223" t="str">
        <f t="shared" ref="G586:G593" si="90">C586&amp;F586</f>
        <v>MLZ122025</v>
      </c>
    </row>
    <row r="587" spans="1:7" ht="14.25" customHeight="1">
      <c r="A587" s="205" t="s">
        <v>2370</v>
      </c>
      <c r="B587" s="205" t="s">
        <v>2371</v>
      </c>
      <c r="C587" s="205" t="s">
        <v>665</v>
      </c>
      <c r="D587" s="205" t="s">
        <v>2372</v>
      </c>
      <c r="E587" s="205"/>
      <c r="F587" s="205">
        <v>2025</v>
      </c>
      <c r="G587" s="223" t="str">
        <f t="shared" si="90"/>
        <v>MMI202025</v>
      </c>
    </row>
    <row r="588" spans="1:7" ht="14.25" customHeight="1">
      <c r="A588" s="205" t="s">
        <v>2373</v>
      </c>
      <c r="B588" s="205" t="s">
        <v>2371</v>
      </c>
      <c r="C588" s="205" t="s">
        <v>665</v>
      </c>
      <c r="D588" s="205" t="s">
        <v>2372</v>
      </c>
      <c r="E588" s="205"/>
      <c r="F588" s="205">
        <v>2025</v>
      </c>
      <c r="G588" s="223" t="str">
        <f t="shared" si="90"/>
        <v>MMI202025</v>
      </c>
    </row>
    <row r="589" spans="1:7" ht="14.25" customHeight="1">
      <c r="A589" s="205" t="s">
        <v>2374</v>
      </c>
      <c r="B589" s="205" t="s">
        <v>2371</v>
      </c>
      <c r="C589" s="205" t="s">
        <v>665</v>
      </c>
      <c r="D589" s="205" t="s">
        <v>2372</v>
      </c>
      <c r="E589" s="205"/>
      <c r="F589" s="205">
        <v>2025</v>
      </c>
      <c r="G589" s="223" t="str">
        <f t="shared" si="90"/>
        <v>MMI202025</v>
      </c>
    </row>
    <row r="590" spans="1:7" ht="14.25" customHeight="1">
      <c r="A590" s="205" t="s">
        <v>2375</v>
      </c>
      <c r="B590" s="205" t="s">
        <v>2376</v>
      </c>
      <c r="C590" s="205" t="s">
        <v>1247</v>
      </c>
      <c r="D590" s="205" t="s">
        <v>2377</v>
      </c>
      <c r="E590" s="205"/>
      <c r="F590" s="205">
        <v>2025</v>
      </c>
      <c r="G590" s="223" t="str">
        <f t="shared" si="90"/>
        <v>MRI202025</v>
      </c>
    </row>
    <row r="591" spans="1:7" ht="14.25" customHeight="1">
      <c r="A591" s="205" t="s">
        <v>2378</v>
      </c>
      <c r="B591" s="205" t="s">
        <v>2379</v>
      </c>
      <c r="C591" s="205" t="s">
        <v>706</v>
      </c>
      <c r="D591" s="205" t="s">
        <v>2380</v>
      </c>
      <c r="E591" s="205" t="s">
        <v>2381</v>
      </c>
      <c r="F591" s="205">
        <v>2025</v>
      </c>
      <c r="G591" s="223" t="str">
        <f t="shared" si="90"/>
        <v>MRL162025</v>
      </c>
    </row>
    <row r="592" spans="1:7" ht="14.25" customHeight="1">
      <c r="A592" s="205" t="s">
        <v>2382</v>
      </c>
      <c r="B592" s="205" t="s">
        <v>2379</v>
      </c>
      <c r="C592" s="205" t="s">
        <v>706</v>
      </c>
      <c r="D592" s="205" t="s">
        <v>2380</v>
      </c>
      <c r="E592" s="205" t="s">
        <v>2381</v>
      </c>
      <c r="F592" s="205">
        <v>2025</v>
      </c>
      <c r="G592" s="223" t="str">
        <f t="shared" si="90"/>
        <v>MRL162025</v>
      </c>
    </row>
    <row r="593" spans="1:7" ht="14.25" customHeight="1">
      <c r="A593" s="205" t="s">
        <v>2383</v>
      </c>
      <c r="B593" s="205" t="s">
        <v>2379</v>
      </c>
      <c r="C593" s="205" t="s">
        <v>706</v>
      </c>
      <c r="D593" s="205" t="s">
        <v>2380</v>
      </c>
      <c r="E593" s="205" t="s">
        <v>2381</v>
      </c>
      <c r="F593" s="205">
        <v>2025</v>
      </c>
      <c r="G593" s="223" t="str">
        <f t="shared" si="90"/>
        <v>MRL162025</v>
      </c>
    </row>
    <row r="594" spans="1:7" ht="14.25" customHeight="1">
      <c r="A594" s="205" t="s">
        <v>2384</v>
      </c>
      <c r="B594" s="205" t="s">
        <v>2379</v>
      </c>
      <c r="C594" s="205" t="s">
        <v>706</v>
      </c>
      <c r="D594" s="205" t="s">
        <v>2380</v>
      </c>
      <c r="E594" s="205" t="s">
        <v>2385</v>
      </c>
      <c r="F594" s="205">
        <v>2025</v>
      </c>
      <c r="G594" s="223" t="s">
        <v>2386</v>
      </c>
    </row>
    <row r="595" spans="1:7" ht="14.25" customHeight="1">
      <c r="A595" s="205" t="s">
        <v>2387</v>
      </c>
      <c r="B595" s="205" t="s">
        <v>2388</v>
      </c>
      <c r="C595" s="205" t="s">
        <v>729</v>
      </c>
      <c r="D595" s="205" t="s">
        <v>2389</v>
      </c>
      <c r="E595" s="205"/>
      <c r="F595" s="205">
        <v>2025</v>
      </c>
      <c r="G595" s="223" t="str">
        <f t="shared" ref="G595:G596" si="91">C595&amp;F595</f>
        <v>MRT202025</v>
      </c>
    </row>
    <row r="596" spans="1:7" ht="14.25" customHeight="1">
      <c r="A596" s="205" t="s">
        <v>2390</v>
      </c>
      <c r="B596" s="205" t="s">
        <v>2391</v>
      </c>
      <c r="C596" s="205" t="s">
        <v>703</v>
      </c>
      <c r="D596" s="205" t="s">
        <v>2392</v>
      </c>
      <c r="E596" s="205"/>
      <c r="F596" s="205">
        <v>2025</v>
      </c>
      <c r="G596" s="223" t="str">
        <f t="shared" si="91"/>
        <v>MSE162025</v>
      </c>
    </row>
    <row r="597" spans="1:7" ht="14.25" customHeight="1">
      <c r="A597" s="205" t="s">
        <v>2393</v>
      </c>
      <c r="B597" s="205" t="s">
        <v>2394</v>
      </c>
      <c r="C597" s="205" t="s">
        <v>1257</v>
      </c>
      <c r="D597" s="205" t="s">
        <v>2395</v>
      </c>
      <c r="E597" s="205"/>
      <c r="F597" s="205">
        <v>2025</v>
      </c>
      <c r="G597" s="223" t="s">
        <v>2396</v>
      </c>
    </row>
    <row r="598" spans="1:7" ht="14.25" customHeight="1">
      <c r="A598" s="205" t="s">
        <v>2397</v>
      </c>
      <c r="B598" s="205" t="s">
        <v>2398</v>
      </c>
      <c r="C598" s="205" t="s">
        <v>1267</v>
      </c>
      <c r="D598" s="205" t="s">
        <v>2399</v>
      </c>
      <c r="E598" s="205"/>
      <c r="F598" s="205">
        <v>2025</v>
      </c>
      <c r="G598" s="223" t="str">
        <f t="shared" ref="G598:G599" si="92">C598&amp;F598</f>
        <v>MSR202025</v>
      </c>
    </row>
    <row r="599" spans="1:7" ht="14.25" customHeight="1">
      <c r="A599" s="205" t="s">
        <v>2400</v>
      </c>
      <c r="B599" s="205" t="s">
        <v>2401</v>
      </c>
      <c r="C599" s="205" t="s">
        <v>1262</v>
      </c>
      <c r="D599" s="205" t="s">
        <v>2402</v>
      </c>
      <c r="E599" s="205"/>
      <c r="F599" s="205">
        <v>2025</v>
      </c>
      <c r="G599" s="223" t="str">
        <f t="shared" si="92"/>
        <v>MST202025</v>
      </c>
    </row>
    <row r="600" spans="1:7" ht="14.25" customHeight="1">
      <c r="A600" s="205" t="s">
        <v>2403</v>
      </c>
      <c r="B600" s="205" t="s">
        <v>2404</v>
      </c>
      <c r="C600" s="205" t="s">
        <v>667</v>
      </c>
      <c r="D600" s="205" t="s">
        <v>2405</v>
      </c>
      <c r="E600" s="205" t="s">
        <v>2406</v>
      </c>
      <c r="F600" s="205">
        <v>2025</v>
      </c>
      <c r="G600" s="223" t="s">
        <v>2407</v>
      </c>
    </row>
    <row r="601" spans="1:7" ht="14.25" customHeight="1">
      <c r="A601" s="205" t="s">
        <v>2408</v>
      </c>
      <c r="B601" s="205" t="s">
        <v>2404</v>
      </c>
      <c r="C601" s="205" t="s">
        <v>667</v>
      </c>
      <c r="D601" s="205" t="s">
        <v>2405</v>
      </c>
      <c r="E601" s="205" t="s">
        <v>2406</v>
      </c>
      <c r="F601" s="205">
        <v>2025</v>
      </c>
      <c r="G601" s="223" t="s">
        <v>2409</v>
      </c>
    </row>
    <row r="602" spans="1:7" ht="14.25" customHeight="1">
      <c r="A602" s="205" t="s">
        <v>2410</v>
      </c>
      <c r="B602" s="205" t="s">
        <v>2404</v>
      </c>
      <c r="C602" s="205" t="s">
        <v>667</v>
      </c>
      <c r="D602" s="205" t="s">
        <v>2405</v>
      </c>
      <c r="E602" s="205" t="s">
        <v>2411</v>
      </c>
      <c r="F602" s="205">
        <v>2025</v>
      </c>
      <c r="G602" s="223" t="str">
        <f t="shared" ref="G602:G603" si="93">C602&amp;F602</f>
        <v>MTB162025</v>
      </c>
    </row>
    <row r="603" spans="1:7" ht="14.25" customHeight="1">
      <c r="A603" s="205" t="s">
        <v>2412</v>
      </c>
      <c r="B603" s="205" t="s">
        <v>2413</v>
      </c>
      <c r="C603" s="205" t="s">
        <v>668</v>
      </c>
      <c r="D603" s="205" t="s">
        <v>2414</v>
      </c>
      <c r="E603" s="205" t="s">
        <v>2415</v>
      </c>
      <c r="F603" s="205">
        <v>2025</v>
      </c>
      <c r="G603" s="223" t="str">
        <f t="shared" si="93"/>
        <v>MTR162025</v>
      </c>
    </row>
    <row r="604" spans="1:7" ht="14.25" customHeight="1">
      <c r="A604" s="205" t="s">
        <v>2416</v>
      </c>
      <c r="B604" s="205" t="s">
        <v>2413</v>
      </c>
      <c r="C604" s="205" t="s">
        <v>668</v>
      </c>
      <c r="D604" s="205" t="s">
        <v>2414</v>
      </c>
      <c r="E604" s="205" t="s">
        <v>2415</v>
      </c>
      <c r="F604" s="205">
        <v>2025</v>
      </c>
      <c r="G604" s="223" t="s">
        <v>2417</v>
      </c>
    </row>
    <row r="605" spans="1:7" ht="14.25" customHeight="1">
      <c r="A605" s="205" t="s">
        <v>2418</v>
      </c>
      <c r="B605" s="205" t="s">
        <v>2413</v>
      </c>
      <c r="C605" s="205" t="s">
        <v>668</v>
      </c>
      <c r="D605" s="205" t="s">
        <v>2414</v>
      </c>
      <c r="E605" s="205" t="s">
        <v>2415</v>
      </c>
      <c r="F605" s="205">
        <v>2025</v>
      </c>
      <c r="G605" s="223" t="str">
        <f t="shared" ref="G605:G607" si="94">C605&amp;F605</f>
        <v>MTR162025</v>
      </c>
    </row>
    <row r="606" spans="1:7" ht="14.25" customHeight="1">
      <c r="A606" s="205" t="s">
        <v>2419</v>
      </c>
      <c r="B606" s="205" t="s">
        <v>2413</v>
      </c>
      <c r="C606" s="205" t="s">
        <v>668</v>
      </c>
      <c r="D606" s="205" t="s">
        <v>2414</v>
      </c>
      <c r="E606" s="205" t="s">
        <v>2420</v>
      </c>
      <c r="F606" s="205">
        <v>2025</v>
      </c>
      <c r="G606" s="223" t="str">
        <f t="shared" si="94"/>
        <v>MTR162025</v>
      </c>
    </row>
    <row r="607" spans="1:7" ht="14.25" customHeight="1">
      <c r="A607" s="205" t="s">
        <v>2421</v>
      </c>
      <c r="B607" s="205" t="s">
        <v>2422</v>
      </c>
      <c r="C607" s="205" t="s">
        <v>722</v>
      </c>
      <c r="D607" s="205" t="s">
        <v>2423</v>
      </c>
      <c r="E607" s="205"/>
      <c r="F607" s="205">
        <v>2025</v>
      </c>
      <c r="G607" s="223" t="str">
        <f t="shared" si="94"/>
        <v>MVP162025</v>
      </c>
    </row>
    <row r="608" spans="1:7" ht="14.25" customHeight="1">
      <c r="A608" s="205" t="s">
        <v>2424</v>
      </c>
      <c r="B608" s="205" t="s">
        <v>2425</v>
      </c>
      <c r="C608" s="205" t="s">
        <v>736</v>
      </c>
      <c r="D608" s="205" t="s">
        <v>2426</v>
      </c>
      <c r="E608" s="205"/>
      <c r="F608" s="205">
        <v>2025</v>
      </c>
      <c r="G608" s="223" t="s">
        <v>2427</v>
      </c>
    </row>
    <row r="609" spans="1:7" ht="14.25" customHeight="1">
      <c r="A609" s="205" t="s">
        <v>2428</v>
      </c>
      <c r="B609" s="205" t="s">
        <v>2429</v>
      </c>
      <c r="C609" s="205" t="s">
        <v>719</v>
      </c>
      <c r="D609" s="205" t="s">
        <v>2430</v>
      </c>
      <c r="E609" s="205"/>
      <c r="F609" s="205">
        <v>2025</v>
      </c>
      <c r="G609" s="223" t="str">
        <f>C609&amp;F609</f>
        <v>MVT162025</v>
      </c>
    </row>
    <row r="610" spans="1:7" ht="14.25" customHeight="1">
      <c r="A610" s="205" t="s">
        <v>2431</v>
      </c>
      <c r="B610" s="205" t="s">
        <v>2429</v>
      </c>
      <c r="C610" s="205" t="s">
        <v>719</v>
      </c>
      <c r="D610" s="205" t="s">
        <v>2430</v>
      </c>
      <c r="E610" s="205"/>
      <c r="F610" s="205">
        <v>2025</v>
      </c>
      <c r="G610" s="223" t="s">
        <v>2432</v>
      </c>
    </row>
    <row r="611" spans="1:7" ht="14.25" customHeight="1">
      <c r="A611" s="205" t="s">
        <v>2433</v>
      </c>
      <c r="B611" s="205" t="s">
        <v>2434</v>
      </c>
      <c r="C611" s="205" t="s">
        <v>669</v>
      </c>
      <c r="D611" s="205" t="s">
        <v>2435</v>
      </c>
      <c r="E611" s="205"/>
      <c r="F611" s="205">
        <v>2025</v>
      </c>
      <c r="G611" s="223" t="str">
        <f t="shared" ref="G611:G613" si="95">C611&amp;F611</f>
        <v>PNK122025</v>
      </c>
    </row>
    <row r="612" spans="1:7" ht="14.25" customHeight="1">
      <c r="A612" s="205" t="s">
        <v>2436</v>
      </c>
      <c r="B612" s="205" t="s">
        <v>2437</v>
      </c>
      <c r="C612" s="205" t="s">
        <v>670</v>
      </c>
      <c r="D612" s="205" t="s">
        <v>2438</v>
      </c>
      <c r="E612" s="205"/>
      <c r="F612" s="205">
        <v>2025</v>
      </c>
      <c r="G612" s="223" t="str">
        <f t="shared" si="95"/>
        <v>SAH122025</v>
      </c>
    </row>
    <row r="613" spans="1:7" ht="14.25" customHeight="1">
      <c r="A613" s="205" t="s">
        <v>2439</v>
      </c>
      <c r="B613" s="205" t="s">
        <v>2440</v>
      </c>
      <c r="C613" s="205" t="s">
        <v>710</v>
      </c>
      <c r="D613" s="205" t="s">
        <v>2441</v>
      </c>
      <c r="E613" s="205"/>
      <c r="F613" s="205">
        <v>2025</v>
      </c>
      <c r="G613" s="223" t="str">
        <f t="shared" si="95"/>
        <v>SAI122025</v>
      </c>
    </row>
    <row r="614" spans="1:7" ht="14.25" customHeight="1">
      <c r="A614" s="205" t="s">
        <v>2442</v>
      </c>
      <c r="B614" s="205" t="s">
        <v>2443</v>
      </c>
      <c r="C614" s="205" t="s">
        <v>712</v>
      </c>
      <c r="D614" s="205" t="s">
        <v>2444</v>
      </c>
      <c r="E614" s="205"/>
      <c r="F614" s="205">
        <v>2025</v>
      </c>
      <c r="G614" s="223" t="s">
        <v>2445</v>
      </c>
    </row>
    <row r="615" spans="1:7" ht="14.25" customHeight="1">
      <c r="A615" s="205" t="s">
        <v>2446</v>
      </c>
      <c r="B615" s="205" t="s">
        <v>2447</v>
      </c>
      <c r="C615" s="205" t="s">
        <v>727</v>
      </c>
      <c r="D615" s="205" t="s">
        <v>2448</v>
      </c>
      <c r="E615" s="205"/>
      <c r="F615" s="205">
        <v>2025</v>
      </c>
      <c r="G615" s="223" t="str">
        <f t="shared" ref="G615:G636" si="96">C615&amp;F615</f>
        <v>SGO122025</v>
      </c>
    </row>
    <row r="616" spans="1:7" ht="14.25" customHeight="1">
      <c r="A616" s="205" t="s">
        <v>2449</v>
      </c>
      <c r="B616" s="205" t="s">
        <v>2450</v>
      </c>
      <c r="C616" s="205" t="s">
        <v>716</v>
      </c>
      <c r="D616" s="205" t="s">
        <v>2451</v>
      </c>
      <c r="E616" s="205"/>
      <c r="F616" s="205">
        <v>2025</v>
      </c>
      <c r="G616" s="223" t="str">
        <f t="shared" si="96"/>
        <v>SLA122025</v>
      </c>
    </row>
    <row r="617" spans="1:7" ht="14.25" customHeight="1">
      <c r="A617" s="205" t="s">
        <v>2452</v>
      </c>
      <c r="B617" s="205" t="s">
        <v>2453</v>
      </c>
      <c r="C617" s="205" t="s">
        <v>732</v>
      </c>
      <c r="D617" s="205" t="s">
        <v>2454</v>
      </c>
      <c r="E617" s="205"/>
      <c r="F617" s="205">
        <v>2025</v>
      </c>
      <c r="G617" s="223" t="str">
        <f t="shared" si="96"/>
        <v>SLD122025</v>
      </c>
    </row>
    <row r="618" spans="1:7" ht="14.25" customHeight="1">
      <c r="A618" s="205" t="s">
        <v>2455</v>
      </c>
      <c r="B618" s="205" t="s">
        <v>2456</v>
      </c>
      <c r="C618" s="205" t="s">
        <v>671</v>
      </c>
      <c r="D618" s="205" t="s">
        <v>2457</v>
      </c>
      <c r="E618" s="205"/>
      <c r="F618" s="205">
        <v>2025</v>
      </c>
      <c r="G618" s="223" t="str">
        <f t="shared" si="96"/>
        <v>SLE122025</v>
      </c>
    </row>
    <row r="619" spans="1:7" ht="14.25" customHeight="1">
      <c r="A619" s="205" t="s">
        <v>2458</v>
      </c>
      <c r="B619" s="205" t="s">
        <v>2459</v>
      </c>
      <c r="C619" s="205" t="s">
        <v>731</v>
      </c>
      <c r="D619" s="205" t="s">
        <v>2460</v>
      </c>
      <c r="E619" s="205"/>
      <c r="F619" s="205">
        <v>2025</v>
      </c>
      <c r="G619" s="223" t="str">
        <f t="shared" si="96"/>
        <v>SLM122025</v>
      </c>
    </row>
    <row r="620" spans="1:7" ht="14.25" customHeight="1">
      <c r="A620" s="205" t="s">
        <v>2461</v>
      </c>
      <c r="B620" s="205" t="s">
        <v>2462</v>
      </c>
      <c r="C620" s="205" t="s">
        <v>733</v>
      </c>
      <c r="D620" s="205" t="s">
        <v>2463</v>
      </c>
      <c r="E620" s="205"/>
      <c r="F620" s="205">
        <v>2025</v>
      </c>
      <c r="G620" s="223" t="str">
        <f t="shared" si="96"/>
        <v>SLN122025</v>
      </c>
    </row>
    <row r="621" spans="1:7" ht="14.25" customHeight="1">
      <c r="A621" s="205" t="s">
        <v>2464</v>
      </c>
      <c r="B621" s="205" t="s">
        <v>2465</v>
      </c>
      <c r="C621" s="205" t="s">
        <v>715</v>
      </c>
      <c r="D621" s="205" t="s">
        <v>2466</v>
      </c>
      <c r="E621" s="205"/>
      <c r="F621" s="205">
        <v>2025</v>
      </c>
      <c r="G621" s="223" t="str">
        <f t="shared" si="96"/>
        <v>SLS122025</v>
      </c>
    </row>
    <row r="622" spans="1:7" ht="14.25" customHeight="1">
      <c r="A622" s="205" t="s">
        <v>2467</v>
      </c>
      <c r="B622" s="205" t="s">
        <v>2468</v>
      </c>
      <c r="C622" s="205" t="s">
        <v>1229</v>
      </c>
      <c r="D622" s="205" t="s">
        <v>2469</v>
      </c>
      <c r="E622" s="205"/>
      <c r="F622" s="205">
        <v>2025</v>
      </c>
      <c r="G622" s="223" t="str">
        <f t="shared" si="96"/>
        <v>SPS122025</v>
      </c>
    </row>
    <row r="623" spans="1:7" ht="14.25" customHeight="1">
      <c r="A623" s="205" t="s">
        <v>2470</v>
      </c>
      <c r="B623" s="205" t="s">
        <v>2471</v>
      </c>
      <c r="C623" s="205" t="s">
        <v>1235</v>
      </c>
      <c r="D623" s="205" t="s">
        <v>2472</v>
      </c>
      <c r="E623" s="205"/>
      <c r="F623" s="205">
        <v>2025</v>
      </c>
      <c r="G623" s="223" t="str">
        <f t="shared" si="96"/>
        <v>SPX122025</v>
      </c>
    </row>
    <row r="624" spans="1:7" ht="14.25" customHeight="1">
      <c r="A624" s="205" t="s">
        <v>2473</v>
      </c>
      <c r="B624" s="205" t="s">
        <v>2344</v>
      </c>
      <c r="C624" s="205" t="s">
        <v>717</v>
      </c>
      <c r="D624" s="205" t="s">
        <v>2345</v>
      </c>
      <c r="E624" s="205"/>
      <c r="F624" s="205">
        <v>2025</v>
      </c>
      <c r="G624" s="223" t="str">
        <f t="shared" si="96"/>
        <v>MLA162025</v>
      </c>
    </row>
    <row r="625" spans="1:8" ht="14.25" customHeight="1">
      <c r="A625" s="205" t="s">
        <v>2474</v>
      </c>
      <c r="B625" s="205" t="s">
        <v>2344</v>
      </c>
      <c r="C625" s="205" t="s">
        <v>717</v>
      </c>
      <c r="D625" s="205" t="s">
        <v>2345</v>
      </c>
      <c r="E625" s="205"/>
      <c r="F625" s="205">
        <v>2025</v>
      </c>
      <c r="G625" s="223" t="str">
        <f t="shared" si="96"/>
        <v>MLA162025</v>
      </c>
    </row>
    <row r="626" spans="1:8" ht="14.25" customHeight="1">
      <c r="A626" s="205" t="s">
        <v>2475</v>
      </c>
      <c r="B626" s="205" t="s">
        <v>2425</v>
      </c>
      <c r="C626" s="205" t="s">
        <v>736</v>
      </c>
      <c r="D626" s="205" t="s">
        <v>2426</v>
      </c>
      <c r="E626" s="205"/>
      <c r="F626" s="205">
        <v>2025</v>
      </c>
      <c r="G626" s="223" t="str">
        <f t="shared" si="96"/>
        <v>MVS162025</v>
      </c>
    </row>
    <row r="627" spans="1:8" ht="14.25" customHeight="1">
      <c r="A627" s="205" t="s">
        <v>2476</v>
      </c>
      <c r="B627" s="205" t="s">
        <v>2477</v>
      </c>
      <c r="C627" s="205" t="s">
        <v>1291</v>
      </c>
      <c r="D627" s="205" t="s">
        <v>2478</v>
      </c>
      <c r="E627" s="205"/>
      <c r="F627" s="205">
        <v>2025</v>
      </c>
      <c r="G627" s="223" t="str">
        <f t="shared" si="96"/>
        <v>MFI202025</v>
      </c>
    </row>
    <row r="628" spans="1:8" ht="14.25" customHeight="1">
      <c r="A628" s="205" t="s">
        <v>2479</v>
      </c>
      <c r="B628" s="205" t="s">
        <v>2352</v>
      </c>
      <c r="C628" s="205" t="s">
        <v>662</v>
      </c>
      <c r="D628" s="205" t="s">
        <v>2353</v>
      </c>
      <c r="E628" s="205"/>
      <c r="F628" s="205">
        <v>2025</v>
      </c>
      <c r="G628" s="223" t="str">
        <f t="shared" si="96"/>
        <v>MLD162025</v>
      </c>
    </row>
    <row r="629" spans="1:8" ht="14.25" customHeight="1">
      <c r="A629" s="226" t="str">
        <f t="shared" ref="A629:A725" si="97">C629&amp;H629&amp;RIGHT(B629,2)</f>
        <v>APB1217825S5</v>
      </c>
      <c r="B629" s="205" t="s">
        <v>2480</v>
      </c>
      <c r="C629" s="205" t="s">
        <v>273</v>
      </c>
      <c r="D629" s="205" t="s">
        <v>2481</v>
      </c>
      <c r="E629" s="205"/>
      <c r="F629" s="205">
        <v>2025</v>
      </c>
      <c r="G629" s="223" t="str">
        <f t="shared" si="96"/>
        <v>APB122025</v>
      </c>
      <c r="H629" s="1">
        <v>17825</v>
      </c>
    </row>
    <row r="630" spans="1:8" ht="14.25" customHeight="1">
      <c r="A630" s="226" t="str">
        <f t="shared" si="97"/>
        <v>APB2029700S5</v>
      </c>
      <c r="B630" s="205" t="s">
        <v>2482</v>
      </c>
      <c r="C630" s="205" t="s">
        <v>275</v>
      </c>
      <c r="D630" s="205" t="s">
        <v>2483</v>
      </c>
      <c r="E630" s="205"/>
      <c r="F630" s="205">
        <v>2025</v>
      </c>
      <c r="G630" s="223" t="str">
        <f t="shared" si="96"/>
        <v>APB202025</v>
      </c>
      <c r="H630" s="1">
        <v>29700</v>
      </c>
    </row>
    <row r="631" spans="1:8" ht="14.25" customHeight="1">
      <c r="A631" s="226" t="str">
        <f t="shared" si="97"/>
        <v>APB2029700S5</v>
      </c>
      <c r="B631" s="205" t="s">
        <v>2484</v>
      </c>
      <c r="C631" s="205" t="s">
        <v>275</v>
      </c>
      <c r="D631" s="205" t="s">
        <v>2485</v>
      </c>
      <c r="E631" s="205"/>
      <c r="F631" s="205">
        <v>2025</v>
      </c>
      <c r="G631" s="223" t="str">
        <f t="shared" si="96"/>
        <v>APB202025</v>
      </c>
      <c r="H631" s="1">
        <v>29700</v>
      </c>
    </row>
    <row r="632" spans="1:8" ht="14.25" customHeight="1">
      <c r="A632" s="226" t="str">
        <f t="shared" si="97"/>
        <v>API1217825S5</v>
      </c>
      <c r="B632" s="205" t="s">
        <v>2486</v>
      </c>
      <c r="C632" s="205" t="s">
        <v>279</v>
      </c>
      <c r="D632" s="205" t="s">
        <v>2487</v>
      </c>
      <c r="E632" s="205"/>
      <c r="F632" s="205">
        <v>2025</v>
      </c>
      <c r="G632" s="223" t="str">
        <f t="shared" si="96"/>
        <v>API122025</v>
      </c>
      <c r="H632" s="1">
        <v>17825</v>
      </c>
    </row>
    <row r="633" spans="1:8" ht="14.25" customHeight="1">
      <c r="A633" s="226" t="str">
        <f t="shared" si="97"/>
        <v>API1623775S5</v>
      </c>
      <c r="B633" s="205" t="s">
        <v>2488</v>
      </c>
      <c r="C633" s="205" t="s">
        <v>281</v>
      </c>
      <c r="D633" s="205" t="s">
        <v>2489</v>
      </c>
      <c r="E633" s="205"/>
      <c r="F633" s="205">
        <v>2025</v>
      </c>
      <c r="G633" s="223" t="str">
        <f t="shared" si="96"/>
        <v>API162025</v>
      </c>
      <c r="H633" s="1">
        <v>23775</v>
      </c>
    </row>
    <row r="634" spans="1:8" ht="14.25" customHeight="1">
      <c r="A634" s="226" t="str">
        <f t="shared" si="97"/>
        <v>API1623775S5</v>
      </c>
      <c r="B634" s="205" t="s">
        <v>2490</v>
      </c>
      <c r="C634" s="205" t="s">
        <v>281</v>
      </c>
      <c r="D634" s="205" t="s">
        <v>2491</v>
      </c>
      <c r="E634" s="205"/>
      <c r="F634" s="205">
        <v>2025</v>
      </c>
      <c r="G634" s="223" t="str">
        <f t="shared" si="96"/>
        <v>API162025</v>
      </c>
      <c r="H634" s="1">
        <v>23775</v>
      </c>
    </row>
    <row r="635" spans="1:8" ht="14.25" customHeight="1">
      <c r="A635" s="226" t="str">
        <f t="shared" si="97"/>
        <v>API1623775S5</v>
      </c>
      <c r="B635" s="205" t="s">
        <v>2492</v>
      </c>
      <c r="C635" s="205" t="s">
        <v>281</v>
      </c>
      <c r="D635" s="205" t="s">
        <v>2493</v>
      </c>
      <c r="E635" s="205"/>
      <c r="F635" s="205">
        <v>2025</v>
      </c>
      <c r="G635" s="223" t="str">
        <f t="shared" si="96"/>
        <v>API162025</v>
      </c>
      <c r="H635" s="1">
        <v>23775</v>
      </c>
    </row>
    <row r="636" spans="1:8" ht="14.25" customHeight="1">
      <c r="A636" s="226" t="str">
        <f t="shared" si="97"/>
        <v>APR2029700S5</v>
      </c>
      <c r="B636" s="205" t="s">
        <v>2494</v>
      </c>
      <c r="C636" s="205" t="s">
        <v>277</v>
      </c>
      <c r="D636" s="205" t="s">
        <v>2495</v>
      </c>
      <c r="E636" s="205"/>
      <c r="F636" s="205">
        <v>2025</v>
      </c>
      <c r="G636" s="223" t="str">
        <f t="shared" si="96"/>
        <v>APR202025</v>
      </c>
      <c r="H636" s="1">
        <v>29700</v>
      </c>
    </row>
    <row r="637" spans="1:8" ht="14.25" customHeight="1">
      <c r="A637" s="226" t="str">
        <f t="shared" si="97"/>
        <v>ARB1217825S5</v>
      </c>
      <c r="B637" s="205" t="s">
        <v>2496</v>
      </c>
      <c r="C637" s="205" t="s">
        <v>81</v>
      </c>
      <c r="D637" s="205" t="s">
        <v>2497</v>
      </c>
      <c r="E637" s="205"/>
      <c r="F637" s="205">
        <v>2025</v>
      </c>
      <c r="G637" s="223" t="s">
        <v>2498</v>
      </c>
      <c r="H637" s="1">
        <v>17825</v>
      </c>
    </row>
    <row r="638" spans="1:8" ht="14.25" customHeight="1">
      <c r="A638" s="226" t="str">
        <f t="shared" si="97"/>
        <v>ARB2029700S5</v>
      </c>
      <c r="B638" s="205" t="s">
        <v>2499</v>
      </c>
      <c r="C638" s="205" t="s">
        <v>83</v>
      </c>
      <c r="D638" s="205" t="s">
        <v>2500</v>
      </c>
      <c r="E638" s="205"/>
      <c r="F638" s="205">
        <v>2025</v>
      </c>
      <c r="G638" s="223" t="str">
        <f t="shared" ref="G638:G640" si="98">C638&amp;F638</f>
        <v>ARB202025</v>
      </c>
      <c r="H638" s="1">
        <v>29700</v>
      </c>
    </row>
    <row r="639" spans="1:8" ht="14.25" customHeight="1">
      <c r="A639" s="226" t="str">
        <f t="shared" si="97"/>
        <v>ARK1217825S5</v>
      </c>
      <c r="B639" s="205" t="s">
        <v>2501</v>
      </c>
      <c r="C639" s="205" t="s">
        <v>79</v>
      </c>
      <c r="D639" s="205" t="s">
        <v>2502</v>
      </c>
      <c r="E639" s="205"/>
      <c r="F639" s="205">
        <v>2025</v>
      </c>
      <c r="G639" s="223" t="str">
        <f t="shared" si="98"/>
        <v>ARK122025</v>
      </c>
      <c r="H639" s="1">
        <v>17825</v>
      </c>
    </row>
    <row r="640" spans="1:8" ht="14.25" customHeight="1">
      <c r="A640" s="226" t="str">
        <f t="shared" si="97"/>
        <v>ARL1623775S5</v>
      </c>
      <c r="B640" s="205" t="s">
        <v>2503</v>
      </c>
      <c r="C640" s="205" t="s">
        <v>85</v>
      </c>
      <c r="D640" s="205" t="s">
        <v>2504</v>
      </c>
      <c r="E640" s="205"/>
      <c r="F640" s="205">
        <v>2025</v>
      </c>
      <c r="G640" s="223" t="str">
        <f t="shared" si="98"/>
        <v>ARL162025</v>
      </c>
      <c r="H640" s="1">
        <v>23775</v>
      </c>
    </row>
    <row r="641" spans="1:8" ht="14.25" customHeight="1">
      <c r="A641" s="226" t="str">
        <f t="shared" si="97"/>
        <v>ARM1217825S5</v>
      </c>
      <c r="B641" s="205" t="s">
        <v>2505</v>
      </c>
      <c r="C641" s="205" t="s">
        <v>74</v>
      </c>
      <c r="D641" s="205" t="s">
        <v>2506</v>
      </c>
      <c r="E641" s="205"/>
      <c r="F641" s="205">
        <v>2025</v>
      </c>
      <c r="G641" s="223" t="s">
        <v>2507</v>
      </c>
      <c r="H641" s="1">
        <v>17825</v>
      </c>
    </row>
    <row r="642" spans="1:8" ht="14.25" customHeight="1">
      <c r="A642" s="226" t="str">
        <f t="shared" si="97"/>
        <v>ARM1623775S5</v>
      </c>
      <c r="B642" s="205" t="s">
        <v>2508</v>
      </c>
      <c r="C642" s="205" t="s">
        <v>77</v>
      </c>
      <c r="D642" s="205" t="s">
        <v>2509</v>
      </c>
      <c r="E642" s="205"/>
      <c r="F642" s="205">
        <v>2025</v>
      </c>
      <c r="G642" s="223" t="str">
        <f t="shared" ref="G642:G644" si="99">C642&amp;F642</f>
        <v>ARM162025</v>
      </c>
      <c r="H642" s="1">
        <v>23775</v>
      </c>
    </row>
    <row r="643" spans="1:8" ht="14.25" customHeight="1">
      <c r="A643" s="226" t="str">
        <f t="shared" si="97"/>
        <v>BAJ1210325S5</v>
      </c>
      <c r="B643" s="205" t="s">
        <v>2510</v>
      </c>
      <c r="C643" s="205" t="s">
        <v>120</v>
      </c>
      <c r="D643" s="205" t="s">
        <v>2511</v>
      </c>
      <c r="E643" s="205"/>
      <c r="F643" s="205">
        <v>2025</v>
      </c>
      <c r="G643" s="223" t="str">
        <f t="shared" si="99"/>
        <v>BAJ122025</v>
      </c>
      <c r="H643" s="1">
        <v>10325</v>
      </c>
    </row>
    <row r="644" spans="1:8" ht="14.25" customHeight="1">
      <c r="A644" s="226" t="str">
        <f t="shared" si="97"/>
        <v>BGS1210325S5</v>
      </c>
      <c r="B644" s="205" t="s">
        <v>2512</v>
      </c>
      <c r="C644" s="205" t="s">
        <v>29</v>
      </c>
      <c r="D644" s="205" t="s">
        <v>2513</v>
      </c>
      <c r="E644" s="205"/>
      <c r="F644" s="205">
        <v>2025</v>
      </c>
      <c r="G644" s="223" t="str">
        <f t="shared" si="99"/>
        <v>BGS122025</v>
      </c>
      <c r="H644" s="1">
        <v>10325</v>
      </c>
    </row>
    <row r="645" spans="1:8" ht="14.25" customHeight="1">
      <c r="A645" s="226" t="str">
        <f t="shared" si="97"/>
        <v>BHU1210325S5</v>
      </c>
      <c r="B645" s="205" t="s">
        <v>2514</v>
      </c>
      <c r="C645" s="205" t="s">
        <v>203</v>
      </c>
      <c r="D645" s="205" t="s">
        <v>2515</v>
      </c>
      <c r="E645" s="205"/>
      <c r="F645" s="205">
        <v>2025</v>
      </c>
      <c r="G645" s="223" t="s">
        <v>2516</v>
      </c>
      <c r="H645" s="1">
        <v>10325</v>
      </c>
    </row>
    <row r="646" spans="1:8" ht="14.25" customHeight="1">
      <c r="A646" s="226" t="str">
        <f t="shared" si="97"/>
        <v>BLS1217825S5</v>
      </c>
      <c r="B646" s="205" t="s">
        <v>2517</v>
      </c>
      <c r="C646" s="205" t="s">
        <v>71</v>
      </c>
      <c r="D646" s="205" t="s">
        <v>2518</v>
      </c>
      <c r="E646" s="205"/>
      <c r="F646" s="205">
        <v>2025</v>
      </c>
      <c r="G646" s="223" t="str">
        <f>C646&amp;F646</f>
        <v>BLS122025</v>
      </c>
      <c r="H646" s="1">
        <v>17825</v>
      </c>
    </row>
    <row r="647" spans="1:8" ht="14.25" customHeight="1">
      <c r="A647" s="226" t="str">
        <f t="shared" si="97"/>
        <v>BRW1210325S5</v>
      </c>
      <c r="B647" s="205" t="s">
        <v>2519</v>
      </c>
      <c r="C647" s="205" t="s">
        <v>88</v>
      </c>
      <c r="D647" s="205" t="s">
        <v>2520</v>
      </c>
      <c r="E647" s="205"/>
      <c r="F647" s="205">
        <v>2025</v>
      </c>
      <c r="G647" s="223" t="s">
        <v>2521</v>
      </c>
      <c r="H647" s="1">
        <v>10325</v>
      </c>
    </row>
    <row r="648" spans="1:8" ht="14.25" customHeight="1">
      <c r="A648" s="226" t="str">
        <f t="shared" si="97"/>
        <v>BSH1210325S5</v>
      </c>
      <c r="B648" s="205" t="s">
        <v>2522</v>
      </c>
      <c r="C648" s="205" t="s">
        <v>32</v>
      </c>
      <c r="D648" s="205" t="s">
        <v>2523</v>
      </c>
      <c r="E648" s="205"/>
      <c r="F648" s="205">
        <v>2025</v>
      </c>
      <c r="G648" s="223" t="str">
        <f>C648&amp;F648</f>
        <v>BSH122025</v>
      </c>
      <c r="H648" s="1">
        <v>10325</v>
      </c>
    </row>
    <row r="649" spans="1:8" ht="14.25" customHeight="1">
      <c r="A649" s="226" t="str">
        <f t="shared" si="97"/>
        <v>CTL1623775S5</v>
      </c>
      <c r="B649" s="205" t="s">
        <v>2524</v>
      </c>
      <c r="C649" s="205" t="s">
        <v>64</v>
      </c>
      <c r="D649" s="205" t="s">
        <v>2525</v>
      </c>
      <c r="E649" s="205"/>
      <c r="F649" s="205">
        <v>2025</v>
      </c>
      <c r="G649" s="223" t="s">
        <v>2526</v>
      </c>
      <c r="H649" s="1">
        <v>23775</v>
      </c>
    </row>
    <row r="650" spans="1:8" ht="14.25" customHeight="1">
      <c r="A650" s="226" t="str">
        <f t="shared" si="97"/>
        <v>DFB1217825S5</v>
      </c>
      <c r="B650" s="205" t="s">
        <v>2527</v>
      </c>
      <c r="C650" s="205" t="s">
        <v>245</v>
      </c>
      <c r="D650" s="205" t="s">
        <v>2528</v>
      </c>
      <c r="E650" s="205"/>
      <c r="F650" s="205">
        <v>2025</v>
      </c>
      <c r="G650" s="223" t="str">
        <f t="shared" ref="G650:G651" si="100">C650&amp;F650</f>
        <v>DFB122025</v>
      </c>
      <c r="H650" s="1">
        <v>17825</v>
      </c>
    </row>
    <row r="651" spans="1:8" ht="14.25" customHeight="1">
      <c r="A651" s="226" t="str">
        <f t="shared" si="97"/>
        <v>DFB2029700S5</v>
      </c>
      <c r="B651" s="205" t="s">
        <v>2529</v>
      </c>
      <c r="C651" s="205" t="s">
        <v>247</v>
      </c>
      <c r="D651" s="205" t="s">
        <v>2530</v>
      </c>
      <c r="E651" s="205"/>
      <c r="F651" s="205">
        <v>2025</v>
      </c>
      <c r="G651" s="223" t="str">
        <f t="shared" si="100"/>
        <v>DFB202025</v>
      </c>
      <c r="H651" s="1">
        <v>29700</v>
      </c>
    </row>
    <row r="652" spans="1:8" ht="14.25" customHeight="1">
      <c r="A652" s="226" t="str">
        <f t="shared" si="97"/>
        <v>DFB2029700S5</v>
      </c>
      <c r="B652" s="205" t="s">
        <v>2531</v>
      </c>
      <c r="C652" s="205" t="s">
        <v>247</v>
      </c>
      <c r="D652" s="205" t="s">
        <v>2532</v>
      </c>
      <c r="E652" s="205"/>
      <c r="F652" s="205">
        <v>2025</v>
      </c>
      <c r="G652" s="223" t="s">
        <v>2533</v>
      </c>
      <c r="H652" s="1">
        <v>29700</v>
      </c>
    </row>
    <row r="653" spans="1:8" ht="14.25" customHeight="1">
      <c r="A653" s="226" t="str">
        <f t="shared" si="97"/>
        <v>DFI1217825S5</v>
      </c>
      <c r="B653" s="205" t="s">
        <v>2534</v>
      </c>
      <c r="C653" s="205" t="s">
        <v>250</v>
      </c>
      <c r="D653" s="205" t="s">
        <v>2535</v>
      </c>
      <c r="E653" s="205"/>
      <c r="F653" s="205">
        <v>2025</v>
      </c>
      <c r="G653" s="223" t="str">
        <f t="shared" ref="G653:G725" si="101">C653&amp;F653</f>
        <v>DFI122025</v>
      </c>
      <c r="H653" s="1">
        <v>17825</v>
      </c>
    </row>
    <row r="654" spans="1:8" ht="14.25" customHeight="1">
      <c r="A654" s="226" t="str">
        <f t="shared" si="97"/>
        <v>DFI1623775S5</v>
      </c>
      <c r="B654" s="205" t="s">
        <v>2536</v>
      </c>
      <c r="C654" s="205" t="s">
        <v>252</v>
      </c>
      <c r="D654" s="205" t="s">
        <v>2537</v>
      </c>
      <c r="E654" s="205"/>
      <c r="F654" s="205">
        <v>2025</v>
      </c>
      <c r="G654" s="224" t="str">
        <f t="shared" si="101"/>
        <v>DFI162025</v>
      </c>
      <c r="H654" s="1">
        <v>23775</v>
      </c>
    </row>
    <row r="655" spans="1:8" ht="14.25" customHeight="1">
      <c r="A655" s="226" t="str">
        <f t="shared" si="97"/>
        <v>DFR2029700S5</v>
      </c>
      <c r="B655" s="205" t="s">
        <v>2538</v>
      </c>
      <c r="C655" s="205" t="s">
        <v>284</v>
      </c>
      <c r="D655" s="205" t="s">
        <v>2539</v>
      </c>
      <c r="E655" s="205"/>
      <c r="F655" s="205">
        <v>2025</v>
      </c>
      <c r="G655" s="224" t="str">
        <f t="shared" si="101"/>
        <v>DFR202025</v>
      </c>
      <c r="H655" s="1">
        <v>29700</v>
      </c>
    </row>
    <row r="656" spans="1:8" ht="14.25" customHeight="1">
      <c r="A656" s="226" t="str">
        <f t="shared" si="97"/>
        <v>DRJ1210325S5</v>
      </c>
      <c r="B656" s="205" t="s">
        <v>2540</v>
      </c>
      <c r="C656" s="205" t="s">
        <v>199</v>
      </c>
      <c r="D656" s="205" t="s">
        <v>2541</v>
      </c>
      <c r="E656" s="205"/>
      <c r="F656" s="205">
        <v>2025</v>
      </c>
      <c r="G656" s="224" t="str">
        <f t="shared" si="101"/>
        <v>DRJ122025</v>
      </c>
      <c r="H656" s="1">
        <v>10325</v>
      </c>
    </row>
    <row r="657" spans="1:8" ht="14.25" customHeight="1">
      <c r="A657" s="226" t="str">
        <f t="shared" si="97"/>
        <v>GLP1623775S5</v>
      </c>
      <c r="B657" s="205" t="s">
        <v>2542</v>
      </c>
      <c r="C657" s="205" t="s">
        <v>286</v>
      </c>
      <c r="D657" s="205" t="s">
        <v>2543</v>
      </c>
      <c r="E657" s="205"/>
      <c r="F657" s="205">
        <v>2025</v>
      </c>
      <c r="G657" s="224" t="str">
        <f t="shared" si="101"/>
        <v>GLP162025</v>
      </c>
      <c r="H657" s="1">
        <v>23775</v>
      </c>
    </row>
    <row r="658" spans="1:8" ht="14.25" customHeight="1">
      <c r="A658" s="226" t="str">
        <f t="shared" si="97"/>
        <v>GLY1623775S5</v>
      </c>
      <c r="B658" s="205" t="s">
        <v>2544</v>
      </c>
      <c r="C658" s="205" t="s">
        <v>288</v>
      </c>
      <c r="D658" s="205" t="s">
        <v>2545</v>
      </c>
      <c r="E658" s="205"/>
      <c r="F658" s="205">
        <v>2025</v>
      </c>
      <c r="G658" s="224" t="str">
        <f t="shared" si="101"/>
        <v>GLY162025</v>
      </c>
      <c r="H658" s="1">
        <v>23775</v>
      </c>
    </row>
    <row r="659" spans="1:8" ht="14.25" customHeight="1">
      <c r="A659" s="226" t="str">
        <f t="shared" si="97"/>
        <v>KAM1210325S5</v>
      </c>
      <c r="B659" s="205" t="s">
        <v>2546</v>
      </c>
      <c r="C659" s="205" t="s">
        <v>37</v>
      </c>
      <c r="D659" s="205" t="s">
        <v>2547</v>
      </c>
      <c r="E659" s="205"/>
      <c r="F659" s="205">
        <v>2025</v>
      </c>
      <c r="G659" s="224" t="str">
        <f t="shared" si="101"/>
        <v>KAM122025</v>
      </c>
      <c r="H659" s="1">
        <v>10325</v>
      </c>
    </row>
    <row r="660" spans="1:8" ht="14.25" customHeight="1">
      <c r="A660" s="226" t="str">
        <f t="shared" si="97"/>
        <v>KBL1210325S5</v>
      </c>
      <c r="B660" s="205" t="s">
        <v>2548</v>
      </c>
      <c r="C660" s="205" t="s">
        <v>114</v>
      </c>
      <c r="D660" s="205" t="s">
        <v>2549</v>
      </c>
      <c r="E660" s="205"/>
      <c r="F660" s="205">
        <v>2025</v>
      </c>
      <c r="G660" s="224" t="str">
        <f t="shared" si="101"/>
        <v>KBL122025</v>
      </c>
      <c r="H660" s="1">
        <v>10325</v>
      </c>
    </row>
    <row r="661" spans="1:8" ht="14.25" customHeight="1">
      <c r="A661" s="226" t="str">
        <f t="shared" si="97"/>
        <v>KIT1210325S5</v>
      </c>
      <c r="B661" s="205" t="s">
        <v>2550</v>
      </c>
      <c r="C661" s="205" t="s">
        <v>264</v>
      </c>
      <c r="D661" s="205" t="s">
        <v>2551</v>
      </c>
      <c r="E661" s="205"/>
      <c r="F661" s="205">
        <v>2025</v>
      </c>
      <c r="G661" s="224" t="str">
        <f t="shared" si="101"/>
        <v>KIT122025</v>
      </c>
      <c r="H661" s="1">
        <v>10325</v>
      </c>
    </row>
    <row r="662" spans="1:8" ht="14.25" customHeight="1">
      <c r="A662" s="226" t="str">
        <f t="shared" si="97"/>
        <v>KIT1613775S5</v>
      </c>
      <c r="B662" s="205" t="s">
        <v>2552</v>
      </c>
      <c r="C662" s="205" t="s">
        <v>266</v>
      </c>
      <c r="D662" s="205" t="s">
        <v>2553</v>
      </c>
      <c r="E662" s="205"/>
      <c r="F662" s="205">
        <v>2025</v>
      </c>
      <c r="G662" s="224" t="str">
        <f t="shared" si="101"/>
        <v>KIT162025</v>
      </c>
      <c r="H662" s="1">
        <v>13775</v>
      </c>
    </row>
    <row r="663" spans="1:8" ht="14.25" customHeight="1">
      <c r="A663" s="226" t="str">
        <f t="shared" si="97"/>
        <v>KPT1210325S5</v>
      </c>
      <c r="B663" s="205" t="s">
        <v>2554</v>
      </c>
      <c r="C663" s="205" t="s">
        <v>134</v>
      </c>
      <c r="D663" s="205" t="s">
        <v>2555</v>
      </c>
      <c r="E663" s="205"/>
      <c r="F663" s="205">
        <v>2025</v>
      </c>
      <c r="G663" s="224" t="str">
        <f t="shared" si="101"/>
        <v>KPT122025</v>
      </c>
      <c r="H663" s="1">
        <v>10325</v>
      </c>
    </row>
    <row r="664" spans="1:8" ht="14.25" customHeight="1">
      <c r="A664" s="226" t="str">
        <f t="shared" si="97"/>
        <v>KPT1210325S5</v>
      </c>
      <c r="B664" s="205" t="s">
        <v>2556</v>
      </c>
      <c r="C664" s="205" t="s">
        <v>134</v>
      </c>
      <c r="D664" s="205" t="s">
        <v>2557</v>
      </c>
      <c r="E664" s="205"/>
      <c r="F664" s="205">
        <v>2025</v>
      </c>
      <c r="G664" s="224" t="str">
        <f t="shared" si="101"/>
        <v>KPT122025</v>
      </c>
      <c r="H664" s="1">
        <v>10325</v>
      </c>
    </row>
    <row r="665" spans="1:8" ht="14.25" customHeight="1">
      <c r="A665" s="226" t="str">
        <f t="shared" si="97"/>
        <v>LND2017200S5</v>
      </c>
      <c r="B665" s="205" t="s">
        <v>2558</v>
      </c>
      <c r="C665" s="205" t="s">
        <v>117</v>
      </c>
      <c r="D665" s="205" t="s">
        <v>2559</v>
      </c>
      <c r="E665" s="205"/>
      <c r="F665" s="205">
        <v>2025</v>
      </c>
      <c r="G665" s="224" t="str">
        <f t="shared" si="101"/>
        <v>LND202025</v>
      </c>
      <c r="H665" s="1">
        <v>17200</v>
      </c>
    </row>
    <row r="666" spans="1:8" ht="14.25" customHeight="1">
      <c r="A666" s="226" t="str">
        <f t="shared" si="97"/>
        <v>LOJ1210325S5</v>
      </c>
      <c r="B666" s="205" t="s">
        <v>2560</v>
      </c>
      <c r="C666" s="205" t="s">
        <v>186</v>
      </c>
      <c r="D666" s="205" t="s">
        <v>2561</v>
      </c>
      <c r="E666" s="205"/>
      <c r="F666" s="205">
        <v>2025</v>
      </c>
      <c r="G666" s="224" t="str">
        <f t="shared" si="101"/>
        <v>LOJ122025</v>
      </c>
      <c r="H666" s="1">
        <v>10325</v>
      </c>
    </row>
    <row r="667" spans="1:8" ht="14.25" customHeight="1">
      <c r="A667" s="226" t="str">
        <f t="shared" si="97"/>
        <v>LOK1210325S5</v>
      </c>
      <c r="B667" s="205" t="s">
        <v>2562</v>
      </c>
      <c r="C667" s="205" t="s">
        <v>189</v>
      </c>
      <c r="D667" s="205" t="s">
        <v>2563</v>
      </c>
      <c r="E667" s="205"/>
      <c r="F667" s="205">
        <v>2025</v>
      </c>
      <c r="G667" s="224" t="str">
        <f t="shared" si="101"/>
        <v>LOK122025</v>
      </c>
      <c r="H667" s="1">
        <v>10325</v>
      </c>
    </row>
    <row r="668" spans="1:8" ht="14.25" customHeight="1">
      <c r="A668" s="226" t="str">
        <f t="shared" si="97"/>
        <v>MAU1210325S5</v>
      </c>
      <c r="B668" s="205" t="s">
        <v>2564</v>
      </c>
      <c r="C668" s="205" t="s">
        <v>195</v>
      </c>
      <c r="D668" s="205" t="s">
        <v>2565</v>
      </c>
      <c r="E668" s="205"/>
      <c r="F668" s="205">
        <v>2025</v>
      </c>
      <c r="G668" s="224" t="str">
        <f t="shared" si="101"/>
        <v>MAU122025</v>
      </c>
      <c r="H668" s="1">
        <v>10325</v>
      </c>
    </row>
    <row r="669" spans="1:8" ht="14.25" customHeight="1">
      <c r="A669" s="226" t="str">
        <f t="shared" si="97"/>
        <v>NAG2029700S5</v>
      </c>
      <c r="B669" s="205" t="s">
        <v>2566</v>
      </c>
      <c r="C669" s="205" t="s">
        <v>153</v>
      </c>
      <c r="D669" s="205" t="s">
        <v>2567</v>
      </c>
      <c r="E669" s="205"/>
      <c r="F669" s="205">
        <v>2025</v>
      </c>
      <c r="G669" s="224" t="str">
        <f t="shared" si="101"/>
        <v>NAG202025</v>
      </c>
      <c r="H669" s="1">
        <v>29700</v>
      </c>
    </row>
    <row r="670" spans="1:8" ht="14.25" customHeight="1">
      <c r="A670" s="226" t="str">
        <f t="shared" si="97"/>
        <v>NAT1623775S5</v>
      </c>
      <c r="B670" s="205" t="s">
        <v>2568</v>
      </c>
      <c r="C670" s="205" t="s">
        <v>148</v>
      </c>
      <c r="D670" s="205" t="s">
        <v>2569</v>
      </c>
      <c r="E670" s="205"/>
      <c r="F670" s="205">
        <v>2025</v>
      </c>
      <c r="G670" s="224" t="str">
        <f t="shared" si="101"/>
        <v>NAT162025</v>
      </c>
      <c r="H670" s="1">
        <v>23775</v>
      </c>
    </row>
    <row r="671" spans="1:8" ht="14.25" customHeight="1">
      <c r="A671" s="226" t="str">
        <f t="shared" si="97"/>
        <v>NAT2029700S5</v>
      </c>
      <c r="B671" s="205" t="s">
        <v>2570</v>
      </c>
      <c r="C671" s="205" t="s">
        <v>145</v>
      </c>
      <c r="D671" s="205" t="s">
        <v>2571</v>
      </c>
      <c r="E671" s="205"/>
      <c r="F671" s="205">
        <v>2025</v>
      </c>
      <c r="G671" s="224" t="str">
        <f t="shared" si="101"/>
        <v>NAT202025</v>
      </c>
      <c r="H671" s="1">
        <v>29700</v>
      </c>
    </row>
    <row r="672" spans="1:8" ht="14.25" customHeight="1">
      <c r="A672" s="226" t="str">
        <f t="shared" si="97"/>
        <v>NAT2029700S5</v>
      </c>
      <c r="B672" s="205" t="s">
        <v>2570</v>
      </c>
      <c r="C672" s="205" t="s">
        <v>145</v>
      </c>
      <c r="D672" s="205" t="s">
        <v>2572</v>
      </c>
      <c r="E672" s="205"/>
      <c r="F672" s="205">
        <v>2025</v>
      </c>
      <c r="G672" s="224" t="str">
        <f t="shared" si="101"/>
        <v>NAT202025</v>
      </c>
      <c r="H672" s="1">
        <v>29700</v>
      </c>
    </row>
    <row r="673" spans="1:8" ht="14.25" customHeight="1">
      <c r="A673" s="226" t="str">
        <f t="shared" si="97"/>
        <v>NIA1613775S5</v>
      </c>
      <c r="B673" s="205" t="s">
        <v>2573</v>
      </c>
      <c r="C673" s="205" t="s">
        <v>123</v>
      </c>
      <c r="D673" s="205" t="s">
        <v>2574</v>
      </c>
      <c r="E673" s="205"/>
      <c r="F673" s="205">
        <v>2025</v>
      </c>
      <c r="G673" s="224" t="str">
        <f t="shared" si="101"/>
        <v>NIA162025</v>
      </c>
      <c r="H673" s="1">
        <v>13775</v>
      </c>
    </row>
    <row r="674" spans="1:8" ht="14.25" customHeight="1">
      <c r="A674" s="226" t="str">
        <f t="shared" si="97"/>
        <v>NTL1623775S5</v>
      </c>
      <c r="B674" s="205" t="s">
        <v>2575</v>
      </c>
      <c r="C674" s="205" t="s">
        <v>151</v>
      </c>
      <c r="D674" s="205" t="s">
        <v>2576</v>
      </c>
      <c r="E674" s="205"/>
      <c r="F674" s="205">
        <v>2025</v>
      </c>
      <c r="G674" s="224" t="str">
        <f t="shared" si="101"/>
        <v>NTL162025</v>
      </c>
      <c r="H674" s="1">
        <v>23775</v>
      </c>
    </row>
    <row r="675" spans="1:8" ht="14.25" customHeight="1">
      <c r="A675" s="226" t="str">
        <f t="shared" si="97"/>
        <v>OEB1217825S5</v>
      </c>
      <c r="B675" s="205" t="s">
        <v>2577</v>
      </c>
      <c r="C675" s="205" t="s">
        <v>166</v>
      </c>
      <c r="D675" s="205" t="s">
        <v>2578</v>
      </c>
      <c r="E675" s="205"/>
      <c r="F675" s="205">
        <v>2025</v>
      </c>
      <c r="G675" s="224" t="str">
        <f t="shared" si="101"/>
        <v>OEB122025</v>
      </c>
      <c r="H675" s="1">
        <v>17825</v>
      </c>
    </row>
    <row r="676" spans="1:8" ht="14.25" customHeight="1">
      <c r="A676" s="226" t="str">
        <f t="shared" si="97"/>
        <v>OEB1623775S5</v>
      </c>
      <c r="B676" s="205" t="s">
        <v>2579</v>
      </c>
      <c r="C676" s="205" t="s">
        <v>169</v>
      </c>
      <c r="D676" s="205" t="s">
        <v>2580</v>
      </c>
      <c r="E676" s="205"/>
      <c r="F676" s="205">
        <v>2025</v>
      </c>
      <c r="G676" s="224" t="str">
        <f t="shared" si="101"/>
        <v>OEB162025</v>
      </c>
      <c r="H676" s="1">
        <v>23775</v>
      </c>
    </row>
    <row r="677" spans="1:8" ht="14.25" customHeight="1">
      <c r="A677" s="226" t="str">
        <f t="shared" si="97"/>
        <v>OEB2029700S5</v>
      </c>
      <c r="B677" s="205" t="s">
        <v>2581</v>
      </c>
      <c r="C677" s="205" t="s">
        <v>171</v>
      </c>
      <c r="D677" s="205" t="s">
        <v>2582</v>
      </c>
      <c r="E677" s="205"/>
      <c r="F677" s="205">
        <v>2025</v>
      </c>
      <c r="G677" s="224" t="str">
        <f t="shared" si="101"/>
        <v>OEB202025</v>
      </c>
      <c r="H677" s="1">
        <v>29700</v>
      </c>
    </row>
    <row r="678" spans="1:8" ht="14.25" customHeight="1">
      <c r="A678" s="226" t="str">
        <f t="shared" si="97"/>
        <v>OEM108600S5</v>
      </c>
      <c r="B678" s="205" t="s">
        <v>2583</v>
      </c>
      <c r="C678" s="205" t="s">
        <v>157</v>
      </c>
      <c r="D678" s="205" t="s">
        <v>2584</v>
      </c>
      <c r="E678" s="205"/>
      <c r="F678" s="205">
        <v>2025</v>
      </c>
      <c r="G678" s="224" t="str">
        <f t="shared" si="101"/>
        <v>OEM102025</v>
      </c>
      <c r="H678" s="1">
        <v>8600</v>
      </c>
    </row>
    <row r="679" spans="1:8" ht="14.25" customHeight="1">
      <c r="A679" s="226" t="str">
        <f t="shared" si="97"/>
        <v>OES1210325S5</v>
      </c>
      <c r="B679" s="205" t="s">
        <v>2585</v>
      </c>
      <c r="C679" s="205" t="s">
        <v>160</v>
      </c>
      <c r="D679" s="205" t="s">
        <v>2586</v>
      </c>
      <c r="E679" s="205"/>
      <c r="F679" s="205">
        <v>2025</v>
      </c>
      <c r="G679" s="224" t="str">
        <f t="shared" si="101"/>
        <v>OES122025</v>
      </c>
      <c r="H679" s="1">
        <v>10325</v>
      </c>
    </row>
    <row r="680" spans="1:8" ht="14.25" customHeight="1">
      <c r="A680" s="226" t="str">
        <f t="shared" si="97"/>
        <v>ONG1613775S5</v>
      </c>
      <c r="B680" s="205" t="s">
        <v>2587</v>
      </c>
      <c r="C680" s="205" t="s">
        <v>173</v>
      </c>
      <c r="D680" s="205" t="s">
        <v>2588</v>
      </c>
      <c r="E680" s="205"/>
      <c r="F680" s="205">
        <v>2025</v>
      </c>
      <c r="G680" s="224" t="str">
        <f t="shared" si="101"/>
        <v>ONG162025</v>
      </c>
      <c r="H680" s="1">
        <v>13775</v>
      </c>
    </row>
    <row r="681" spans="1:8" ht="14.25" customHeight="1">
      <c r="A681" s="226" t="str">
        <f t="shared" si="97"/>
        <v>POS1623775S5</v>
      </c>
      <c r="B681" s="205" t="s">
        <v>2589</v>
      </c>
      <c r="C681" s="205" t="s">
        <v>99</v>
      </c>
      <c r="D681" s="205" t="s">
        <v>2590</v>
      </c>
      <c r="E681" s="205"/>
      <c r="F681" s="205">
        <v>2025</v>
      </c>
      <c r="G681" s="224" t="str">
        <f t="shared" si="101"/>
        <v>POS162025</v>
      </c>
      <c r="H681" s="1">
        <v>23775</v>
      </c>
    </row>
    <row r="682" spans="1:8" ht="14.25" customHeight="1">
      <c r="A682" s="226" t="str">
        <f t="shared" si="97"/>
        <v>PRJ1210325S5</v>
      </c>
      <c r="B682" s="205" t="s">
        <v>2591</v>
      </c>
      <c r="C682" s="205" t="s">
        <v>49</v>
      </c>
      <c r="D682" s="205" t="s">
        <v>2592</v>
      </c>
      <c r="E682" s="205"/>
      <c r="F682" s="205">
        <v>2025</v>
      </c>
      <c r="G682" s="224" t="str">
        <f t="shared" si="101"/>
        <v>PRJ122025</v>
      </c>
      <c r="H682" s="1">
        <v>10325</v>
      </c>
    </row>
    <row r="683" spans="1:8" ht="14.25" customHeight="1">
      <c r="A683" s="226" t="str">
        <f t="shared" si="97"/>
        <v>PRL1210325S5</v>
      </c>
      <c r="B683" s="205" t="s">
        <v>2593</v>
      </c>
      <c r="C683" s="205" t="s">
        <v>52</v>
      </c>
      <c r="D683" s="205" t="s">
        <v>2594</v>
      </c>
      <c r="E683" s="205"/>
      <c r="F683" s="205">
        <v>2025</v>
      </c>
      <c r="G683" s="224" t="str">
        <f t="shared" si="101"/>
        <v>PRL122025</v>
      </c>
      <c r="H683" s="1">
        <v>10325</v>
      </c>
    </row>
    <row r="684" spans="1:8" ht="14.25" customHeight="1">
      <c r="A684" s="226" t="str">
        <f t="shared" si="97"/>
        <v>PRU1210325S5</v>
      </c>
      <c r="B684" s="205" t="s">
        <v>2595</v>
      </c>
      <c r="C684" s="205" t="s">
        <v>34</v>
      </c>
      <c r="D684" s="205" t="s">
        <v>2596</v>
      </c>
      <c r="E684" s="205"/>
      <c r="F684" s="205">
        <v>2025</v>
      </c>
      <c r="G684" s="224" t="str">
        <f t="shared" si="101"/>
        <v>PRU122025</v>
      </c>
      <c r="H684" s="1">
        <v>10325</v>
      </c>
    </row>
    <row r="685" spans="1:8" ht="14.25" customHeight="1">
      <c r="A685" s="226" t="str">
        <f t="shared" si="97"/>
        <v>PSP1210325S5</v>
      </c>
      <c r="B685" s="205" t="s">
        <v>2597</v>
      </c>
      <c r="C685" s="205" t="s">
        <v>25</v>
      </c>
      <c r="D685" s="205" t="s">
        <v>2598</v>
      </c>
      <c r="E685" s="205"/>
      <c r="F685" s="205">
        <v>2025</v>
      </c>
      <c r="G685" s="224" t="str">
        <f t="shared" si="101"/>
        <v>PSP122025</v>
      </c>
      <c r="H685" s="1">
        <v>10325</v>
      </c>
    </row>
    <row r="686" spans="1:8" ht="14.25" customHeight="1">
      <c r="A686" s="226" t="str">
        <f t="shared" si="97"/>
        <v>PSP1210325S5</v>
      </c>
      <c r="B686" s="205" t="s">
        <v>2599</v>
      </c>
      <c r="C686" s="205" t="s">
        <v>25</v>
      </c>
      <c r="D686" s="205" t="s">
        <v>2600</v>
      </c>
      <c r="E686" s="205"/>
      <c r="F686" s="205">
        <v>2025</v>
      </c>
      <c r="G686" s="224" t="str">
        <f t="shared" si="101"/>
        <v>PSP122025</v>
      </c>
      <c r="H686" s="1">
        <v>10325</v>
      </c>
    </row>
    <row r="687" spans="1:8" ht="14.25" customHeight="1">
      <c r="A687" s="226" t="str">
        <f t="shared" si="97"/>
        <v>RKT1613775S5</v>
      </c>
      <c r="B687" s="205" t="s">
        <v>2601</v>
      </c>
      <c r="C687" s="205" t="s">
        <v>137</v>
      </c>
      <c r="D687" s="205" t="s">
        <v>2602</v>
      </c>
      <c r="E687" s="205"/>
      <c r="F687" s="205">
        <v>2025</v>
      </c>
      <c r="G687" s="224" t="str">
        <f t="shared" si="101"/>
        <v>RKT162025</v>
      </c>
      <c r="H687" s="1">
        <v>13775</v>
      </c>
    </row>
    <row r="688" spans="1:8" ht="14.25" customHeight="1">
      <c r="A688" s="226" t="str">
        <f t="shared" si="97"/>
        <v>RKT1613775S5</v>
      </c>
      <c r="B688" s="205" t="s">
        <v>2603</v>
      </c>
      <c r="C688" s="205" t="s">
        <v>137</v>
      </c>
      <c r="D688" s="205" t="s">
        <v>2604</v>
      </c>
      <c r="E688" s="205"/>
      <c r="F688" s="205">
        <v>2025</v>
      </c>
      <c r="G688" s="224" t="str">
        <f t="shared" si="101"/>
        <v>RKT162025</v>
      </c>
      <c r="H688" s="1">
        <v>13775</v>
      </c>
    </row>
    <row r="689" spans="1:8" ht="14.25" customHeight="1">
      <c r="A689" s="226" t="str">
        <f t="shared" si="97"/>
        <v>SBH1210325S5</v>
      </c>
      <c r="B689" s="205" t="s">
        <v>2605</v>
      </c>
      <c r="C689" s="205" t="s">
        <v>41</v>
      </c>
      <c r="D689" s="205" t="s">
        <v>2606</v>
      </c>
      <c r="E689" s="205"/>
      <c r="F689" s="205">
        <v>2025</v>
      </c>
      <c r="G689" s="224" t="str">
        <f t="shared" si="101"/>
        <v>SBH122025</v>
      </c>
      <c r="H689" s="1">
        <v>10325</v>
      </c>
    </row>
    <row r="690" spans="1:8" ht="14.25" customHeight="1">
      <c r="A690" s="226" t="str">
        <f t="shared" si="97"/>
        <v>SGR1210325S5</v>
      </c>
      <c r="B690" s="205" t="s">
        <v>2607</v>
      </c>
      <c r="C690" s="205" t="s">
        <v>192</v>
      </c>
      <c r="D690" s="205" t="s">
        <v>2608</v>
      </c>
      <c r="E690" s="205"/>
      <c r="F690" s="205">
        <v>2025</v>
      </c>
      <c r="G690" s="224" t="str">
        <f t="shared" si="101"/>
        <v>SGR122025</v>
      </c>
      <c r="H690" s="1">
        <v>10325</v>
      </c>
    </row>
    <row r="691" spans="1:8" ht="14.25" customHeight="1">
      <c r="A691" s="226" t="str">
        <f t="shared" si="97"/>
        <v>SJK1210325S5</v>
      </c>
      <c r="B691" s="205" t="s">
        <v>2609</v>
      </c>
      <c r="C691" s="205" t="s">
        <v>206</v>
      </c>
      <c r="D691" s="205" t="s">
        <v>2610</v>
      </c>
      <c r="E691" s="205"/>
      <c r="F691" s="205">
        <v>2025</v>
      </c>
      <c r="G691" s="224" t="str">
        <f t="shared" si="101"/>
        <v>SJK122025</v>
      </c>
      <c r="H691" s="1">
        <v>10325</v>
      </c>
    </row>
    <row r="692" spans="1:8" ht="14.25" customHeight="1">
      <c r="A692" s="226" t="str">
        <f t="shared" si="97"/>
        <v>SLO1210325S5</v>
      </c>
      <c r="B692" s="205" t="s">
        <v>2611</v>
      </c>
      <c r="C692" s="205" t="s">
        <v>132</v>
      </c>
      <c r="D692" s="205" t="s">
        <v>2612</v>
      </c>
      <c r="E692" s="205"/>
      <c r="F692" s="205">
        <v>2025</v>
      </c>
      <c r="G692" s="224" t="str">
        <f t="shared" si="101"/>
        <v>SLO122025</v>
      </c>
      <c r="H692" s="1">
        <v>10325</v>
      </c>
    </row>
    <row r="693" spans="1:8" ht="14.25" customHeight="1">
      <c r="A693" s="226" t="str">
        <f t="shared" si="97"/>
        <v>SLP1210325S5</v>
      </c>
      <c r="B693" s="205" t="s">
        <v>2613</v>
      </c>
      <c r="C693" s="205" t="s">
        <v>129</v>
      </c>
      <c r="D693" s="205" t="s">
        <v>2614</v>
      </c>
      <c r="E693" s="205"/>
      <c r="F693" s="205">
        <v>2025</v>
      </c>
      <c r="G693" s="224" t="str">
        <f t="shared" si="101"/>
        <v>SLP122025</v>
      </c>
      <c r="H693" s="1">
        <v>10325</v>
      </c>
    </row>
    <row r="694" spans="1:8" ht="14.25" customHeight="1">
      <c r="A694" s="226" t="str">
        <f t="shared" si="97"/>
        <v>SLP1210325S5</v>
      </c>
      <c r="B694" s="205" t="s">
        <v>2615</v>
      </c>
      <c r="C694" s="205" t="s">
        <v>129</v>
      </c>
      <c r="D694" s="205" t="s">
        <v>2616</v>
      </c>
      <c r="E694" s="205"/>
      <c r="F694" s="205">
        <v>2025</v>
      </c>
      <c r="G694" s="224" t="str">
        <f t="shared" si="101"/>
        <v>SLP122025</v>
      </c>
      <c r="H694" s="1">
        <v>10325</v>
      </c>
    </row>
    <row r="695" spans="1:8" ht="14.25" customHeight="1">
      <c r="A695" s="226" t="str">
        <f t="shared" si="97"/>
        <v>SLR1210325S5</v>
      </c>
      <c r="B695" s="205" t="s">
        <v>2617</v>
      </c>
      <c r="C695" s="205" t="s">
        <v>126</v>
      </c>
      <c r="D695" s="205" t="s">
        <v>2618</v>
      </c>
      <c r="E695" s="205"/>
      <c r="F695" s="205">
        <v>2025</v>
      </c>
      <c r="G695" s="224" t="str">
        <f t="shared" si="101"/>
        <v>SLR122025</v>
      </c>
      <c r="H695" s="1">
        <v>10325</v>
      </c>
    </row>
    <row r="696" spans="1:8" ht="14.25" customHeight="1">
      <c r="A696" s="226" t="str">
        <f t="shared" si="97"/>
        <v>SLT1211950S5</v>
      </c>
      <c r="B696" s="205" t="s">
        <v>2619</v>
      </c>
      <c r="C696" s="205" t="s">
        <v>107</v>
      </c>
      <c r="D696" s="205" t="s">
        <v>2620</v>
      </c>
      <c r="E696" s="205"/>
      <c r="F696" s="205">
        <v>2025</v>
      </c>
      <c r="G696" s="224" t="str">
        <f t="shared" si="101"/>
        <v>SLT122025</v>
      </c>
      <c r="H696" s="1">
        <v>11950</v>
      </c>
    </row>
    <row r="697" spans="1:8" ht="14.25" customHeight="1">
      <c r="A697" s="226" t="str">
        <f t="shared" si="97"/>
        <v>SLT1615925S5</v>
      </c>
      <c r="B697" s="205" t="s">
        <v>2621</v>
      </c>
      <c r="C697" s="205" t="s">
        <v>109</v>
      </c>
      <c r="D697" s="205" t="s">
        <v>2622</v>
      </c>
      <c r="E697" s="205"/>
      <c r="F697" s="205">
        <v>2025</v>
      </c>
      <c r="G697" s="224" t="str">
        <f t="shared" si="101"/>
        <v>SLT162025</v>
      </c>
      <c r="H697" s="1">
        <v>15925</v>
      </c>
    </row>
    <row r="698" spans="1:8" ht="14.25" customHeight="1">
      <c r="A698" s="226" t="str">
        <f t="shared" si="97"/>
        <v>SLT2019900S5</v>
      </c>
      <c r="B698" s="205" t="s">
        <v>2623</v>
      </c>
      <c r="C698" s="205" t="s">
        <v>112</v>
      </c>
      <c r="D698" s="205" t="s">
        <v>2624</v>
      </c>
      <c r="E698" s="205"/>
      <c r="F698" s="205">
        <v>2025</v>
      </c>
      <c r="G698" s="224" t="str">
        <f t="shared" si="101"/>
        <v>SLT202025</v>
      </c>
      <c r="H698" s="1">
        <v>19900</v>
      </c>
    </row>
    <row r="699" spans="1:8" ht="14.25" customHeight="1">
      <c r="A699" s="226" t="str">
        <f t="shared" si="97"/>
        <v>SOA1210325S5</v>
      </c>
      <c r="B699" s="205" t="s">
        <v>2625</v>
      </c>
      <c r="C699" s="205" t="s">
        <v>268</v>
      </c>
      <c r="D699" s="205" t="s">
        <v>2626</v>
      </c>
      <c r="E699" s="205"/>
      <c r="F699" s="205">
        <v>2025</v>
      </c>
      <c r="G699" s="224" t="str">
        <f t="shared" si="101"/>
        <v>SOA122025</v>
      </c>
      <c r="H699" s="1">
        <v>10325</v>
      </c>
    </row>
    <row r="700" spans="1:8" ht="14.25" customHeight="1">
      <c r="A700" s="226" t="str">
        <f t="shared" si="97"/>
        <v>SRS1210325S5</v>
      </c>
      <c r="B700" s="205" t="s">
        <v>2627</v>
      </c>
      <c r="C700" s="205" t="s">
        <v>92</v>
      </c>
      <c r="D700" s="205" t="s">
        <v>2628</v>
      </c>
      <c r="E700" s="205"/>
      <c r="F700" s="205">
        <v>2025</v>
      </c>
      <c r="G700" s="224" t="str">
        <f t="shared" si="101"/>
        <v>SRS122025</v>
      </c>
      <c r="H700" s="1">
        <v>10325</v>
      </c>
    </row>
    <row r="701" spans="1:8" ht="14.25" customHeight="1">
      <c r="A701" s="226" t="str">
        <f t="shared" si="97"/>
        <v>TBB1217825S5</v>
      </c>
      <c r="B701" s="205" t="s">
        <v>2629</v>
      </c>
      <c r="C701" s="205" t="s">
        <v>220</v>
      </c>
      <c r="D701" s="205" t="s">
        <v>2630</v>
      </c>
      <c r="E701" s="205"/>
      <c r="F701" s="205">
        <v>2025</v>
      </c>
      <c r="G701" s="224" t="str">
        <f t="shared" si="101"/>
        <v>TBB122025</v>
      </c>
      <c r="H701" s="1">
        <v>17825</v>
      </c>
    </row>
    <row r="702" spans="1:8" ht="14.25" customHeight="1">
      <c r="A702" s="226" t="str">
        <f t="shared" si="97"/>
        <v>TBS1210325S5</v>
      </c>
      <c r="B702" s="205" t="s">
        <v>2631</v>
      </c>
      <c r="C702" s="205" t="s">
        <v>216</v>
      </c>
      <c r="D702" s="205" t="s">
        <v>2632</v>
      </c>
      <c r="E702" s="205"/>
      <c r="F702" s="205">
        <v>2025</v>
      </c>
      <c r="G702" s="224" t="str">
        <f t="shared" si="101"/>
        <v>TBS122025</v>
      </c>
      <c r="H702" s="1">
        <v>10325</v>
      </c>
    </row>
    <row r="703" spans="1:8" ht="14.25" customHeight="1">
      <c r="A703" s="226" t="str">
        <f t="shared" si="97"/>
        <v>TEH1210325S5</v>
      </c>
      <c r="B703" s="205" t="s">
        <v>2633</v>
      </c>
      <c r="C703" s="205" t="s">
        <v>256</v>
      </c>
      <c r="D703" s="205" t="s">
        <v>2634</v>
      </c>
      <c r="E703" s="205"/>
      <c r="F703" s="205">
        <v>2025</v>
      </c>
      <c r="G703" s="224" t="str">
        <f t="shared" si="101"/>
        <v>TEH122025</v>
      </c>
      <c r="H703" s="1">
        <v>10325</v>
      </c>
    </row>
    <row r="704" spans="1:8" ht="14.25" customHeight="1">
      <c r="A704" s="226" t="str">
        <f t="shared" si="97"/>
        <v>TEK1210325S5</v>
      </c>
      <c r="B704" s="205" t="s">
        <v>2635</v>
      </c>
      <c r="C704" s="205" t="s">
        <v>258</v>
      </c>
      <c r="D704" s="205" t="s">
        <v>2636</v>
      </c>
      <c r="E704" s="205"/>
      <c r="F704" s="205">
        <v>2025</v>
      </c>
      <c r="G704" s="224" t="str">
        <f t="shared" si="101"/>
        <v>TEK122025</v>
      </c>
      <c r="H704" s="1">
        <v>10325</v>
      </c>
    </row>
    <row r="705" spans="1:8" ht="14.25" customHeight="1">
      <c r="A705" s="226" t="str">
        <f t="shared" si="97"/>
        <v>TEK1613775S5</v>
      </c>
      <c r="B705" s="205" t="s">
        <v>2637</v>
      </c>
      <c r="C705" s="205" t="s">
        <v>260</v>
      </c>
      <c r="D705" s="205" t="s">
        <v>2638</v>
      </c>
      <c r="E705" s="205"/>
      <c r="F705" s="205">
        <v>2025</v>
      </c>
      <c r="G705" s="224" t="str">
        <f t="shared" si="101"/>
        <v>TEK162025</v>
      </c>
      <c r="H705" s="1">
        <v>13775</v>
      </c>
    </row>
    <row r="706" spans="1:8" ht="14.25" customHeight="1">
      <c r="A706" s="226" t="str">
        <f t="shared" si="97"/>
        <v>TEM1210325S5</v>
      </c>
      <c r="B706" s="205" t="s">
        <v>2639</v>
      </c>
      <c r="C706" s="205" t="s">
        <v>262</v>
      </c>
      <c r="D706" s="205" t="s">
        <v>2640</v>
      </c>
      <c r="E706" s="205"/>
      <c r="F706" s="205">
        <v>2025</v>
      </c>
      <c r="G706" s="224" t="str">
        <f t="shared" si="101"/>
        <v>TEM122025</v>
      </c>
      <c r="H706" s="1">
        <v>10325</v>
      </c>
    </row>
    <row r="707" spans="1:8" ht="14.25" customHeight="1">
      <c r="A707" s="226" t="str">
        <f t="shared" si="97"/>
        <v>TTL1623775S5</v>
      </c>
      <c r="B707" s="205" t="s">
        <v>2641</v>
      </c>
      <c r="C707" s="205" t="s">
        <v>101</v>
      </c>
      <c r="D707" s="205" t="s">
        <v>2642</v>
      </c>
      <c r="E707" s="205"/>
      <c r="F707" s="205">
        <v>2025</v>
      </c>
      <c r="G707" s="224" t="str">
        <f t="shared" si="101"/>
        <v>TTL162025</v>
      </c>
      <c r="H707" s="1">
        <v>23775</v>
      </c>
    </row>
    <row r="708" spans="1:8" ht="14.25" customHeight="1">
      <c r="A708" s="226" t="str">
        <f t="shared" si="97"/>
        <v>TWD1623775S5</v>
      </c>
      <c r="B708" s="205" t="s">
        <v>2643</v>
      </c>
      <c r="C708" s="205" t="s">
        <v>234</v>
      </c>
      <c r="D708" s="205" t="s">
        <v>2644</v>
      </c>
      <c r="E708" s="205"/>
      <c r="F708" s="205">
        <v>2025</v>
      </c>
      <c r="G708" s="224" t="str">
        <f t="shared" si="101"/>
        <v>TWD162025</v>
      </c>
      <c r="H708" s="1">
        <v>23775</v>
      </c>
    </row>
    <row r="709" spans="1:8" ht="14.25" customHeight="1">
      <c r="A709" s="226" t="str">
        <f t="shared" si="97"/>
        <v>TWG1623775S5</v>
      </c>
      <c r="B709" s="205" t="s">
        <v>2645</v>
      </c>
      <c r="C709" s="205" t="s">
        <v>230</v>
      </c>
      <c r="D709" s="205" t="s">
        <v>2646</v>
      </c>
      <c r="E709" s="205"/>
      <c r="F709" s="205">
        <v>2025</v>
      </c>
      <c r="G709" s="224" t="str">
        <f t="shared" si="101"/>
        <v>TWG162025</v>
      </c>
      <c r="H709" s="1">
        <v>23775</v>
      </c>
    </row>
    <row r="710" spans="1:8" ht="14.25" customHeight="1">
      <c r="A710" s="226" t="str">
        <f t="shared" si="97"/>
        <v>TWP1623775S5</v>
      </c>
      <c r="B710" s="205" t="s">
        <v>2647</v>
      </c>
      <c r="C710" s="205" t="s">
        <v>236</v>
      </c>
      <c r="D710" s="205" t="s">
        <v>2648</v>
      </c>
      <c r="E710" s="205"/>
      <c r="F710" s="205">
        <v>2025</v>
      </c>
      <c r="G710" s="224" t="str">
        <f t="shared" si="101"/>
        <v>TWP162025</v>
      </c>
      <c r="H710" s="1">
        <v>23775</v>
      </c>
    </row>
    <row r="711" spans="1:8" ht="14.25" customHeight="1">
      <c r="A711" s="226" t="str">
        <f t="shared" si="97"/>
        <v>TWR1217825S5</v>
      </c>
      <c r="B711" s="205" t="s">
        <v>2649</v>
      </c>
      <c r="C711" s="205" t="s">
        <v>239</v>
      </c>
      <c r="D711" s="205" t="s">
        <v>2650</v>
      </c>
      <c r="E711" s="205"/>
      <c r="F711" s="205">
        <v>2025</v>
      </c>
      <c r="G711" s="224" t="str">
        <f t="shared" si="101"/>
        <v>TWR122025</v>
      </c>
      <c r="H711" s="1">
        <v>17825</v>
      </c>
    </row>
    <row r="712" spans="1:8" ht="14.25" customHeight="1">
      <c r="A712" s="226" t="str">
        <f t="shared" si="97"/>
        <v>TWR1623775S5</v>
      </c>
      <c r="B712" s="205" t="s">
        <v>2651</v>
      </c>
      <c r="C712" s="205" t="s">
        <v>227</v>
      </c>
      <c r="D712" s="205" t="s">
        <v>2652</v>
      </c>
      <c r="E712" s="205"/>
      <c r="F712" s="205">
        <v>2025</v>
      </c>
      <c r="G712" s="224" t="str">
        <f t="shared" si="101"/>
        <v>TWR162025</v>
      </c>
      <c r="H712" s="1">
        <v>23775</v>
      </c>
    </row>
    <row r="713" spans="1:8" ht="14.25" customHeight="1">
      <c r="A713" s="226" t="str">
        <f t="shared" si="97"/>
        <v>TWS1623775S5</v>
      </c>
      <c r="B713" s="205" t="s">
        <v>2653</v>
      </c>
      <c r="C713" s="205" t="s">
        <v>232</v>
      </c>
      <c r="D713" s="205" t="s">
        <v>2654</v>
      </c>
      <c r="E713" s="205"/>
      <c r="F713" s="205">
        <v>2025</v>
      </c>
      <c r="G713" s="224" t="str">
        <f t="shared" si="101"/>
        <v>TWS162025</v>
      </c>
      <c r="H713" s="1">
        <v>23775</v>
      </c>
    </row>
    <row r="714" spans="1:8" ht="14.25" customHeight="1">
      <c r="A714" s="226" t="str">
        <f t="shared" si="97"/>
        <v>TWY1623775S5</v>
      </c>
      <c r="B714" s="205" t="s">
        <v>2655</v>
      </c>
      <c r="C714" s="205" t="s">
        <v>224</v>
      </c>
      <c r="D714" s="205" t="s">
        <v>2656</v>
      </c>
      <c r="E714" s="205"/>
      <c r="F714" s="205">
        <v>2025</v>
      </c>
      <c r="G714" s="224" t="str">
        <f t="shared" si="101"/>
        <v>TWY162025</v>
      </c>
      <c r="H714" s="1">
        <v>23775</v>
      </c>
    </row>
    <row r="715" spans="1:8" ht="14.25" customHeight="1">
      <c r="A715" s="226" t="str">
        <f t="shared" si="97"/>
        <v>UTG1210325S5</v>
      </c>
      <c r="B715" s="205" t="s">
        <v>2657</v>
      </c>
      <c r="C715" s="205" t="s">
        <v>210</v>
      </c>
      <c r="D715" s="205" t="s">
        <v>2658</v>
      </c>
      <c r="E715" s="205"/>
      <c r="F715" s="205">
        <v>2025</v>
      </c>
      <c r="G715" s="224" t="str">
        <f t="shared" si="101"/>
        <v>UTG122025</v>
      </c>
      <c r="H715" s="1">
        <v>10325</v>
      </c>
    </row>
    <row r="716" spans="1:8" ht="14.25" customHeight="1">
      <c r="A716" s="226" t="str">
        <f t="shared" si="97"/>
        <v>VER2031300S5</v>
      </c>
      <c r="B716" s="205" t="s">
        <v>2659</v>
      </c>
      <c r="C716" s="205" t="s">
        <v>46</v>
      </c>
      <c r="D716" s="205" t="s">
        <v>2660</v>
      </c>
      <c r="E716" s="205"/>
      <c r="F716" s="205">
        <v>2025</v>
      </c>
      <c r="G716" s="224" t="str">
        <f t="shared" si="101"/>
        <v>VER202025</v>
      </c>
      <c r="H716" s="1">
        <v>31300</v>
      </c>
    </row>
    <row r="717" spans="1:8" ht="14.25" customHeight="1">
      <c r="A717" s="226" t="str">
        <f t="shared" si="97"/>
        <v>VGZ1623775S5</v>
      </c>
      <c r="B717" s="205" t="s">
        <v>2661</v>
      </c>
      <c r="C717" s="205" t="s">
        <v>67</v>
      </c>
      <c r="D717" s="205" t="s">
        <v>2662</v>
      </c>
      <c r="E717" s="205"/>
      <c r="F717" s="205">
        <v>2025</v>
      </c>
      <c r="G717" s="224" t="str">
        <f t="shared" si="101"/>
        <v>VGZ162025</v>
      </c>
      <c r="H717" s="1">
        <v>23775</v>
      </c>
    </row>
    <row r="718" spans="1:8" ht="14.25" customHeight="1">
      <c r="A718" s="226" t="str">
        <f t="shared" si="97"/>
        <v>VKT1613775S5</v>
      </c>
      <c r="B718" s="205" t="s">
        <v>2663</v>
      </c>
      <c r="C718" s="205" t="s">
        <v>104</v>
      </c>
      <c r="D718" s="205" t="s">
        <v>2664</v>
      </c>
      <c r="E718" s="205"/>
      <c r="F718" s="205">
        <v>2025</v>
      </c>
      <c r="G718" s="224" t="str">
        <f t="shared" si="101"/>
        <v>VKT162025</v>
      </c>
      <c r="H718" s="1">
        <v>13775</v>
      </c>
    </row>
    <row r="719" spans="1:8" ht="14.25" customHeight="1">
      <c r="A719" s="226" t="str">
        <f t="shared" si="97"/>
        <v>VOK1210325S5</v>
      </c>
      <c r="B719" s="205" t="s">
        <v>2665</v>
      </c>
      <c r="C719" s="205" t="s">
        <v>142</v>
      </c>
      <c r="D719" s="205" t="s">
        <v>2666</v>
      </c>
      <c r="E719" s="205"/>
      <c r="F719" s="205">
        <v>2025</v>
      </c>
      <c r="G719" s="224" t="str">
        <f t="shared" si="101"/>
        <v>VOK122025</v>
      </c>
      <c r="H719" s="1">
        <v>10325</v>
      </c>
    </row>
    <row r="720" spans="1:8" ht="14.25" customHeight="1">
      <c r="A720" s="226" t="str">
        <f t="shared" si="97"/>
        <v>VTX1623775S5</v>
      </c>
      <c r="B720" s="205" t="s">
        <v>2667</v>
      </c>
      <c r="C720" s="205" t="s">
        <v>254</v>
      </c>
      <c r="D720" s="205" t="s">
        <v>2668</v>
      </c>
      <c r="E720" s="205"/>
      <c r="F720" s="205">
        <v>2025</v>
      </c>
      <c r="G720" s="224" t="str">
        <f t="shared" si="101"/>
        <v>VTX162025</v>
      </c>
      <c r="H720" s="1">
        <v>23775</v>
      </c>
    </row>
    <row r="721" spans="1:8" ht="14.25" customHeight="1">
      <c r="A721" s="226" t="str">
        <f t="shared" si="97"/>
        <v>SME1210325S5</v>
      </c>
      <c r="B721" s="205" t="s">
        <v>2669</v>
      </c>
      <c r="C721" s="205" t="s">
        <v>176</v>
      </c>
      <c r="D721" s="205" t="s">
        <v>2670</v>
      </c>
      <c r="E721" s="205"/>
      <c r="F721" s="205">
        <v>2025</v>
      </c>
      <c r="G721" s="224" t="str">
        <f t="shared" si="101"/>
        <v>SME122025</v>
      </c>
      <c r="H721" s="1">
        <v>10325</v>
      </c>
    </row>
    <row r="722" spans="1:8" ht="14.25" customHeight="1">
      <c r="A722" s="226" t="str">
        <f t="shared" si="97"/>
        <v>SMB1210325S5</v>
      </c>
      <c r="B722" s="205" t="s">
        <v>2671</v>
      </c>
      <c r="C722" s="205" t="s">
        <v>179</v>
      </c>
      <c r="D722" s="205" t="s">
        <v>2672</v>
      </c>
      <c r="E722" s="205"/>
      <c r="F722" s="205">
        <v>2025</v>
      </c>
      <c r="G722" s="224" t="str">
        <f t="shared" si="101"/>
        <v>SMB122025</v>
      </c>
      <c r="H722" s="1">
        <v>10325</v>
      </c>
    </row>
    <row r="723" spans="1:8" ht="14.25" customHeight="1">
      <c r="A723" s="226" t="str">
        <f t="shared" si="97"/>
        <v>SMG1210325S5</v>
      </c>
      <c r="B723" s="205" t="s">
        <v>2673</v>
      </c>
      <c r="C723" s="205" t="s">
        <v>182</v>
      </c>
      <c r="D723" s="205" t="s">
        <v>2674</v>
      </c>
      <c r="E723" s="205"/>
      <c r="F723" s="205">
        <v>2025</v>
      </c>
      <c r="G723" s="224" t="str">
        <f t="shared" si="101"/>
        <v>SMG122025</v>
      </c>
      <c r="H723" s="1">
        <v>10325</v>
      </c>
    </row>
    <row r="724" spans="1:8" ht="14.25" customHeight="1">
      <c r="A724" s="226" t="str">
        <f t="shared" si="97"/>
        <v>TPT1623775S5</v>
      </c>
      <c r="B724" s="205" t="s">
        <v>2675</v>
      </c>
      <c r="C724" s="205" t="s">
        <v>241</v>
      </c>
      <c r="D724" s="205" t="s">
        <v>2676</v>
      </c>
      <c r="E724" s="205"/>
      <c r="F724" s="205">
        <v>2025</v>
      </c>
      <c r="G724" s="224" t="str">
        <f t="shared" si="101"/>
        <v>TPT162025</v>
      </c>
      <c r="H724" s="1">
        <v>23775</v>
      </c>
    </row>
    <row r="725" spans="1:8" ht="14.25" customHeight="1">
      <c r="A725" s="226" t="str">
        <f t="shared" si="97"/>
        <v>TPR1623775S5</v>
      </c>
      <c r="B725" s="205" t="s">
        <v>2677</v>
      </c>
      <c r="C725" s="205" t="s">
        <v>243</v>
      </c>
      <c r="D725" s="205" t="s">
        <v>2678</v>
      </c>
      <c r="E725" s="205"/>
      <c r="F725" s="205">
        <v>2025</v>
      </c>
      <c r="G725" s="224" t="str">
        <f t="shared" si="101"/>
        <v>TPR162025</v>
      </c>
      <c r="H725" s="1">
        <v>23775</v>
      </c>
    </row>
    <row r="726" spans="1:8" ht="14.25" customHeight="1"/>
    <row r="727" spans="1:8" ht="14.25" customHeight="1"/>
    <row r="728" spans="1:8" ht="14.25" customHeight="1"/>
    <row r="729" spans="1:8" ht="14.25" customHeight="1"/>
    <row r="730" spans="1:8" ht="14.25" customHeight="1"/>
    <row r="731" spans="1:8" ht="14.25" customHeight="1"/>
    <row r="732" spans="1:8" ht="14.25" customHeight="1"/>
    <row r="733" spans="1:8" ht="14.25" customHeight="1"/>
    <row r="734" spans="1:8" ht="14.25" customHeight="1"/>
    <row r="735" spans="1:8" ht="14.25" customHeight="1"/>
    <row r="736" spans="1:8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Q725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000"/>
  <sheetViews>
    <sheetView workbookViewId="0"/>
  </sheetViews>
  <sheetFormatPr defaultColWidth="14.42578125" defaultRowHeight="15" customHeight="1"/>
  <cols>
    <col min="1" max="1" width="5.7109375" customWidth="1"/>
    <col min="2" max="2" width="9.5703125" customWidth="1"/>
    <col min="3" max="3" width="12.42578125" customWidth="1"/>
    <col min="4" max="4" width="32.7109375" customWidth="1"/>
    <col min="5" max="5" width="15.42578125" customWidth="1"/>
    <col min="6" max="12" width="8.7109375" customWidth="1"/>
    <col min="13" max="13" width="66.28515625" customWidth="1"/>
    <col min="14" max="26" width="8.7109375" customWidth="1"/>
  </cols>
  <sheetData>
    <row r="1" spans="1:13" ht="14.25" customHeight="1"/>
    <row r="2" spans="1:13" ht="30.75" customHeight="1">
      <c r="A2" s="227" t="s">
        <v>2679</v>
      </c>
      <c r="B2" s="227" t="s">
        <v>2680</v>
      </c>
      <c r="C2" s="227" t="s">
        <v>2680</v>
      </c>
      <c r="D2" s="227" t="s">
        <v>2681</v>
      </c>
      <c r="E2" s="227" t="s">
        <v>2682</v>
      </c>
      <c r="F2" s="227" t="s">
        <v>2683</v>
      </c>
      <c r="G2" s="227" t="s">
        <v>2684</v>
      </c>
      <c r="H2" s="227" t="s">
        <v>2685</v>
      </c>
      <c r="I2" s="227" t="s">
        <v>2686</v>
      </c>
      <c r="J2" s="227" t="s">
        <v>2687</v>
      </c>
      <c r="K2" s="227" t="s">
        <v>2688</v>
      </c>
      <c r="L2" s="227" t="s">
        <v>2689</v>
      </c>
      <c r="M2" s="227" t="s">
        <v>2690</v>
      </c>
    </row>
    <row r="3" spans="1:13" ht="14.25" customHeight="1">
      <c r="A3" s="228">
        <v>1</v>
      </c>
      <c r="B3" s="229" t="s">
        <v>2691</v>
      </c>
      <c r="C3" s="229" t="s">
        <v>483</v>
      </c>
      <c r="D3" s="229" t="s">
        <v>2692</v>
      </c>
      <c r="E3" s="212">
        <v>12</v>
      </c>
      <c r="F3" s="229"/>
      <c r="G3" s="229"/>
      <c r="H3" s="229"/>
      <c r="I3" s="229">
        <v>1</v>
      </c>
      <c r="J3" s="229"/>
      <c r="K3" s="229"/>
      <c r="L3" s="229"/>
      <c r="M3" s="229"/>
    </row>
    <row r="4" spans="1:13" ht="14.25" customHeight="1">
      <c r="A4" s="228">
        <v>2</v>
      </c>
      <c r="B4" s="229" t="s">
        <v>2691</v>
      </c>
      <c r="C4" s="229" t="s">
        <v>483</v>
      </c>
      <c r="D4" s="229" t="s">
        <v>2693</v>
      </c>
      <c r="E4" s="212">
        <v>12</v>
      </c>
      <c r="F4" s="229"/>
      <c r="G4" s="229"/>
      <c r="H4" s="229"/>
      <c r="I4" s="229">
        <v>1</v>
      </c>
      <c r="J4" s="229"/>
      <c r="K4" s="229"/>
      <c r="L4" s="229"/>
      <c r="M4" s="229"/>
    </row>
    <row r="5" spans="1:13" ht="14.25" customHeight="1">
      <c r="A5" s="228">
        <v>3</v>
      </c>
      <c r="B5" s="229" t="s">
        <v>2691</v>
      </c>
      <c r="C5" s="229" t="s">
        <v>483</v>
      </c>
      <c r="D5" s="229" t="s">
        <v>2694</v>
      </c>
      <c r="E5" s="212">
        <v>12</v>
      </c>
      <c r="F5" s="229"/>
      <c r="G5" s="229"/>
      <c r="H5" s="229">
        <v>1</v>
      </c>
      <c r="I5" s="229"/>
      <c r="J5" s="229"/>
      <c r="K5" s="229"/>
      <c r="L5" s="229"/>
      <c r="M5" s="229"/>
    </row>
    <row r="6" spans="1:13" ht="14.25" customHeight="1">
      <c r="A6" s="228">
        <v>4</v>
      </c>
      <c r="B6" s="229" t="s">
        <v>2691</v>
      </c>
      <c r="C6" s="229" t="s">
        <v>483</v>
      </c>
      <c r="D6" s="229" t="s">
        <v>2695</v>
      </c>
      <c r="E6" s="212">
        <v>12</v>
      </c>
      <c r="F6" s="229"/>
      <c r="G6" s="229"/>
      <c r="H6" s="229">
        <v>1</v>
      </c>
      <c r="I6" s="229"/>
      <c r="J6" s="229"/>
      <c r="K6" s="229"/>
      <c r="L6" s="229"/>
      <c r="M6" s="229"/>
    </row>
    <row r="7" spans="1:13" ht="14.25" customHeight="1">
      <c r="A7" s="228">
        <v>5</v>
      </c>
      <c r="B7" s="229" t="s">
        <v>2691</v>
      </c>
      <c r="C7" s="229" t="s">
        <v>483</v>
      </c>
      <c r="D7" s="229" t="s">
        <v>2696</v>
      </c>
      <c r="E7" s="212">
        <v>8</v>
      </c>
      <c r="F7" s="229"/>
      <c r="G7" s="229"/>
      <c r="H7" s="229">
        <v>1</v>
      </c>
      <c r="I7" s="229"/>
      <c r="J7" s="229"/>
      <c r="K7" s="229"/>
      <c r="L7" s="229"/>
      <c r="M7" s="229"/>
    </row>
    <row r="8" spans="1:13" ht="14.25" customHeight="1">
      <c r="A8" s="228">
        <v>6</v>
      </c>
      <c r="B8" s="229" t="s">
        <v>2691</v>
      </c>
      <c r="C8" s="229" t="s">
        <v>483</v>
      </c>
      <c r="D8" s="229" t="s">
        <v>2697</v>
      </c>
      <c r="E8" s="212">
        <v>12</v>
      </c>
      <c r="F8" s="229"/>
      <c r="G8" s="229"/>
      <c r="H8" s="229"/>
      <c r="I8" s="229">
        <v>1</v>
      </c>
      <c r="J8" s="229"/>
      <c r="K8" s="229"/>
      <c r="L8" s="229"/>
      <c r="M8" s="229"/>
    </row>
    <row r="9" spans="1:13" ht="14.25" customHeight="1">
      <c r="A9" s="228">
        <v>7</v>
      </c>
      <c r="B9" s="229" t="s">
        <v>2691</v>
      </c>
      <c r="C9" s="229" t="s">
        <v>483</v>
      </c>
      <c r="D9" s="229" t="s">
        <v>2698</v>
      </c>
      <c r="E9" s="212">
        <v>10</v>
      </c>
      <c r="F9" s="229"/>
      <c r="G9" s="229"/>
      <c r="H9" s="229">
        <v>1</v>
      </c>
      <c r="I9" s="229"/>
      <c r="J9" s="229">
        <v>1</v>
      </c>
      <c r="K9" s="229"/>
      <c r="L9" s="229"/>
      <c r="M9" s="229"/>
    </row>
    <row r="10" spans="1:13" ht="14.25" customHeight="1">
      <c r="A10" s="228">
        <v>8</v>
      </c>
      <c r="B10" s="229" t="s">
        <v>2691</v>
      </c>
      <c r="C10" s="229" t="s">
        <v>483</v>
      </c>
      <c r="D10" s="229" t="s">
        <v>333</v>
      </c>
      <c r="E10" s="212">
        <v>10</v>
      </c>
      <c r="F10" s="229">
        <v>1</v>
      </c>
      <c r="G10" s="229">
        <v>1</v>
      </c>
      <c r="H10" s="229">
        <v>1</v>
      </c>
      <c r="I10" s="229">
        <v>1</v>
      </c>
      <c r="J10" s="229">
        <v>1</v>
      </c>
      <c r="K10" s="229"/>
      <c r="L10" s="229"/>
      <c r="M10" s="229"/>
    </row>
    <row r="11" spans="1:13" ht="14.25" customHeight="1">
      <c r="A11" s="228">
        <v>9</v>
      </c>
      <c r="B11" s="229" t="s">
        <v>2691</v>
      </c>
      <c r="C11" s="229" t="s">
        <v>483</v>
      </c>
      <c r="D11" s="229" t="s">
        <v>596</v>
      </c>
      <c r="E11" s="212">
        <v>12</v>
      </c>
      <c r="F11" s="229"/>
      <c r="G11" s="229"/>
      <c r="H11" s="229"/>
      <c r="I11" s="229">
        <v>1</v>
      </c>
      <c r="J11" s="229"/>
      <c r="K11" s="229"/>
      <c r="L11" s="229"/>
      <c r="M11" s="229"/>
    </row>
    <row r="12" spans="1:13" ht="14.25" customHeight="1">
      <c r="A12" s="228">
        <v>10</v>
      </c>
      <c r="B12" s="229" t="s">
        <v>2691</v>
      </c>
      <c r="C12" s="229" t="s">
        <v>483</v>
      </c>
      <c r="D12" s="229" t="s">
        <v>371</v>
      </c>
      <c r="E12" s="212">
        <v>13</v>
      </c>
      <c r="F12" s="229"/>
      <c r="G12" s="229"/>
      <c r="H12" s="229"/>
      <c r="I12" s="229"/>
      <c r="J12" s="229">
        <v>1</v>
      </c>
      <c r="K12" s="229"/>
      <c r="L12" s="229"/>
      <c r="M12" s="229"/>
    </row>
    <row r="13" spans="1:13" ht="14.25" customHeight="1">
      <c r="A13" s="228">
        <v>11</v>
      </c>
      <c r="B13" s="229" t="s">
        <v>2691</v>
      </c>
      <c r="C13" s="229" t="s">
        <v>483</v>
      </c>
      <c r="D13" s="229" t="s">
        <v>2699</v>
      </c>
      <c r="E13" s="212">
        <v>8</v>
      </c>
      <c r="F13" s="229"/>
      <c r="G13" s="229"/>
      <c r="H13" s="229"/>
      <c r="I13" s="229">
        <v>1</v>
      </c>
      <c r="J13" s="229"/>
      <c r="K13" s="229"/>
      <c r="L13" s="229"/>
      <c r="M13" s="229"/>
    </row>
    <row r="14" spans="1:13" ht="14.25" customHeight="1">
      <c r="A14" s="228">
        <v>12</v>
      </c>
      <c r="B14" s="229" t="s">
        <v>2691</v>
      </c>
      <c r="C14" s="229" t="s">
        <v>483</v>
      </c>
      <c r="D14" s="229" t="s">
        <v>2700</v>
      </c>
      <c r="E14" s="212">
        <v>8</v>
      </c>
      <c r="F14" s="229"/>
      <c r="G14" s="229"/>
      <c r="H14" s="229">
        <v>1</v>
      </c>
      <c r="I14" s="229"/>
      <c r="J14" s="229"/>
      <c r="K14" s="229"/>
      <c r="L14" s="229"/>
      <c r="M14" s="229"/>
    </row>
    <row r="15" spans="1:13" ht="14.25" customHeight="1">
      <c r="A15" s="228">
        <v>13</v>
      </c>
      <c r="B15" s="229" t="s">
        <v>2691</v>
      </c>
      <c r="C15" s="229" t="s">
        <v>483</v>
      </c>
      <c r="D15" s="229" t="s">
        <v>389</v>
      </c>
      <c r="E15" s="212">
        <v>10</v>
      </c>
      <c r="F15" s="229"/>
      <c r="G15" s="229"/>
      <c r="H15" s="229"/>
      <c r="I15" s="229">
        <v>1</v>
      </c>
      <c r="J15" s="229"/>
      <c r="K15" s="229"/>
      <c r="L15" s="229"/>
      <c r="M15" s="229"/>
    </row>
    <row r="16" spans="1:13" ht="14.25" customHeight="1">
      <c r="A16" s="228">
        <v>14</v>
      </c>
      <c r="B16" s="229" t="s">
        <v>2691</v>
      </c>
      <c r="C16" s="229" t="s">
        <v>483</v>
      </c>
      <c r="D16" s="229" t="s">
        <v>386</v>
      </c>
      <c r="E16" s="212">
        <v>10</v>
      </c>
      <c r="F16" s="229"/>
      <c r="G16" s="229"/>
      <c r="H16" s="229">
        <v>1</v>
      </c>
      <c r="I16" s="229"/>
      <c r="J16" s="229"/>
      <c r="K16" s="229"/>
      <c r="L16" s="229"/>
      <c r="M16" s="229"/>
    </row>
    <row r="17" spans="1:13" ht="14.25" customHeight="1">
      <c r="A17" s="228">
        <v>15</v>
      </c>
      <c r="B17" s="229" t="s">
        <v>2691</v>
      </c>
      <c r="C17" s="229" t="s">
        <v>483</v>
      </c>
      <c r="D17" s="229" t="s">
        <v>2701</v>
      </c>
      <c r="E17" s="212">
        <v>13</v>
      </c>
      <c r="F17" s="229"/>
      <c r="G17" s="229"/>
      <c r="H17" s="229"/>
      <c r="I17" s="229">
        <v>1</v>
      </c>
      <c r="J17" s="229"/>
      <c r="K17" s="229"/>
      <c r="L17" s="229"/>
      <c r="M17" s="229"/>
    </row>
    <row r="18" spans="1:13" ht="14.25" customHeight="1">
      <c r="A18" s="228">
        <v>16</v>
      </c>
      <c r="B18" s="229" t="s">
        <v>2702</v>
      </c>
      <c r="C18" s="229" t="s">
        <v>483</v>
      </c>
      <c r="D18" s="229" t="s">
        <v>2703</v>
      </c>
      <c r="E18" s="212">
        <v>1</v>
      </c>
      <c r="F18" s="229"/>
      <c r="G18" s="229">
        <v>1</v>
      </c>
      <c r="H18" s="229"/>
      <c r="I18" s="229"/>
      <c r="J18" s="229">
        <v>1</v>
      </c>
      <c r="K18" s="229"/>
      <c r="L18" s="229"/>
      <c r="M18" s="229"/>
    </row>
    <row r="19" spans="1:13" ht="14.25" customHeight="1">
      <c r="A19" s="228">
        <v>17</v>
      </c>
      <c r="B19" s="229" t="s">
        <v>2702</v>
      </c>
      <c r="C19" s="229" t="s">
        <v>483</v>
      </c>
      <c r="D19" s="229" t="s">
        <v>484</v>
      </c>
      <c r="E19" s="212">
        <v>2</v>
      </c>
      <c r="F19" s="229">
        <v>1</v>
      </c>
      <c r="G19" s="229">
        <v>1</v>
      </c>
      <c r="H19" s="229">
        <v>1</v>
      </c>
      <c r="I19" s="229"/>
      <c r="J19" s="229">
        <v>1</v>
      </c>
      <c r="K19" s="229">
        <v>1</v>
      </c>
      <c r="L19" s="229">
        <v>1</v>
      </c>
      <c r="M19" s="229"/>
    </row>
    <row r="20" spans="1:13" ht="14.25" customHeight="1">
      <c r="A20" s="228">
        <v>18</v>
      </c>
      <c r="B20" s="229" t="s">
        <v>2704</v>
      </c>
      <c r="C20" s="229" t="s">
        <v>483</v>
      </c>
      <c r="D20" s="229" t="s">
        <v>2705</v>
      </c>
      <c r="E20" s="212">
        <v>4</v>
      </c>
      <c r="F20" s="229"/>
      <c r="G20" s="229"/>
      <c r="H20" s="229"/>
      <c r="I20" s="229"/>
      <c r="J20" s="229">
        <v>1</v>
      </c>
      <c r="K20" s="229"/>
      <c r="L20" s="229"/>
      <c r="M20" s="229"/>
    </row>
    <row r="21" spans="1:13" ht="14.25" customHeight="1">
      <c r="A21" s="228">
        <v>19</v>
      </c>
      <c r="B21" s="229" t="s">
        <v>2704</v>
      </c>
      <c r="C21" s="229" t="s">
        <v>483</v>
      </c>
      <c r="D21" s="229" t="s">
        <v>2706</v>
      </c>
      <c r="E21" s="212">
        <v>1</v>
      </c>
      <c r="F21" s="229">
        <v>1</v>
      </c>
      <c r="G21" s="229">
        <v>1</v>
      </c>
      <c r="H21" s="229">
        <v>1</v>
      </c>
      <c r="I21" s="229">
        <v>1</v>
      </c>
      <c r="J21" s="229">
        <v>1</v>
      </c>
      <c r="K21" s="229"/>
      <c r="L21" s="229">
        <v>1</v>
      </c>
      <c r="M21" s="229"/>
    </row>
    <row r="22" spans="1:13" ht="14.25" customHeight="1">
      <c r="A22" s="228">
        <v>20</v>
      </c>
      <c r="B22" s="229" t="s">
        <v>2704</v>
      </c>
      <c r="C22" s="229" t="s">
        <v>483</v>
      </c>
      <c r="D22" s="229" t="s">
        <v>2707</v>
      </c>
      <c r="E22" s="212">
        <v>1</v>
      </c>
      <c r="F22" s="229"/>
      <c r="G22" s="229">
        <v>1</v>
      </c>
      <c r="H22" s="229"/>
      <c r="I22" s="229"/>
      <c r="J22" s="229"/>
      <c r="K22" s="229">
        <v>1</v>
      </c>
      <c r="L22" s="229"/>
      <c r="M22" s="229"/>
    </row>
    <row r="23" spans="1:13" ht="14.25" customHeight="1">
      <c r="A23" s="228">
        <v>21</v>
      </c>
      <c r="B23" s="229" t="s">
        <v>2704</v>
      </c>
      <c r="C23" s="229" t="s">
        <v>483</v>
      </c>
      <c r="D23" s="229" t="s">
        <v>2708</v>
      </c>
      <c r="E23" s="212">
        <v>3</v>
      </c>
      <c r="F23" s="229"/>
      <c r="G23" s="229">
        <v>1</v>
      </c>
      <c r="H23" s="229"/>
      <c r="I23" s="229"/>
      <c r="J23" s="229">
        <v>1</v>
      </c>
      <c r="K23" s="229"/>
      <c r="L23" s="229"/>
      <c r="M23" s="229"/>
    </row>
    <row r="24" spans="1:13" ht="14.25" customHeight="1">
      <c r="A24" s="228">
        <v>22</v>
      </c>
      <c r="B24" s="229" t="s">
        <v>2704</v>
      </c>
      <c r="C24" s="229" t="s">
        <v>483</v>
      </c>
      <c r="D24" s="229" t="s">
        <v>2709</v>
      </c>
      <c r="E24" s="212">
        <v>1</v>
      </c>
      <c r="F24" s="229">
        <v>1</v>
      </c>
      <c r="G24" s="229"/>
      <c r="H24" s="229">
        <v>1</v>
      </c>
      <c r="I24" s="229"/>
      <c r="J24" s="229">
        <v>1</v>
      </c>
      <c r="K24" s="229"/>
      <c r="L24" s="229">
        <v>1</v>
      </c>
      <c r="M24" s="229"/>
    </row>
    <row r="25" spans="1:13" ht="14.25" customHeight="1">
      <c r="A25" s="228">
        <v>23</v>
      </c>
      <c r="B25" s="229" t="s">
        <v>2704</v>
      </c>
      <c r="C25" s="229" t="s">
        <v>483</v>
      </c>
      <c r="D25" s="229" t="s">
        <v>2710</v>
      </c>
      <c r="E25" s="212">
        <v>4</v>
      </c>
      <c r="F25" s="229"/>
      <c r="G25" s="229"/>
      <c r="H25" s="229"/>
      <c r="I25" s="229"/>
      <c r="J25" s="229">
        <v>1</v>
      </c>
      <c r="K25" s="229">
        <v>1</v>
      </c>
      <c r="L25" s="229"/>
      <c r="M25" s="229"/>
    </row>
    <row r="26" spans="1:13" ht="14.25" customHeight="1">
      <c r="A26" s="228">
        <v>24</v>
      </c>
      <c r="B26" s="229" t="s">
        <v>2704</v>
      </c>
      <c r="C26" s="229" t="s">
        <v>483</v>
      </c>
      <c r="D26" s="229" t="s">
        <v>2711</v>
      </c>
      <c r="E26" s="212">
        <v>1</v>
      </c>
      <c r="F26" s="229"/>
      <c r="G26" s="229">
        <v>1</v>
      </c>
      <c r="H26" s="229"/>
      <c r="I26" s="229"/>
      <c r="J26" s="229">
        <v>1</v>
      </c>
      <c r="K26" s="229"/>
      <c r="L26" s="229"/>
      <c r="M26" s="229"/>
    </row>
    <row r="27" spans="1:13" ht="14.25" customHeight="1">
      <c r="A27" s="228">
        <v>25</v>
      </c>
      <c r="B27" s="229" t="s">
        <v>2704</v>
      </c>
      <c r="C27" s="229" t="s">
        <v>483</v>
      </c>
      <c r="D27" s="229" t="s">
        <v>2712</v>
      </c>
      <c r="E27" s="212">
        <v>3</v>
      </c>
      <c r="F27" s="229"/>
      <c r="G27" s="229"/>
      <c r="H27" s="229">
        <v>1</v>
      </c>
      <c r="I27" s="229"/>
      <c r="J27" s="229"/>
      <c r="K27" s="229">
        <v>1</v>
      </c>
      <c r="L27" s="229"/>
      <c r="M27" s="229"/>
    </row>
    <row r="28" spans="1:13" ht="14.25" customHeight="1">
      <c r="A28" s="228">
        <v>26</v>
      </c>
      <c r="B28" s="229" t="s">
        <v>2704</v>
      </c>
      <c r="C28" s="229" t="s">
        <v>483</v>
      </c>
      <c r="D28" s="229" t="s">
        <v>2701</v>
      </c>
      <c r="E28" s="212">
        <v>4</v>
      </c>
      <c r="F28" s="229"/>
      <c r="G28" s="229"/>
      <c r="H28" s="229"/>
      <c r="I28" s="229"/>
      <c r="J28" s="229">
        <v>1</v>
      </c>
      <c r="K28" s="229"/>
      <c r="L28" s="229"/>
      <c r="M28" s="229"/>
    </row>
    <row r="29" spans="1:13" ht="14.25" customHeight="1">
      <c r="A29" s="228">
        <v>27</v>
      </c>
      <c r="B29" s="229" t="s">
        <v>2704</v>
      </c>
      <c r="C29" s="229" t="s">
        <v>483</v>
      </c>
      <c r="D29" s="229" t="s">
        <v>2713</v>
      </c>
      <c r="E29" s="212">
        <v>1</v>
      </c>
      <c r="F29" s="229"/>
      <c r="G29" s="229">
        <v>1</v>
      </c>
      <c r="H29" s="229"/>
      <c r="I29" s="229"/>
      <c r="J29" s="229">
        <v>1</v>
      </c>
      <c r="K29" s="229"/>
      <c r="L29" s="229"/>
      <c r="M29" s="229"/>
    </row>
    <row r="30" spans="1:13" ht="14.25" customHeight="1">
      <c r="A30" s="228">
        <v>28</v>
      </c>
      <c r="B30" s="229" t="s">
        <v>2704</v>
      </c>
      <c r="C30" s="229" t="s">
        <v>483</v>
      </c>
      <c r="D30" s="229" t="s">
        <v>2714</v>
      </c>
      <c r="E30" s="212">
        <v>1</v>
      </c>
      <c r="F30" s="229">
        <v>1</v>
      </c>
      <c r="G30" s="229">
        <v>1</v>
      </c>
      <c r="H30" s="229"/>
      <c r="I30" s="229">
        <v>1</v>
      </c>
      <c r="J30" s="229"/>
      <c r="K30" s="229">
        <v>1</v>
      </c>
      <c r="L30" s="229"/>
      <c r="M30" s="229"/>
    </row>
    <row r="31" spans="1:13" ht="14.25" customHeight="1">
      <c r="A31" s="228">
        <v>29</v>
      </c>
      <c r="B31" s="229" t="s">
        <v>2704</v>
      </c>
      <c r="C31" s="229" t="s">
        <v>483</v>
      </c>
      <c r="D31" s="229" t="s">
        <v>2715</v>
      </c>
      <c r="E31" s="212">
        <v>1</v>
      </c>
      <c r="F31" s="229"/>
      <c r="G31" s="229">
        <v>1</v>
      </c>
      <c r="H31" s="229"/>
      <c r="I31" s="229">
        <v>1</v>
      </c>
      <c r="J31" s="229"/>
      <c r="K31" s="229">
        <v>1</v>
      </c>
      <c r="L31" s="229">
        <v>1</v>
      </c>
      <c r="M31" s="229"/>
    </row>
    <row r="32" spans="1:13" ht="14.25" customHeight="1">
      <c r="A32" s="228">
        <v>30</v>
      </c>
      <c r="B32" s="229" t="s">
        <v>2704</v>
      </c>
      <c r="C32" s="229" t="s">
        <v>483</v>
      </c>
      <c r="D32" s="229" t="s">
        <v>2716</v>
      </c>
      <c r="E32" s="212">
        <v>3</v>
      </c>
      <c r="F32" s="229"/>
      <c r="G32" s="229">
        <v>1</v>
      </c>
      <c r="H32" s="229"/>
      <c r="I32" s="229"/>
      <c r="J32" s="229">
        <v>1</v>
      </c>
      <c r="K32" s="229"/>
      <c r="L32" s="229"/>
      <c r="M32" s="229"/>
    </row>
    <row r="33" spans="1:13" ht="14.25" customHeight="1">
      <c r="A33" s="228">
        <v>31</v>
      </c>
      <c r="B33" s="229" t="s">
        <v>2704</v>
      </c>
      <c r="C33" s="229" t="s">
        <v>483</v>
      </c>
      <c r="D33" s="229" t="s">
        <v>2717</v>
      </c>
      <c r="E33" s="212">
        <v>2</v>
      </c>
      <c r="F33" s="229"/>
      <c r="G33" s="229"/>
      <c r="H33" s="229">
        <v>1</v>
      </c>
      <c r="I33" s="229"/>
      <c r="J33" s="229"/>
      <c r="K33" s="229">
        <v>1</v>
      </c>
      <c r="L33" s="229"/>
      <c r="M33" s="229"/>
    </row>
    <row r="34" spans="1:13" ht="14.25" customHeight="1">
      <c r="A34" s="228">
        <v>32</v>
      </c>
      <c r="B34" s="229" t="s">
        <v>2704</v>
      </c>
      <c r="C34" s="229" t="s">
        <v>483</v>
      </c>
      <c r="D34" s="229" t="s">
        <v>2718</v>
      </c>
      <c r="E34" s="212">
        <v>1</v>
      </c>
      <c r="F34" s="229"/>
      <c r="G34" s="229">
        <v>1</v>
      </c>
      <c r="H34" s="229"/>
      <c r="I34" s="229"/>
      <c r="J34" s="229">
        <v>1</v>
      </c>
      <c r="K34" s="229"/>
      <c r="L34" s="229"/>
      <c r="M34" s="229"/>
    </row>
    <row r="35" spans="1:13" ht="14.25" customHeight="1">
      <c r="A35" s="228">
        <v>33</v>
      </c>
      <c r="B35" s="229" t="s">
        <v>2704</v>
      </c>
      <c r="C35" s="229" t="s">
        <v>483</v>
      </c>
      <c r="D35" s="229" t="s">
        <v>2719</v>
      </c>
      <c r="E35" s="212">
        <v>3</v>
      </c>
      <c r="F35" s="229"/>
      <c r="G35" s="229">
        <v>1</v>
      </c>
      <c r="H35" s="229"/>
      <c r="I35" s="229"/>
      <c r="J35" s="229">
        <v>1</v>
      </c>
      <c r="K35" s="229"/>
      <c r="L35" s="229"/>
      <c r="M35" s="229"/>
    </row>
    <row r="36" spans="1:13" ht="14.25" customHeight="1">
      <c r="A36" s="228">
        <v>34</v>
      </c>
      <c r="B36" s="229" t="s">
        <v>2704</v>
      </c>
      <c r="C36" s="229" t="s">
        <v>483</v>
      </c>
      <c r="D36" s="229" t="s">
        <v>2720</v>
      </c>
      <c r="E36" s="212">
        <v>1</v>
      </c>
      <c r="F36" s="229">
        <v>1</v>
      </c>
      <c r="G36" s="229"/>
      <c r="H36" s="229">
        <v>1</v>
      </c>
      <c r="I36" s="229"/>
      <c r="J36" s="229"/>
      <c r="K36" s="229">
        <v>1</v>
      </c>
      <c r="L36" s="229"/>
      <c r="M36" s="229"/>
    </row>
    <row r="37" spans="1:13" ht="14.25" customHeight="1">
      <c r="A37" s="228">
        <v>35</v>
      </c>
      <c r="B37" s="229" t="s">
        <v>2704</v>
      </c>
      <c r="C37" s="229" t="s">
        <v>483</v>
      </c>
      <c r="D37" s="229" t="s">
        <v>2721</v>
      </c>
      <c r="E37" s="212">
        <v>1</v>
      </c>
      <c r="F37" s="229"/>
      <c r="G37" s="229">
        <v>1</v>
      </c>
      <c r="H37" s="229"/>
      <c r="I37" s="229"/>
      <c r="J37" s="229"/>
      <c r="K37" s="229">
        <v>1</v>
      </c>
      <c r="L37" s="229"/>
      <c r="M37" s="229"/>
    </row>
    <row r="38" spans="1:13" ht="14.25" customHeight="1">
      <c r="A38" s="228">
        <v>36</v>
      </c>
      <c r="B38" s="229" t="s">
        <v>2704</v>
      </c>
      <c r="C38" s="229" t="s">
        <v>483</v>
      </c>
      <c r="D38" s="229" t="s">
        <v>2722</v>
      </c>
      <c r="E38" s="212">
        <v>4</v>
      </c>
      <c r="F38" s="229"/>
      <c r="G38" s="229">
        <v>1</v>
      </c>
      <c r="H38" s="229"/>
      <c r="I38" s="229"/>
      <c r="J38" s="229">
        <v>1</v>
      </c>
      <c r="K38" s="229"/>
      <c r="L38" s="229"/>
      <c r="M38" s="229"/>
    </row>
    <row r="39" spans="1:13" ht="14.25" customHeight="1">
      <c r="A39" s="228">
        <v>37</v>
      </c>
      <c r="B39" s="229" t="s">
        <v>2704</v>
      </c>
      <c r="C39" s="229" t="s">
        <v>483</v>
      </c>
      <c r="D39" s="229" t="s">
        <v>2723</v>
      </c>
      <c r="E39" s="212">
        <v>2</v>
      </c>
      <c r="F39" s="229">
        <v>1</v>
      </c>
      <c r="G39" s="229">
        <v>1</v>
      </c>
      <c r="H39" s="229"/>
      <c r="I39" s="229"/>
      <c r="J39" s="229"/>
      <c r="K39" s="229">
        <v>1</v>
      </c>
      <c r="L39" s="229"/>
      <c r="M39" s="229"/>
    </row>
    <row r="40" spans="1:13" ht="14.25" customHeight="1">
      <c r="A40" s="228">
        <v>38</v>
      </c>
      <c r="B40" s="229" t="s">
        <v>2704</v>
      </c>
      <c r="C40" s="229" t="s">
        <v>483</v>
      </c>
      <c r="D40" s="229" t="s">
        <v>2724</v>
      </c>
      <c r="E40" s="212">
        <v>2</v>
      </c>
      <c r="F40" s="229"/>
      <c r="G40" s="229">
        <v>1</v>
      </c>
      <c r="H40" s="229"/>
      <c r="I40" s="229"/>
      <c r="J40" s="229"/>
      <c r="K40" s="229">
        <v>1</v>
      </c>
      <c r="L40" s="229"/>
      <c r="M40" s="229"/>
    </row>
    <row r="41" spans="1:13" ht="14.25" customHeight="1">
      <c r="A41" s="228">
        <v>39</v>
      </c>
      <c r="B41" s="229" t="s">
        <v>2704</v>
      </c>
      <c r="C41" s="229" t="s">
        <v>483</v>
      </c>
      <c r="D41" s="229" t="s">
        <v>2725</v>
      </c>
      <c r="E41" s="212">
        <v>2</v>
      </c>
      <c r="F41" s="229"/>
      <c r="G41" s="229"/>
      <c r="H41" s="229">
        <v>1</v>
      </c>
      <c r="I41" s="229"/>
      <c r="J41" s="229"/>
      <c r="K41" s="229">
        <v>1</v>
      </c>
      <c r="L41" s="229"/>
      <c r="M41" s="229"/>
    </row>
    <row r="42" spans="1:13" ht="14.25" customHeight="1">
      <c r="A42" s="228">
        <v>40</v>
      </c>
      <c r="B42" s="229" t="s">
        <v>2704</v>
      </c>
      <c r="C42" s="229" t="s">
        <v>483</v>
      </c>
      <c r="D42" s="229" t="s">
        <v>2726</v>
      </c>
      <c r="E42" s="212">
        <v>1</v>
      </c>
      <c r="F42" s="229"/>
      <c r="G42" s="229"/>
      <c r="H42" s="229">
        <v>1</v>
      </c>
      <c r="I42" s="229"/>
      <c r="J42" s="229"/>
      <c r="K42" s="229"/>
      <c r="L42" s="229">
        <v>1</v>
      </c>
      <c r="M42" s="229"/>
    </row>
    <row r="43" spans="1:13" ht="14.25" customHeight="1">
      <c r="A43" s="228">
        <v>41</v>
      </c>
      <c r="B43" s="229" t="s">
        <v>2704</v>
      </c>
      <c r="C43" s="229" t="s">
        <v>483</v>
      </c>
      <c r="D43" s="229" t="s">
        <v>2727</v>
      </c>
      <c r="E43" s="212">
        <v>1</v>
      </c>
      <c r="F43" s="229">
        <v>1</v>
      </c>
      <c r="G43" s="229"/>
      <c r="H43" s="229">
        <v>1</v>
      </c>
      <c r="I43" s="229"/>
      <c r="J43" s="229"/>
      <c r="K43" s="229">
        <v>1</v>
      </c>
      <c r="L43" s="229"/>
      <c r="M43" s="229"/>
    </row>
    <row r="44" spans="1:13" ht="14.25" customHeight="1">
      <c r="A44" s="228">
        <v>42</v>
      </c>
      <c r="B44" s="229" t="s">
        <v>2704</v>
      </c>
      <c r="C44" s="229" t="s">
        <v>483</v>
      </c>
      <c r="D44" s="229" t="s">
        <v>2728</v>
      </c>
      <c r="E44" s="212">
        <v>1</v>
      </c>
      <c r="F44" s="229"/>
      <c r="G44" s="229">
        <v>1</v>
      </c>
      <c r="H44" s="229"/>
      <c r="I44" s="229">
        <v>1</v>
      </c>
      <c r="J44" s="229"/>
      <c r="K44" s="229"/>
      <c r="L44" s="229">
        <v>1</v>
      </c>
      <c r="M44" s="229"/>
    </row>
    <row r="45" spans="1:13" ht="14.25" customHeight="1">
      <c r="A45" s="228">
        <v>43</v>
      </c>
      <c r="B45" s="229" t="s">
        <v>2704</v>
      </c>
      <c r="C45" s="229" t="s">
        <v>483</v>
      </c>
      <c r="D45" s="229" t="s">
        <v>2729</v>
      </c>
      <c r="E45" s="212">
        <v>1</v>
      </c>
      <c r="F45" s="229"/>
      <c r="G45" s="229">
        <v>1</v>
      </c>
      <c r="H45" s="229"/>
      <c r="I45" s="229">
        <v>1</v>
      </c>
      <c r="J45" s="229"/>
      <c r="K45" s="229"/>
      <c r="L45" s="229">
        <v>1</v>
      </c>
      <c r="M45" s="229"/>
    </row>
    <row r="46" spans="1:13" ht="14.25" customHeight="1">
      <c r="A46" s="228">
        <v>44</v>
      </c>
      <c r="B46" s="229" t="s">
        <v>2704</v>
      </c>
      <c r="C46" s="229" t="s">
        <v>483</v>
      </c>
      <c r="D46" s="229" t="s">
        <v>2730</v>
      </c>
      <c r="E46" s="212">
        <v>1</v>
      </c>
      <c r="F46" s="229"/>
      <c r="G46" s="229">
        <v>1</v>
      </c>
      <c r="H46" s="229"/>
      <c r="I46" s="229"/>
      <c r="J46" s="229">
        <v>1</v>
      </c>
      <c r="K46" s="229"/>
      <c r="L46" s="229"/>
      <c r="M46" s="229"/>
    </row>
    <row r="47" spans="1:13" ht="14.25" customHeight="1">
      <c r="A47" s="228">
        <v>45</v>
      </c>
      <c r="B47" s="229" t="s">
        <v>2704</v>
      </c>
      <c r="C47" s="229" t="s">
        <v>483</v>
      </c>
      <c r="D47" s="229" t="s">
        <v>2731</v>
      </c>
      <c r="E47" s="212">
        <v>1</v>
      </c>
      <c r="F47" s="229"/>
      <c r="G47" s="229"/>
      <c r="H47" s="229">
        <v>1</v>
      </c>
      <c r="I47" s="229"/>
      <c r="J47" s="229"/>
      <c r="K47" s="229">
        <v>1</v>
      </c>
      <c r="L47" s="229"/>
      <c r="M47" s="229"/>
    </row>
    <row r="48" spans="1:13" ht="14.25" customHeight="1">
      <c r="A48" s="228">
        <v>46</v>
      </c>
      <c r="B48" s="229" t="s">
        <v>2704</v>
      </c>
      <c r="C48" s="229" t="s">
        <v>483</v>
      </c>
      <c r="D48" s="229" t="s">
        <v>2732</v>
      </c>
      <c r="E48" s="212">
        <v>2</v>
      </c>
      <c r="F48" s="229"/>
      <c r="G48" s="229">
        <v>1</v>
      </c>
      <c r="H48" s="229"/>
      <c r="I48" s="229"/>
      <c r="J48" s="229">
        <v>1</v>
      </c>
      <c r="K48" s="229"/>
      <c r="L48" s="229"/>
      <c r="M48" s="229"/>
    </row>
    <row r="49" spans="1:13" ht="14.25" customHeight="1">
      <c r="A49" s="228">
        <v>47</v>
      </c>
      <c r="B49" s="229" t="s">
        <v>2704</v>
      </c>
      <c r="C49" s="229" t="s">
        <v>483</v>
      </c>
      <c r="D49" s="229" t="s">
        <v>510</v>
      </c>
      <c r="E49" s="212">
        <v>1</v>
      </c>
      <c r="F49" s="229"/>
      <c r="G49" s="229">
        <v>1</v>
      </c>
      <c r="H49" s="229"/>
      <c r="I49" s="229">
        <v>1</v>
      </c>
      <c r="J49" s="229"/>
      <c r="K49" s="229"/>
      <c r="L49" s="229">
        <v>1</v>
      </c>
      <c r="M49" s="229"/>
    </row>
    <row r="50" spans="1:13" ht="14.25" customHeight="1">
      <c r="A50" s="228">
        <v>48</v>
      </c>
      <c r="B50" s="229" t="s">
        <v>2704</v>
      </c>
      <c r="C50" s="229" t="s">
        <v>483</v>
      </c>
      <c r="D50" s="229" t="s">
        <v>2733</v>
      </c>
      <c r="E50" s="212">
        <v>1</v>
      </c>
      <c r="F50" s="229">
        <v>1</v>
      </c>
      <c r="G50" s="229"/>
      <c r="H50" s="229">
        <v>1</v>
      </c>
      <c r="I50" s="229"/>
      <c r="J50" s="229">
        <v>1</v>
      </c>
      <c r="K50" s="229"/>
      <c r="L50" s="229">
        <v>1</v>
      </c>
      <c r="M50" s="229"/>
    </row>
    <row r="51" spans="1:13" ht="14.25" customHeight="1">
      <c r="A51" s="228">
        <v>49</v>
      </c>
      <c r="B51" s="229" t="s">
        <v>2704</v>
      </c>
      <c r="C51" s="229" t="s">
        <v>483</v>
      </c>
      <c r="D51" s="229" t="s">
        <v>427</v>
      </c>
      <c r="E51" s="212">
        <v>3</v>
      </c>
      <c r="F51" s="229"/>
      <c r="G51" s="229">
        <v>1</v>
      </c>
      <c r="H51" s="229"/>
      <c r="I51" s="229"/>
      <c r="J51" s="229">
        <v>1</v>
      </c>
      <c r="K51" s="229"/>
      <c r="L51" s="229"/>
      <c r="M51" s="229"/>
    </row>
    <row r="52" spans="1:13" ht="14.25" customHeight="1">
      <c r="A52" s="228">
        <v>50</v>
      </c>
      <c r="B52" s="229" t="s">
        <v>2704</v>
      </c>
      <c r="C52" s="229" t="s">
        <v>483</v>
      </c>
      <c r="D52" s="229" t="s">
        <v>417</v>
      </c>
      <c r="E52" s="212">
        <v>1</v>
      </c>
      <c r="F52" s="229"/>
      <c r="G52" s="229"/>
      <c r="H52" s="229">
        <v>1</v>
      </c>
      <c r="I52" s="229"/>
      <c r="J52" s="229"/>
      <c r="K52" s="229">
        <v>1</v>
      </c>
      <c r="L52" s="229"/>
      <c r="M52" s="229"/>
    </row>
    <row r="53" spans="1:13" ht="14.25" customHeight="1">
      <c r="A53" s="228">
        <v>51</v>
      </c>
      <c r="B53" s="229" t="s">
        <v>2704</v>
      </c>
      <c r="C53" s="229" t="s">
        <v>483</v>
      </c>
      <c r="D53" s="229" t="s">
        <v>371</v>
      </c>
      <c r="E53" s="212">
        <v>4</v>
      </c>
      <c r="F53" s="229"/>
      <c r="G53" s="229"/>
      <c r="H53" s="229"/>
      <c r="I53" s="229"/>
      <c r="J53" s="229">
        <v>1</v>
      </c>
      <c r="K53" s="229"/>
      <c r="L53" s="229"/>
      <c r="M53" s="229"/>
    </row>
    <row r="54" spans="1:13" ht="14.25" customHeight="1">
      <c r="A54" s="228">
        <v>52</v>
      </c>
      <c r="B54" s="229" t="s">
        <v>2704</v>
      </c>
      <c r="C54" s="229" t="s">
        <v>483</v>
      </c>
      <c r="D54" s="229" t="s">
        <v>492</v>
      </c>
      <c r="E54" s="212">
        <v>1</v>
      </c>
      <c r="F54" s="229"/>
      <c r="G54" s="229"/>
      <c r="H54" s="229">
        <v>1</v>
      </c>
      <c r="I54" s="229"/>
      <c r="J54" s="229"/>
      <c r="K54" s="229"/>
      <c r="L54" s="229">
        <v>1</v>
      </c>
      <c r="M54" s="229"/>
    </row>
    <row r="55" spans="1:13" ht="14.25" customHeight="1">
      <c r="A55" s="228">
        <v>53</v>
      </c>
      <c r="B55" s="229" t="s">
        <v>2704</v>
      </c>
      <c r="C55" s="229" t="s">
        <v>483</v>
      </c>
      <c r="D55" s="229" t="s">
        <v>2734</v>
      </c>
      <c r="E55" s="212">
        <v>1</v>
      </c>
      <c r="F55" s="229"/>
      <c r="G55" s="229">
        <v>1</v>
      </c>
      <c r="H55" s="229"/>
      <c r="I55" s="229">
        <v>1</v>
      </c>
      <c r="J55" s="229"/>
      <c r="K55" s="229"/>
      <c r="L55" s="229">
        <v>1</v>
      </c>
      <c r="M55" s="229"/>
    </row>
    <row r="56" spans="1:13" ht="14.25" customHeight="1">
      <c r="A56" s="228">
        <v>54</v>
      </c>
      <c r="B56" s="229" t="s">
        <v>2704</v>
      </c>
      <c r="C56" s="229" t="s">
        <v>483</v>
      </c>
      <c r="D56" s="229" t="s">
        <v>421</v>
      </c>
      <c r="E56" s="212">
        <v>1</v>
      </c>
      <c r="F56" s="229"/>
      <c r="G56" s="229"/>
      <c r="H56" s="229">
        <v>1</v>
      </c>
      <c r="I56" s="229"/>
      <c r="J56" s="229"/>
      <c r="K56" s="229">
        <v>1</v>
      </c>
      <c r="L56" s="229"/>
      <c r="M56" s="229"/>
    </row>
    <row r="57" spans="1:13" ht="14.25" customHeight="1">
      <c r="A57" s="228">
        <v>55</v>
      </c>
      <c r="B57" s="229" t="s">
        <v>2704</v>
      </c>
      <c r="C57" s="229" t="s">
        <v>483</v>
      </c>
      <c r="D57" s="229" t="s">
        <v>2735</v>
      </c>
      <c r="E57" s="212">
        <v>2</v>
      </c>
      <c r="F57" s="229"/>
      <c r="G57" s="229"/>
      <c r="H57" s="229">
        <v>1</v>
      </c>
      <c r="I57" s="229"/>
      <c r="J57" s="229"/>
      <c r="K57" s="229">
        <v>1</v>
      </c>
      <c r="L57" s="229"/>
      <c r="M57" s="229"/>
    </row>
    <row r="58" spans="1:13" ht="14.25" customHeight="1">
      <c r="A58" s="228">
        <v>56</v>
      </c>
      <c r="B58" s="229" t="s">
        <v>2704</v>
      </c>
      <c r="C58" s="229" t="s">
        <v>483</v>
      </c>
      <c r="D58" s="229" t="s">
        <v>2736</v>
      </c>
      <c r="E58" s="212">
        <v>2</v>
      </c>
      <c r="F58" s="229"/>
      <c r="G58" s="229">
        <v>1</v>
      </c>
      <c r="H58" s="229"/>
      <c r="I58" s="229">
        <v>1</v>
      </c>
      <c r="J58" s="229"/>
      <c r="K58" s="229"/>
      <c r="L58" s="229">
        <v>1</v>
      </c>
      <c r="M58" s="229"/>
    </row>
    <row r="59" spans="1:13" ht="14.25" customHeight="1">
      <c r="A59" s="228">
        <v>57</v>
      </c>
      <c r="B59" s="229" t="s">
        <v>2704</v>
      </c>
      <c r="C59" s="229" t="s">
        <v>483</v>
      </c>
      <c r="D59" s="229" t="s">
        <v>2737</v>
      </c>
      <c r="E59" s="212">
        <v>2</v>
      </c>
      <c r="F59" s="229"/>
      <c r="G59" s="229">
        <v>1</v>
      </c>
      <c r="H59" s="229"/>
      <c r="I59" s="229">
        <v>1</v>
      </c>
      <c r="J59" s="229"/>
      <c r="K59" s="229"/>
      <c r="L59" s="229">
        <v>1</v>
      </c>
      <c r="M59" s="229"/>
    </row>
    <row r="60" spans="1:13" ht="14.25" customHeight="1">
      <c r="A60" s="228">
        <v>58</v>
      </c>
      <c r="B60" s="229" t="s">
        <v>2704</v>
      </c>
      <c r="C60" s="229" t="s">
        <v>483</v>
      </c>
      <c r="D60" s="229" t="s">
        <v>2738</v>
      </c>
      <c r="E60" s="212">
        <v>2</v>
      </c>
      <c r="F60" s="229"/>
      <c r="G60" s="229">
        <v>1</v>
      </c>
      <c r="H60" s="229"/>
      <c r="I60" s="229">
        <v>1</v>
      </c>
      <c r="J60" s="229"/>
      <c r="K60" s="229"/>
      <c r="L60" s="229">
        <v>1</v>
      </c>
      <c r="M60" s="229"/>
    </row>
    <row r="61" spans="1:13" ht="14.25" customHeight="1">
      <c r="A61" s="228">
        <v>59</v>
      </c>
      <c r="B61" s="229" t="s">
        <v>2704</v>
      </c>
      <c r="C61" s="229" t="s">
        <v>483</v>
      </c>
      <c r="D61" s="229" t="s">
        <v>2739</v>
      </c>
      <c r="E61" s="212">
        <v>2</v>
      </c>
      <c r="F61" s="229"/>
      <c r="G61" s="229"/>
      <c r="H61" s="229">
        <v>1</v>
      </c>
      <c r="I61" s="229"/>
      <c r="J61" s="229"/>
      <c r="K61" s="229">
        <v>1</v>
      </c>
      <c r="L61" s="229"/>
      <c r="M61" s="229"/>
    </row>
    <row r="62" spans="1:13" ht="14.25" customHeight="1">
      <c r="A62" s="228">
        <v>60</v>
      </c>
      <c r="B62" s="229" t="s">
        <v>2704</v>
      </c>
      <c r="C62" s="229" t="s">
        <v>483</v>
      </c>
      <c r="D62" s="229" t="s">
        <v>2740</v>
      </c>
      <c r="E62" s="212">
        <v>2</v>
      </c>
      <c r="F62" s="229"/>
      <c r="G62" s="229">
        <v>1</v>
      </c>
      <c r="H62" s="229"/>
      <c r="I62" s="229">
        <v>1</v>
      </c>
      <c r="J62" s="229"/>
      <c r="K62" s="229"/>
      <c r="L62" s="229">
        <v>1</v>
      </c>
      <c r="M62" s="229"/>
    </row>
    <row r="63" spans="1:13" ht="14.25" customHeight="1">
      <c r="A63" s="228">
        <v>61</v>
      </c>
      <c r="B63" s="229" t="s">
        <v>2704</v>
      </c>
      <c r="C63" s="229" t="s">
        <v>483</v>
      </c>
      <c r="D63" s="229" t="s">
        <v>405</v>
      </c>
      <c r="E63" s="212">
        <v>2</v>
      </c>
      <c r="F63" s="229"/>
      <c r="G63" s="229">
        <v>1</v>
      </c>
      <c r="H63" s="229"/>
      <c r="I63" s="229"/>
      <c r="J63" s="229">
        <v>1</v>
      </c>
      <c r="K63" s="229"/>
      <c r="L63" s="229"/>
      <c r="M63" s="229"/>
    </row>
    <row r="64" spans="1:13" ht="14.25" customHeight="1">
      <c r="A64" s="228">
        <v>62</v>
      </c>
      <c r="B64" s="229" t="s">
        <v>2704</v>
      </c>
      <c r="C64" s="229" t="s">
        <v>483</v>
      </c>
      <c r="D64" s="229" t="s">
        <v>502</v>
      </c>
      <c r="E64" s="212">
        <v>1</v>
      </c>
      <c r="F64" s="229"/>
      <c r="G64" s="229">
        <v>1</v>
      </c>
      <c r="H64" s="229"/>
      <c r="I64" s="229">
        <v>1</v>
      </c>
      <c r="J64" s="229"/>
      <c r="K64" s="229"/>
      <c r="L64" s="229">
        <v>1</v>
      </c>
      <c r="M64" s="229"/>
    </row>
    <row r="65" spans="1:13" ht="14.25" customHeight="1">
      <c r="A65" s="228">
        <v>63</v>
      </c>
      <c r="B65" s="229" t="s">
        <v>2704</v>
      </c>
      <c r="C65" s="229" t="s">
        <v>483</v>
      </c>
      <c r="D65" s="229" t="s">
        <v>515</v>
      </c>
      <c r="E65" s="212">
        <v>1</v>
      </c>
      <c r="F65" s="229"/>
      <c r="G65" s="229">
        <v>1</v>
      </c>
      <c r="H65" s="229"/>
      <c r="I65" s="229">
        <v>1</v>
      </c>
      <c r="J65" s="229"/>
      <c r="K65" s="229">
        <v>1</v>
      </c>
      <c r="L65" s="229"/>
      <c r="M65" s="229"/>
    </row>
    <row r="66" spans="1:13" ht="14.25" customHeight="1">
      <c r="A66" s="228">
        <v>64</v>
      </c>
      <c r="B66" s="229" t="s">
        <v>2704</v>
      </c>
      <c r="C66" s="229" t="s">
        <v>483</v>
      </c>
      <c r="D66" s="229" t="s">
        <v>539</v>
      </c>
      <c r="E66" s="212">
        <v>1</v>
      </c>
      <c r="F66" s="229"/>
      <c r="G66" s="229"/>
      <c r="H66" s="229">
        <v>1</v>
      </c>
      <c r="I66" s="229"/>
      <c r="J66" s="229"/>
      <c r="K66" s="229"/>
      <c r="L66" s="229">
        <v>1</v>
      </c>
      <c r="M66" s="229"/>
    </row>
    <row r="67" spans="1:13" ht="14.25" customHeight="1">
      <c r="A67" s="228">
        <v>65</v>
      </c>
      <c r="B67" s="229" t="s">
        <v>2704</v>
      </c>
      <c r="C67" s="229" t="s">
        <v>483</v>
      </c>
      <c r="D67" s="229" t="s">
        <v>2741</v>
      </c>
      <c r="E67" s="212">
        <v>4</v>
      </c>
      <c r="F67" s="229"/>
      <c r="G67" s="229"/>
      <c r="H67" s="229"/>
      <c r="I67" s="229"/>
      <c r="J67" s="229">
        <v>1</v>
      </c>
      <c r="K67" s="229">
        <v>1</v>
      </c>
      <c r="L67" s="229"/>
      <c r="M67" s="229"/>
    </row>
    <row r="68" spans="1:13" ht="14.25" customHeight="1">
      <c r="A68" s="228">
        <v>66</v>
      </c>
      <c r="B68" s="229" t="s">
        <v>2704</v>
      </c>
      <c r="C68" s="229" t="s">
        <v>483</v>
      </c>
      <c r="D68" s="229" t="s">
        <v>2734</v>
      </c>
      <c r="E68" s="212">
        <v>1</v>
      </c>
      <c r="F68" s="229"/>
      <c r="G68" s="229">
        <v>1</v>
      </c>
      <c r="H68" s="229"/>
      <c r="I68" s="229">
        <v>1</v>
      </c>
      <c r="J68" s="229"/>
      <c r="K68" s="229">
        <v>1</v>
      </c>
      <c r="L68" s="229"/>
      <c r="M68" s="229"/>
    </row>
    <row r="69" spans="1:13" ht="14.25" customHeight="1">
      <c r="A69" s="228">
        <v>67</v>
      </c>
      <c r="B69" s="229" t="s">
        <v>2704</v>
      </c>
      <c r="C69" s="229" t="s">
        <v>483</v>
      </c>
      <c r="D69" s="229" t="s">
        <v>2720</v>
      </c>
      <c r="E69" s="212">
        <v>1</v>
      </c>
      <c r="F69" s="229">
        <v>1</v>
      </c>
      <c r="G69" s="229"/>
      <c r="H69" s="229">
        <v>1</v>
      </c>
      <c r="I69" s="229"/>
      <c r="J69" s="229"/>
      <c r="K69" s="229"/>
      <c r="L69" s="229">
        <v>1</v>
      </c>
      <c r="M69" s="229"/>
    </row>
    <row r="70" spans="1:13" ht="14.25" customHeight="1">
      <c r="A70" s="228">
        <v>68</v>
      </c>
      <c r="B70" s="230" t="s">
        <v>2691</v>
      </c>
      <c r="C70" s="230" t="s">
        <v>484</v>
      </c>
      <c r="D70" s="230" t="s">
        <v>2742</v>
      </c>
      <c r="E70" s="231">
        <v>13</v>
      </c>
      <c r="F70" s="230">
        <v>1</v>
      </c>
      <c r="G70" s="230"/>
      <c r="H70" s="230"/>
      <c r="I70" s="230"/>
      <c r="J70" s="230">
        <v>1</v>
      </c>
      <c r="K70" s="230"/>
      <c r="L70" s="230"/>
      <c r="M70" s="232"/>
    </row>
    <row r="71" spans="1:13" ht="14.25" customHeight="1">
      <c r="A71" s="228">
        <v>69</v>
      </c>
      <c r="B71" s="230" t="s">
        <v>2691</v>
      </c>
      <c r="C71" s="230" t="s">
        <v>484</v>
      </c>
      <c r="D71" s="230" t="s">
        <v>2692</v>
      </c>
      <c r="E71" s="231">
        <v>9</v>
      </c>
      <c r="F71" s="230"/>
      <c r="G71" s="230">
        <v>1</v>
      </c>
      <c r="H71" s="230"/>
      <c r="I71" s="230">
        <v>1</v>
      </c>
      <c r="J71" s="230"/>
      <c r="K71" s="230"/>
      <c r="L71" s="230"/>
      <c r="M71" s="232"/>
    </row>
    <row r="72" spans="1:13" ht="14.25" customHeight="1">
      <c r="A72" s="228">
        <v>70</v>
      </c>
      <c r="B72" s="230" t="s">
        <v>2691</v>
      </c>
      <c r="C72" s="230" t="s">
        <v>484</v>
      </c>
      <c r="D72" s="230" t="s">
        <v>2743</v>
      </c>
      <c r="E72" s="231">
        <v>8</v>
      </c>
      <c r="F72" s="230"/>
      <c r="G72" s="230">
        <v>1</v>
      </c>
      <c r="H72" s="230">
        <v>1</v>
      </c>
      <c r="I72" s="230"/>
      <c r="J72" s="230"/>
      <c r="K72" s="230"/>
      <c r="L72" s="230"/>
      <c r="M72" s="232"/>
    </row>
    <row r="73" spans="1:13" ht="14.25" customHeight="1">
      <c r="A73" s="228">
        <v>71</v>
      </c>
      <c r="B73" s="230" t="s">
        <v>2691</v>
      </c>
      <c r="C73" s="230" t="s">
        <v>484</v>
      </c>
      <c r="D73" s="230" t="s">
        <v>2744</v>
      </c>
      <c r="E73" s="231">
        <v>13</v>
      </c>
      <c r="F73" s="230">
        <v>1</v>
      </c>
      <c r="G73" s="230"/>
      <c r="H73" s="230"/>
      <c r="I73" s="230">
        <v>1</v>
      </c>
      <c r="J73" s="230"/>
      <c r="K73" s="230"/>
      <c r="L73" s="230"/>
      <c r="M73" s="232"/>
    </row>
    <row r="74" spans="1:13" ht="14.25" customHeight="1">
      <c r="A74" s="228">
        <v>72</v>
      </c>
      <c r="B74" s="230" t="s">
        <v>2691</v>
      </c>
      <c r="C74" s="230" t="s">
        <v>484</v>
      </c>
      <c r="D74" s="230" t="s">
        <v>2745</v>
      </c>
      <c r="E74" s="231">
        <v>11</v>
      </c>
      <c r="F74" s="230">
        <v>1</v>
      </c>
      <c r="G74" s="230">
        <v>1</v>
      </c>
      <c r="H74" s="230">
        <v>1</v>
      </c>
      <c r="I74" s="230"/>
      <c r="J74" s="230"/>
      <c r="K74" s="230"/>
      <c r="L74" s="230"/>
      <c r="M74" s="232"/>
    </row>
    <row r="75" spans="1:13" ht="14.25" customHeight="1">
      <c r="A75" s="228">
        <v>73</v>
      </c>
      <c r="B75" s="230" t="s">
        <v>2691</v>
      </c>
      <c r="C75" s="230" t="s">
        <v>484</v>
      </c>
      <c r="D75" s="230" t="s">
        <v>2694</v>
      </c>
      <c r="E75" s="231">
        <v>10</v>
      </c>
      <c r="F75" s="230"/>
      <c r="G75" s="230">
        <v>1</v>
      </c>
      <c r="H75" s="230"/>
      <c r="I75" s="230"/>
      <c r="J75" s="230">
        <v>1</v>
      </c>
      <c r="K75" s="230"/>
      <c r="L75" s="230"/>
      <c r="M75" s="232"/>
    </row>
    <row r="76" spans="1:13" ht="14.25" customHeight="1">
      <c r="A76" s="228">
        <v>74</v>
      </c>
      <c r="B76" s="230" t="s">
        <v>2691</v>
      </c>
      <c r="C76" s="230" t="s">
        <v>484</v>
      </c>
      <c r="D76" s="230" t="s">
        <v>2746</v>
      </c>
      <c r="E76" s="231">
        <v>11</v>
      </c>
      <c r="F76" s="230"/>
      <c r="G76" s="230">
        <v>1</v>
      </c>
      <c r="H76" s="230"/>
      <c r="I76" s="230">
        <v>1</v>
      </c>
      <c r="J76" s="230"/>
      <c r="K76" s="230"/>
      <c r="L76" s="230"/>
      <c r="M76" s="232" t="s">
        <v>2747</v>
      </c>
    </row>
    <row r="77" spans="1:13" ht="14.25" customHeight="1">
      <c r="A77" s="228">
        <v>75</v>
      </c>
      <c r="B77" s="230" t="s">
        <v>2691</v>
      </c>
      <c r="C77" s="230" t="s">
        <v>484</v>
      </c>
      <c r="D77" s="230" t="s">
        <v>2748</v>
      </c>
      <c r="E77" s="231">
        <v>9</v>
      </c>
      <c r="F77" s="230"/>
      <c r="G77" s="230">
        <v>1</v>
      </c>
      <c r="H77" s="230"/>
      <c r="I77" s="230"/>
      <c r="J77" s="230"/>
      <c r="K77" s="230"/>
      <c r="L77" s="230"/>
      <c r="M77" s="232"/>
    </row>
    <row r="78" spans="1:13" ht="14.25" customHeight="1">
      <c r="A78" s="228">
        <v>76</v>
      </c>
      <c r="B78" s="230" t="s">
        <v>2691</v>
      </c>
      <c r="C78" s="230" t="s">
        <v>484</v>
      </c>
      <c r="D78" s="230" t="s">
        <v>2749</v>
      </c>
      <c r="E78" s="231">
        <v>11</v>
      </c>
      <c r="F78" s="230"/>
      <c r="G78" s="230">
        <v>1</v>
      </c>
      <c r="H78" s="230"/>
      <c r="I78" s="230"/>
      <c r="J78" s="230">
        <v>1</v>
      </c>
      <c r="K78" s="230"/>
      <c r="L78" s="230"/>
      <c r="M78" s="232"/>
    </row>
    <row r="79" spans="1:13" ht="14.25" customHeight="1">
      <c r="A79" s="228">
        <v>77</v>
      </c>
      <c r="B79" s="230" t="s">
        <v>2691</v>
      </c>
      <c r="C79" s="230" t="s">
        <v>484</v>
      </c>
      <c r="D79" s="230" t="s">
        <v>2750</v>
      </c>
      <c r="E79" s="231">
        <v>13</v>
      </c>
      <c r="F79" s="230"/>
      <c r="G79" s="230"/>
      <c r="H79" s="230">
        <v>1</v>
      </c>
      <c r="I79" s="230"/>
      <c r="J79" s="230"/>
      <c r="K79" s="230"/>
      <c r="L79" s="230"/>
      <c r="M79" s="232"/>
    </row>
    <row r="80" spans="1:13" ht="14.25" customHeight="1">
      <c r="A80" s="228">
        <v>78</v>
      </c>
      <c r="B80" s="230" t="s">
        <v>2691</v>
      </c>
      <c r="C80" s="230" t="s">
        <v>484</v>
      </c>
      <c r="D80" s="230" t="s">
        <v>333</v>
      </c>
      <c r="E80" s="231">
        <v>12</v>
      </c>
      <c r="F80" s="230"/>
      <c r="G80" s="230"/>
      <c r="H80" s="230">
        <v>1</v>
      </c>
      <c r="I80" s="230">
        <v>1</v>
      </c>
      <c r="J80" s="230">
        <v>1</v>
      </c>
      <c r="K80" s="230"/>
      <c r="L80" s="230"/>
      <c r="M80" s="232" t="s">
        <v>2747</v>
      </c>
    </row>
    <row r="81" spans="1:13" ht="14.25" customHeight="1">
      <c r="A81" s="228">
        <v>79</v>
      </c>
      <c r="B81" s="230" t="s">
        <v>2691</v>
      </c>
      <c r="C81" s="230" t="s">
        <v>484</v>
      </c>
      <c r="D81" s="230" t="s">
        <v>596</v>
      </c>
      <c r="E81" s="231">
        <v>8</v>
      </c>
      <c r="F81" s="230"/>
      <c r="G81" s="230">
        <v>1</v>
      </c>
      <c r="H81" s="230"/>
      <c r="I81" s="230"/>
      <c r="J81" s="230"/>
      <c r="K81" s="230"/>
      <c r="L81" s="230"/>
      <c r="M81" s="232"/>
    </row>
    <row r="82" spans="1:13" ht="14.25" customHeight="1">
      <c r="A82" s="228">
        <v>80</v>
      </c>
      <c r="B82" s="230" t="s">
        <v>2691</v>
      </c>
      <c r="C82" s="230" t="s">
        <v>484</v>
      </c>
      <c r="D82" s="230" t="s">
        <v>583</v>
      </c>
      <c r="E82" s="231">
        <v>8</v>
      </c>
      <c r="F82" s="230"/>
      <c r="G82" s="230"/>
      <c r="H82" s="230">
        <v>1</v>
      </c>
      <c r="I82" s="230"/>
      <c r="J82" s="230"/>
      <c r="K82" s="230"/>
      <c r="L82" s="230"/>
      <c r="M82" s="232"/>
    </row>
    <row r="83" spans="1:13" ht="14.25" customHeight="1">
      <c r="A83" s="228">
        <v>81</v>
      </c>
      <c r="B83" s="230" t="s">
        <v>2691</v>
      </c>
      <c r="C83" s="230" t="s">
        <v>484</v>
      </c>
      <c r="D83" s="230" t="s">
        <v>618</v>
      </c>
      <c r="E83" s="231">
        <v>11</v>
      </c>
      <c r="F83" s="230"/>
      <c r="G83" s="230"/>
      <c r="H83" s="230"/>
      <c r="I83" s="230"/>
      <c r="J83" s="230">
        <v>1</v>
      </c>
      <c r="K83" s="230"/>
      <c r="L83" s="230"/>
      <c r="M83" s="232"/>
    </row>
    <row r="84" spans="1:13" ht="14.25" customHeight="1">
      <c r="A84" s="228">
        <v>82</v>
      </c>
      <c r="B84" s="230" t="s">
        <v>2691</v>
      </c>
      <c r="C84" s="230" t="s">
        <v>484</v>
      </c>
      <c r="D84" s="230" t="s">
        <v>2751</v>
      </c>
      <c r="E84" s="231">
        <v>20</v>
      </c>
      <c r="F84" s="230">
        <v>1</v>
      </c>
      <c r="G84" s="230"/>
      <c r="H84" s="230"/>
      <c r="I84" s="230"/>
      <c r="J84" s="230"/>
      <c r="K84" s="230"/>
      <c r="L84" s="230"/>
      <c r="M84" s="232" t="s">
        <v>2752</v>
      </c>
    </row>
    <row r="85" spans="1:13" ht="14.25" customHeight="1">
      <c r="A85" s="228">
        <v>83</v>
      </c>
      <c r="B85" s="230" t="s">
        <v>2691</v>
      </c>
      <c r="C85" s="230" t="s">
        <v>484</v>
      </c>
      <c r="D85" s="230" t="s">
        <v>2753</v>
      </c>
      <c r="E85" s="231">
        <v>23</v>
      </c>
      <c r="F85" s="230">
        <v>1</v>
      </c>
      <c r="G85" s="230"/>
      <c r="H85" s="230"/>
      <c r="I85" s="230"/>
      <c r="J85" s="230">
        <v>1</v>
      </c>
      <c r="K85" s="230"/>
      <c r="L85" s="230"/>
      <c r="M85" s="232" t="s">
        <v>2752</v>
      </c>
    </row>
    <row r="86" spans="1:13" ht="14.25" customHeight="1">
      <c r="A86" s="228">
        <v>84</v>
      </c>
      <c r="B86" s="230" t="s">
        <v>2691</v>
      </c>
      <c r="C86" s="230" t="s">
        <v>484</v>
      </c>
      <c r="D86" s="230" t="s">
        <v>2754</v>
      </c>
      <c r="E86" s="231">
        <v>20</v>
      </c>
      <c r="F86" s="230">
        <v>1</v>
      </c>
      <c r="G86" s="230"/>
      <c r="H86" s="230"/>
      <c r="I86" s="230"/>
      <c r="J86" s="230"/>
      <c r="K86" s="230"/>
      <c r="L86" s="230"/>
      <c r="M86" s="232" t="s">
        <v>2752</v>
      </c>
    </row>
    <row r="87" spans="1:13" ht="14.25" customHeight="1">
      <c r="A87" s="228">
        <v>85</v>
      </c>
      <c r="B87" s="230" t="s">
        <v>2691</v>
      </c>
      <c r="C87" s="230" t="s">
        <v>484</v>
      </c>
      <c r="D87" s="230" t="s">
        <v>2755</v>
      </c>
      <c r="E87" s="231">
        <v>22</v>
      </c>
      <c r="F87" s="230">
        <v>1</v>
      </c>
      <c r="G87" s="230"/>
      <c r="H87" s="230"/>
      <c r="I87" s="230"/>
      <c r="J87" s="230"/>
      <c r="K87" s="230"/>
      <c r="L87" s="230"/>
      <c r="M87" s="232" t="s">
        <v>2752</v>
      </c>
    </row>
    <row r="88" spans="1:13" ht="14.25" customHeight="1">
      <c r="A88" s="228">
        <v>86</v>
      </c>
      <c r="B88" s="230" t="s">
        <v>2691</v>
      </c>
      <c r="C88" s="230" t="s">
        <v>484</v>
      </c>
      <c r="D88" s="230" t="s">
        <v>2756</v>
      </c>
      <c r="E88" s="231">
        <v>16</v>
      </c>
      <c r="F88" s="230">
        <v>1</v>
      </c>
      <c r="G88" s="230"/>
      <c r="H88" s="230"/>
      <c r="I88" s="230"/>
      <c r="J88" s="230"/>
      <c r="K88" s="230"/>
      <c r="L88" s="230"/>
      <c r="M88" s="232" t="s">
        <v>2752</v>
      </c>
    </row>
    <row r="89" spans="1:13" ht="14.25" customHeight="1">
      <c r="A89" s="228">
        <v>87</v>
      </c>
      <c r="B89" s="230" t="s">
        <v>2691</v>
      </c>
      <c r="C89" s="230" t="s">
        <v>484</v>
      </c>
      <c r="D89" s="230" t="s">
        <v>2757</v>
      </c>
      <c r="E89" s="231">
        <v>11</v>
      </c>
      <c r="F89" s="230"/>
      <c r="G89" s="230">
        <v>1</v>
      </c>
      <c r="H89" s="230">
        <v>1</v>
      </c>
      <c r="I89" s="230"/>
      <c r="J89" s="230"/>
      <c r="K89" s="230"/>
      <c r="L89" s="230"/>
      <c r="M89" s="232" t="s">
        <v>2752</v>
      </c>
    </row>
    <row r="90" spans="1:13" ht="14.25" customHeight="1">
      <c r="A90" s="228">
        <v>88</v>
      </c>
      <c r="B90" s="230" t="s">
        <v>2691</v>
      </c>
      <c r="C90" s="230" t="s">
        <v>484</v>
      </c>
      <c r="D90" s="230" t="s">
        <v>2758</v>
      </c>
      <c r="E90" s="231">
        <v>20</v>
      </c>
      <c r="F90" s="230">
        <v>1</v>
      </c>
      <c r="G90" s="230"/>
      <c r="H90" s="230"/>
      <c r="I90" s="230"/>
      <c r="J90" s="230">
        <v>1</v>
      </c>
      <c r="K90" s="230"/>
      <c r="L90" s="230"/>
      <c r="M90" s="232" t="s">
        <v>2752</v>
      </c>
    </row>
    <row r="91" spans="1:13" ht="14.25" customHeight="1">
      <c r="A91" s="228">
        <v>89</v>
      </c>
      <c r="B91" s="230" t="s">
        <v>2691</v>
      </c>
      <c r="C91" s="230" t="s">
        <v>484</v>
      </c>
      <c r="D91" s="230" t="s">
        <v>2759</v>
      </c>
      <c r="E91" s="231">
        <v>27</v>
      </c>
      <c r="F91" s="230">
        <v>1</v>
      </c>
      <c r="G91" s="230"/>
      <c r="H91" s="230"/>
      <c r="I91" s="230"/>
      <c r="J91" s="230">
        <v>1</v>
      </c>
      <c r="K91" s="230"/>
      <c r="L91" s="230"/>
      <c r="M91" s="232" t="s">
        <v>2752</v>
      </c>
    </row>
    <row r="92" spans="1:13" ht="14.25" customHeight="1">
      <c r="A92" s="228">
        <v>90</v>
      </c>
      <c r="B92" s="230" t="s">
        <v>2691</v>
      </c>
      <c r="C92" s="230" t="s">
        <v>484</v>
      </c>
      <c r="D92" s="230" t="s">
        <v>2760</v>
      </c>
      <c r="E92" s="231">
        <v>21</v>
      </c>
      <c r="F92" s="230">
        <v>1</v>
      </c>
      <c r="G92" s="230"/>
      <c r="H92" s="230"/>
      <c r="I92" s="230"/>
      <c r="J92" s="230">
        <v>1</v>
      </c>
      <c r="K92" s="230"/>
      <c r="L92" s="230"/>
      <c r="M92" s="232" t="s">
        <v>2752</v>
      </c>
    </row>
    <row r="93" spans="1:13" ht="14.25" customHeight="1">
      <c r="A93" s="228">
        <v>91</v>
      </c>
      <c r="B93" s="230" t="s">
        <v>2691</v>
      </c>
      <c r="C93" s="230" t="s">
        <v>484</v>
      </c>
      <c r="D93" s="230" t="s">
        <v>641</v>
      </c>
      <c r="E93" s="231">
        <v>21</v>
      </c>
      <c r="F93" s="230"/>
      <c r="G93" s="230">
        <v>1</v>
      </c>
      <c r="H93" s="230"/>
      <c r="I93" s="230"/>
      <c r="J93" s="230">
        <v>1</v>
      </c>
      <c r="K93" s="230"/>
      <c r="L93" s="230"/>
      <c r="M93" s="232" t="s">
        <v>2752</v>
      </c>
    </row>
    <row r="94" spans="1:13" ht="14.25" customHeight="1">
      <c r="A94" s="228">
        <v>92</v>
      </c>
      <c r="B94" s="230" t="s">
        <v>2691</v>
      </c>
      <c r="C94" s="230" t="s">
        <v>484</v>
      </c>
      <c r="D94" s="230" t="s">
        <v>2761</v>
      </c>
      <c r="E94" s="231">
        <v>23</v>
      </c>
      <c r="F94" s="230">
        <v>1</v>
      </c>
      <c r="G94" s="230"/>
      <c r="H94" s="230"/>
      <c r="I94" s="230"/>
      <c r="J94" s="230">
        <v>1</v>
      </c>
      <c r="K94" s="230"/>
      <c r="L94" s="230"/>
      <c r="M94" s="232" t="s">
        <v>2752</v>
      </c>
    </row>
    <row r="95" spans="1:13" ht="14.25" customHeight="1">
      <c r="A95" s="228">
        <v>93</v>
      </c>
      <c r="B95" s="230" t="s">
        <v>2702</v>
      </c>
      <c r="C95" s="230" t="s">
        <v>484</v>
      </c>
      <c r="D95" s="230" t="s">
        <v>483</v>
      </c>
      <c r="E95" s="231">
        <v>2</v>
      </c>
      <c r="F95" s="231">
        <v>1</v>
      </c>
      <c r="G95" s="231">
        <v>1</v>
      </c>
      <c r="H95" s="231">
        <v>1</v>
      </c>
      <c r="I95" s="231">
        <v>1</v>
      </c>
      <c r="J95" s="231">
        <v>1</v>
      </c>
      <c r="K95" s="231">
        <v>1</v>
      </c>
      <c r="L95" s="231">
        <v>1</v>
      </c>
      <c r="M95" s="232"/>
    </row>
    <row r="96" spans="1:13" ht="14.25" customHeight="1">
      <c r="A96" s="228">
        <v>94</v>
      </c>
      <c r="B96" s="230" t="s">
        <v>2704</v>
      </c>
      <c r="C96" s="230" t="s">
        <v>484</v>
      </c>
      <c r="D96" s="230" t="s">
        <v>2711</v>
      </c>
      <c r="E96" s="231">
        <v>2</v>
      </c>
      <c r="F96" s="230"/>
      <c r="G96" s="230">
        <v>1</v>
      </c>
      <c r="H96" s="230"/>
      <c r="I96" s="230">
        <v>1</v>
      </c>
      <c r="J96" s="230"/>
      <c r="K96" s="230">
        <v>1</v>
      </c>
      <c r="L96" s="230"/>
      <c r="M96" s="232"/>
    </row>
    <row r="97" spans="1:13" ht="14.25" customHeight="1">
      <c r="A97" s="228">
        <v>95</v>
      </c>
      <c r="B97" s="230" t="s">
        <v>2704</v>
      </c>
      <c r="C97" s="230" t="s">
        <v>484</v>
      </c>
      <c r="D97" s="230" t="s">
        <v>2712</v>
      </c>
      <c r="E97" s="231">
        <v>2</v>
      </c>
      <c r="F97" s="230"/>
      <c r="G97" s="230">
        <v>1</v>
      </c>
      <c r="H97" s="230"/>
      <c r="I97" s="230">
        <v>1</v>
      </c>
      <c r="J97" s="230"/>
      <c r="K97" s="230">
        <v>1</v>
      </c>
      <c r="L97" s="230"/>
      <c r="M97" s="232"/>
    </row>
    <row r="98" spans="1:13" ht="14.25" customHeight="1">
      <c r="A98" s="228">
        <v>96</v>
      </c>
      <c r="B98" s="230" t="s">
        <v>2704</v>
      </c>
      <c r="C98" s="230" t="s">
        <v>484</v>
      </c>
      <c r="D98" s="230" t="s">
        <v>2713</v>
      </c>
      <c r="E98" s="231">
        <v>2</v>
      </c>
      <c r="F98" s="230"/>
      <c r="G98" s="230">
        <v>1</v>
      </c>
      <c r="H98" s="230"/>
      <c r="I98" s="230"/>
      <c r="J98" s="230"/>
      <c r="K98" s="230">
        <v>1</v>
      </c>
      <c r="L98" s="230"/>
      <c r="M98" s="232"/>
    </row>
    <row r="99" spans="1:13" ht="14.25" customHeight="1">
      <c r="A99" s="228">
        <v>97</v>
      </c>
      <c r="B99" s="230" t="s">
        <v>2704</v>
      </c>
      <c r="C99" s="230" t="s">
        <v>484</v>
      </c>
      <c r="D99" s="230" t="s">
        <v>2762</v>
      </c>
      <c r="E99" s="231">
        <v>1</v>
      </c>
      <c r="F99" s="230"/>
      <c r="G99" s="230"/>
      <c r="H99" s="230">
        <v>1</v>
      </c>
      <c r="I99" s="230"/>
      <c r="J99" s="230">
        <v>1</v>
      </c>
      <c r="K99" s="230"/>
      <c r="L99" s="230">
        <v>1</v>
      </c>
      <c r="M99" s="232"/>
    </row>
    <row r="100" spans="1:13" ht="14.25" customHeight="1">
      <c r="A100" s="228">
        <v>98</v>
      </c>
      <c r="B100" s="230" t="s">
        <v>2704</v>
      </c>
      <c r="C100" s="230" t="s">
        <v>484</v>
      </c>
      <c r="D100" s="230" t="s">
        <v>2763</v>
      </c>
      <c r="E100" s="231">
        <v>1</v>
      </c>
      <c r="F100" s="230"/>
      <c r="G100" s="230"/>
      <c r="H100" s="230">
        <v>1</v>
      </c>
      <c r="I100" s="230"/>
      <c r="J100" s="230"/>
      <c r="K100" s="230"/>
      <c r="L100" s="230">
        <v>1</v>
      </c>
      <c r="M100" s="232"/>
    </row>
    <row r="101" spans="1:13" ht="14.25" customHeight="1">
      <c r="A101" s="228">
        <v>99</v>
      </c>
      <c r="B101" s="230" t="s">
        <v>2704</v>
      </c>
      <c r="C101" s="230" t="s">
        <v>484</v>
      </c>
      <c r="D101" s="230" t="s">
        <v>2764</v>
      </c>
      <c r="E101" s="231">
        <v>1</v>
      </c>
      <c r="F101" s="230"/>
      <c r="G101" s="230">
        <v>1</v>
      </c>
      <c r="H101" s="230"/>
      <c r="I101" s="230">
        <v>1</v>
      </c>
      <c r="J101" s="230"/>
      <c r="K101" s="230"/>
      <c r="L101" s="230">
        <v>1</v>
      </c>
      <c r="M101" s="232"/>
    </row>
    <row r="102" spans="1:13" ht="14.25" customHeight="1">
      <c r="A102" s="228">
        <v>100</v>
      </c>
      <c r="B102" s="230" t="s">
        <v>2704</v>
      </c>
      <c r="C102" s="230" t="s">
        <v>484</v>
      </c>
      <c r="D102" s="230" t="s">
        <v>2765</v>
      </c>
      <c r="E102" s="231">
        <v>1</v>
      </c>
      <c r="F102" s="230"/>
      <c r="G102" s="230">
        <v>1</v>
      </c>
      <c r="H102" s="230"/>
      <c r="I102" s="230">
        <v>1</v>
      </c>
      <c r="J102" s="230"/>
      <c r="K102" s="230"/>
      <c r="L102" s="230">
        <v>1</v>
      </c>
      <c r="M102" s="232"/>
    </row>
    <row r="103" spans="1:13" ht="14.25" customHeight="1">
      <c r="A103" s="228">
        <v>101</v>
      </c>
      <c r="B103" s="230" t="s">
        <v>2704</v>
      </c>
      <c r="C103" s="230" t="s">
        <v>484</v>
      </c>
      <c r="D103" s="230" t="s">
        <v>2736</v>
      </c>
      <c r="E103" s="231">
        <v>1</v>
      </c>
      <c r="F103" s="230"/>
      <c r="G103" s="230"/>
      <c r="H103" s="230">
        <v>1</v>
      </c>
      <c r="I103" s="230"/>
      <c r="J103" s="230"/>
      <c r="K103" s="230"/>
      <c r="L103" s="230">
        <v>1</v>
      </c>
      <c r="M103" s="232"/>
    </row>
    <row r="104" spans="1:13" ht="14.25" customHeight="1">
      <c r="A104" s="228">
        <v>102</v>
      </c>
      <c r="B104" s="230" t="s">
        <v>2704</v>
      </c>
      <c r="C104" s="230" t="s">
        <v>484</v>
      </c>
      <c r="D104" s="230" t="s">
        <v>2766</v>
      </c>
      <c r="E104" s="231">
        <v>1</v>
      </c>
      <c r="F104" s="230"/>
      <c r="G104" s="230"/>
      <c r="H104" s="230"/>
      <c r="I104" s="230">
        <v>1</v>
      </c>
      <c r="J104" s="230"/>
      <c r="K104" s="230"/>
      <c r="L104" s="230">
        <v>1</v>
      </c>
      <c r="M104" s="232"/>
    </row>
    <row r="105" spans="1:13" ht="14.25" customHeight="1">
      <c r="A105" s="228">
        <v>103</v>
      </c>
      <c r="B105" s="230" t="s">
        <v>2704</v>
      </c>
      <c r="C105" s="230" t="s">
        <v>484</v>
      </c>
      <c r="D105" s="230" t="s">
        <v>2767</v>
      </c>
      <c r="E105" s="231">
        <v>2</v>
      </c>
      <c r="F105" s="230"/>
      <c r="G105" s="230">
        <v>1</v>
      </c>
      <c r="H105" s="230"/>
      <c r="I105" s="230">
        <v>1</v>
      </c>
      <c r="J105" s="230"/>
      <c r="K105" s="230">
        <v>1</v>
      </c>
      <c r="L105" s="230"/>
      <c r="M105" s="232"/>
    </row>
    <row r="106" spans="1:13" ht="14.25" customHeight="1">
      <c r="A106" s="228">
        <v>104</v>
      </c>
      <c r="B106" s="230" t="s">
        <v>2704</v>
      </c>
      <c r="C106" s="230" t="s">
        <v>484</v>
      </c>
      <c r="D106" s="230" t="s">
        <v>2768</v>
      </c>
      <c r="E106" s="231">
        <v>1</v>
      </c>
      <c r="F106" s="230"/>
      <c r="G106" s="230"/>
      <c r="H106" s="230">
        <v>1</v>
      </c>
      <c r="I106" s="230">
        <v>1</v>
      </c>
      <c r="J106" s="230"/>
      <c r="K106" s="230"/>
      <c r="L106" s="230">
        <v>1</v>
      </c>
      <c r="M106" s="232"/>
    </row>
    <row r="107" spans="1:13" ht="14.25" customHeight="1">
      <c r="A107" s="228">
        <v>105</v>
      </c>
      <c r="B107" s="230" t="s">
        <v>2704</v>
      </c>
      <c r="C107" s="230" t="s">
        <v>484</v>
      </c>
      <c r="D107" s="230" t="s">
        <v>2769</v>
      </c>
      <c r="E107" s="231">
        <v>1</v>
      </c>
      <c r="F107" s="230"/>
      <c r="G107" s="230">
        <v>1</v>
      </c>
      <c r="H107" s="230"/>
      <c r="I107" s="230">
        <v>1</v>
      </c>
      <c r="J107" s="230">
        <v>1</v>
      </c>
      <c r="K107" s="230"/>
      <c r="L107" s="230">
        <v>1</v>
      </c>
      <c r="M107" s="232"/>
    </row>
    <row r="108" spans="1:13" ht="14.25" customHeight="1">
      <c r="A108" s="228">
        <v>106</v>
      </c>
      <c r="B108" s="230" t="s">
        <v>2704</v>
      </c>
      <c r="C108" s="230" t="s">
        <v>484</v>
      </c>
      <c r="D108" s="230" t="s">
        <v>2725</v>
      </c>
      <c r="E108" s="231">
        <v>1</v>
      </c>
      <c r="F108" s="230"/>
      <c r="G108" s="230"/>
      <c r="H108" s="230">
        <v>1</v>
      </c>
      <c r="I108" s="230"/>
      <c r="J108" s="230"/>
      <c r="K108" s="230"/>
      <c r="L108" s="230">
        <v>1</v>
      </c>
      <c r="M108" s="232"/>
    </row>
    <row r="109" spans="1:13" ht="14.25" customHeight="1">
      <c r="A109" s="228">
        <v>107</v>
      </c>
      <c r="B109" s="230" t="s">
        <v>2704</v>
      </c>
      <c r="C109" s="230" t="s">
        <v>484</v>
      </c>
      <c r="D109" s="230" t="s">
        <v>2770</v>
      </c>
      <c r="E109" s="231">
        <v>1</v>
      </c>
      <c r="F109" s="230"/>
      <c r="G109" s="230"/>
      <c r="H109" s="230">
        <v>1</v>
      </c>
      <c r="I109" s="230"/>
      <c r="J109" s="230"/>
      <c r="K109" s="230"/>
      <c r="L109" s="230">
        <v>1</v>
      </c>
      <c r="M109" s="232"/>
    </row>
    <row r="110" spans="1:13" ht="14.25" customHeight="1">
      <c r="A110" s="228">
        <v>108</v>
      </c>
      <c r="B110" s="230" t="s">
        <v>2704</v>
      </c>
      <c r="C110" s="230" t="s">
        <v>484</v>
      </c>
      <c r="D110" s="230" t="s">
        <v>2726</v>
      </c>
      <c r="E110" s="231">
        <v>2</v>
      </c>
      <c r="F110" s="230"/>
      <c r="G110" s="230"/>
      <c r="H110" s="230">
        <v>1</v>
      </c>
      <c r="I110" s="230"/>
      <c r="J110" s="230"/>
      <c r="K110" s="230">
        <v>1</v>
      </c>
      <c r="L110" s="230"/>
      <c r="M110" s="232"/>
    </row>
    <row r="111" spans="1:13" ht="14.25" customHeight="1">
      <c r="A111" s="228">
        <v>109</v>
      </c>
      <c r="B111" s="230" t="s">
        <v>2704</v>
      </c>
      <c r="C111" s="230" t="s">
        <v>484</v>
      </c>
      <c r="D111" s="230" t="s">
        <v>2737</v>
      </c>
      <c r="E111" s="231">
        <v>1</v>
      </c>
      <c r="F111" s="230"/>
      <c r="G111" s="230"/>
      <c r="H111" s="230">
        <v>1</v>
      </c>
      <c r="I111" s="230"/>
      <c r="J111" s="230"/>
      <c r="K111" s="230"/>
      <c r="L111" s="230">
        <v>1</v>
      </c>
      <c r="M111" s="232"/>
    </row>
    <row r="112" spans="1:13" ht="14.25" customHeight="1">
      <c r="A112" s="228">
        <v>110</v>
      </c>
      <c r="B112" s="230" t="s">
        <v>2702</v>
      </c>
      <c r="C112" s="230" t="s">
        <v>484</v>
      </c>
      <c r="D112" s="230" t="s">
        <v>2703</v>
      </c>
      <c r="E112" s="231">
        <v>1</v>
      </c>
      <c r="F112" s="230"/>
      <c r="G112" s="230"/>
      <c r="H112" s="230">
        <v>1</v>
      </c>
      <c r="I112" s="230">
        <v>1</v>
      </c>
      <c r="J112" s="230"/>
      <c r="K112" s="230"/>
      <c r="L112" s="230">
        <v>1</v>
      </c>
      <c r="M112" s="232"/>
    </row>
    <row r="113" spans="1:13" ht="14.25" customHeight="1">
      <c r="A113" s="228">
        <v>111</v>
      </c>
      <c r="B113" s="230" t="s">
        <v>2704</v>
      </c>
      <c r="C113" s="230" t="s">
        <v>484</v>
      </c>
      <c r="D113" s="230" t="s">
        <v>2728</v>
      </c>
      <c r="E113" s="231">
        <v>2</v>
      </c>
      <c r="F113" s="230"/>
      <c r="G113" s="230">
        <v>1</v>
      </c>
      <c r="H113" s="230"/>
      <c r="I113" s="230"/>
      <c r="J113" s="230"/>
      <c r="K113" s="230">
        <v>1</v>
      </c>
      <c r="L113" s="230"/>
      <c r="M113" s="232"/>
    </row>
    <row r="114" spans="1:13" ht="14.25" customHeight="1">
      <c r="A114" s="228">
        <v>112</v>
      </c>
      <c r="B114" s="230" t="s">
        <v>2704</v>
      </c>
      <c r="C114" s="230" t="s">
        <v>484</v>
      </c>
      <c r="D114" s="230" t="s">
        <v>2771</v>
      </c>
      <c r="E114" s="231">
        <v>1</v>
      </c>
      <c r="F114" s="230"/>
      <c r="G114" s="230">
        <v>1</v>
      </c>
      <c r="H114" s="230">
        <v>1</v>
      </c>
      <c r="I114" s="230">
        <v>1</v>
      </c>
      <c r="J114" s="230">
        <v>1</v>
      </c>
      <c r="K114" s="230"/>
      <c r="L114" s="230">
        <v>1</v>
      </c>
      <c r="M114" s="232"/>
    </row>
    <row r="115" spans="1:13" ht="14.25" customHeight="1">
      <c r="A115" s="228">
        <v>113</v>
      </c>
      <c r="B115" s="230" t="s">
        <v>2704</v>
      </c>
      <c r="C115" s="230" t="s">
        <v>484</v>
      </c>
      <c r="D115" s="230" t="s">
        <v>2738</v>
      </c>
      <c r="E115" s="231">
        <v>1</v>
      </c>
      <c r="F115" s="230"/>
      <c r="G115" s="230"/>
      <c r="H115" s="230">
        <v>1</v>
      </c>
      <c r="I115" s="230"/>
      <c r="J115" s="230">
        <v>1</v>
      </c>
      <c r="K115" s="230"/>
      <c r="L115" s="230">
        <v>1</v>
      </c>
      <c r="M115" s="232"/>
    </row>
    <row r="116" spans="1:13" ht="14.25" customHeight="1">
      <c r="A116" s="228">
        <v>114</v>
      </c>
      <c r="B116" s="230" t="s">
        <v>2704</v>
      </c>
      <c r="C116" s="230" t="s">
        <v>484</v>
      </c>
      <c r="D116" s="230" t="s">
        <v>2730</v>
      </c>
      <c r="E116" s="231">
        <v>2</v>
      </c>
      <c r="F116" s="230"/>
      <c r="G116" s="230">
        <v>1</v>
      </c>
      <c r="H116" s="230"/>
      <c r="I116" s="230"/>
      <c r="J116" s="230"/>
      <c r="K116" s="230">
        <v>1</v>
      </c>
      <c r="L116" s="230"/>
      <c r="M116" s="232"/>
    </row>
    <row r="117" spans="1:13" ht="14.25" customHeight="1">
      <c r="A117" s="228">
        <v>115</v>
      </c>
      <c r="B117" s="230" t="s">
        <v>2704</v>
      </c>
      <c r="C117" s="230" t="s">
        <v>484</v>
      </c>
      <c r="D117" s="230" t="s">
        <v>2731</v>
      </c>
      <c r="E117" s="231">
        <v>2</v>
      </c>
      <c r="F117" s="230"/>
      <c r="G117" s="230">
        <v>1</v>
      </c>
      <c r="H117" s="230"/>
      <c r="I117" s="230">
        <v>1</v>
      </c>
      <c r="J117" s="230"/>
      <c r="K117" s="230">
        <v>1</v>
      </c>
      <c r="L117" s="230"/>
      <c r="M117" s="232"/>
    </row>
    <row r="118" spans="1:13" ht="14.25" customHeight="1">
      <c r="A118" s="228">
        <v>116</v>
      </c>
      <c r="B118" s="230" t="s">
        <v>2704</v>
      </c>
      <c r="C118" s="230" t="s">
        <v>484</v>
      </c>
      <c r="D118" s="230" t="s">
        <v>2739</v>
      </c>
      <c r="E118" s="231">
        <v>1</v>
      </c>
      <c r="F118" s="230"/>
      <c r="G118" s="230"/>
      <c r="H118" s="230">
        <v>1</v>
      </c>
      <c r="I118" s="230"/>
      <c r="J118" s="230"/>
      <c r="K118" s="230"/>
      <c r="L118" s="230">
        <v>1</v>
      </c>
      <c r="M118" s="232"/>
    </row>
    <row r="119" spans="1:13" ht="14.25" customHeight="1">
      <c r="A119" s="228">
        <v>117</v>
      </c>
      <c r="B119" s="230" t="s">
        <v>2704</v>
      </c>
      <c r="C119" s="230" t="s">
        <v>484</v>
      </c>
      <c r="D119" s="230" t="s">
        <v>2740</v>
      </c>
      <c r="E119" s="231">
        <v>1</v>
      </c>
      <c r="F119" s="230"/>
      <c r="G119" s="230"/>
      <c r="H119" s="230">
        <v>1</v>
      </c>
      <c r="I119" s="230"/>
      <c r="J119" s="230"/>
      <c r="K119" s="230">
        <v>1</v>
      </c>
      <c r="L119" s="230"/>
      <c r="M119" s="232"/>
    </row>
    <row r="120" spans="1:13" ht="14.25" customHeight="1">
      <c r="A120" s="228">
        <v>118</v>
      </c>
      <c r="B120" s="230" t="s">
        <v>2704</v>
      </c>
      <c r="C120" s="230" t="s">
        <v>484</v>
      </c>
      <c r="D120" s="230" t="s">
        <v>557</v>
      </c>
      <c r="E120" s="231">
        <v>1</v>
      </c>
      <c r="F120" s="230"/>
      <c r="G120" s="230"/>
      <c r="H120" s="230">
        <v>1</v>
      </c>
      <c r="I120" s="230"/>
      <c r="J120" s="230"/>
      <c r="K120" s="230"/>
      <c r="L120" s="230">
        <v>1</v>
      </c>
      <c r="M120" s="232"/>
    </row>
    <row r="121" spans="1:13" ht="14.25" customHeight="1">
      <c r="A121" s="228">
        <v>119</v>
      </c>
      <c r="B121" s="230" t="s">
        <v>2704</v>
      </c>
      <c r="C121" s="230" t="s">
        <v>484</v>
      </c>
      <c r="D121" s="230" t="s">
        <v>502</v>
      </c>
      <c r="E121" s="231">
        <v>2</v>
      </c>
      <c r="F121" s="230"/>
      <c r="G121" s="230">
        <v>1</v>
      </c>
      <c r="H121" s="230"/>
      <c r="I121" s="230"/>
      <c r="J121" s="230"/>
      <c r="K121" s="230">
        <v>1</v>
      </c>
      <c r="L121" s="230"/>
      <c r="M121" s="232"/>
    </row>
    <row r="122" spans="1:13" ht="14.25" customHeight="1">
      <c r="A122" s="228">
        <v>120</v>
      </c>
      <c r="B122" s="230" t="s">
        <v>2704</v>
      </c>
      <c r="C122" s="230" t="s">
        <v>484</v>
      </c>
      <c r="D122" s="230" t="s">
        <v>515</v>
      </c>
      <c r="E122" s="231">
        <v>2</v>
      </c>
      <c r="F122" s="230"/>
      <c r="G122" s="230"/>
      <c r="H122" s="230">
        <v>1</v>
      </c>
      <c r="I122" s="230"/>
      <c r="J122" s="230"/>
      <c r="K122" s="230">
        <v>1</v>
      </c>
      <c r="L122" s="230"/>
      <c r="M122" s="232"/>
    </row>
    <row r="123" spans="1:13" ht="14.25" customHeight="1">
      <c r="A123" s="228">
        <v>121</v>
      </c>
      <c r="B123" s="230" t="s">
        <v>2704</v>
      </c>
      <c r="C123" s="230" t="s">
        <v>484</v>
      </c>
      <c r="D123" s="230" t="s">
        <v>539</v>
      </c>
      <c r="E123" s="231">
        <v>2</v>
      </c>
      <c r="F123" s="230"/>
      <c r="G123" s="230">
        <v>1</v>
      </c>
      <c r="H123" s="230"/>
      <c r="I123" s="230">
        <v>1</v>
      </c>
      <c r="J123" s="230"/>
      <c r="K123" s="230">
        <v>1</v>
      </c>
      <c r="L123" s="230"/>
      <c r="M123" s="232"/>
    </row>
    <row r="124" spans="1:13" ht="14.25" customHeight="1">
      <c r="A124" s="228">
        <v>122</v>
      </c>
      <c r="B124" s="230" t="s">
        <v>2704</v>
      </c>
      <c r="C124" s="230" t="s">
        <v>484</v>
      </c>
      <c r="D124" s="230" t="s">
        <v>567</v>
      </c>
      <c r="E124" s="231">
        <v>1</v>
      </c>
      <c r="F124" s="230"/>
      <c r="G124" s="230"/>
      <c r="H124" s="230">
        <v>1</v>
      </c>
      <c r="I124" s="230"/>
      <c r="J124" s="230"/>
      <c r="K124" s="230"/>
      <c r="L124" s="230">
        <v>1</v>
      </c>
      <c r="M124" s="232"/>
    </row>
    <row r="125" spans="1:13" ht="14.25" customHeight="1">
      <c r="A125" s="228">
        <v>123</v>
      </c>
      <c r="B125" s="230" t="s">
        <v>2702</v>
      </c>
      <c r="C125" s="230" t="s">
        <v>484</v>
      </c>
      <c r="D125" s="230" t="s">
        <v>2706</v>
      </c>
      <c r="E125" s="231">
        <v>2</v>
      </c>
      <c r="F125" s="231">
        <v>1</v>
      </c>
      <c r="G125" s="231"/>
      <c r="H125" s="231">
        <v>1</v>
      </c>
      <c r="I125" s="231">
        <v>1</v>
      </c>
      <c r="J125" s="231"/>
      <c r="K125" s="231">
        <v>1</v>
      </c>
      <c r="L125" s="231"/>
      <c r="M125" s="232"/>
    </row>
    <row r="126" spans="1:13" ht="14.25" customHeight="1">
      <c r="A126" s="228">
        <v>124</v>
      </c>
      <c r="B126" s="230" t="s">
        <v>2702</v>
      </c>
      <c r="C126" s="230" t="s">
        <v>484</v>
      </c>
      <c r="D126" s="230" t="s">
        <v>2729</v>
      </c>
      <c r="E126" s="231">
        <v>2</v>
      </c>
      <c r="F126" s="231"/>
      <c r="G126" s="231">
        <v>1</v>
      </c>
      <c r="H126" s="231"/>
      <c r="I126" s="231">
        <v>1</v>
      </c>
      <c r="J126" s="231"/>
      <c r="K126" s="231">
        <v>1</v>
      </c>
      <c r="L126" s="231"/>
      <c r="M126" s="232"/>
    </row>
    <row r="127" spans="1:13" ht="14.25" customHeight="1">
      <c r="A127" s="228">
        <v>125</v>
      </c>
      <c r="B127" s="230" t="s">
        <v>2702</v>
      </c>
      <c r="C127" s="230" t="s">
        <v>484</v>
      </c>
      <c r="D127" s="230" t="s">
        <v>2709</v>
      </c>
      <c r="E127" s="231">
        <v>2</v>
      </c>
      <c r="F127" s="231">
        <v>1</v>
      </c>
      <c r="G127" s="231"/>
      <c r="H127" s="231">
        <v>1</v>
      </c>
      <c r="I127" s="231">
        <v>1</v>
      </c>
      <c r="J127" s="231"/>
      <c r="K127" s="231">
        <v>1</v>
      </c>
      <c r="L127" s="231"/>
      <c r="M127" s="232"/>
    </row>
    <row r="128" spans="1:13" ht="14.25" customHeight="1">
      <c r="A128" s="228">
        <v>126</v>
      </c>
      <c r="B128" s="230" t="s">
        <v>2702</v>
      </c>
      <c r="C128" s="230" t="s">
        <v>484</v>
      </c>
      <c r="D128" s="230" t="s">
        <v>2715</v>
      </c>
      <c r="E128" s="231">
        <v>2</v>
      </c>
      <c r="F128" s="231"/>
      <c r="G128" s="231">
        <v>1</v>
      </c>
      <c r="H128" s="231"/>
      <c r="I128" s="231"/>
      <c r="J128" s="231"/>
      <c r="K128" s="231">
        <v>1</v>
      </c>
      <c r="L128" s="231"/>
      <c r="M128" s="232"/>
    </row>
    <row r="129" spans="1:13" ht="14.25" customHeight="1">
      <c r="A129" s="228">
        <v>127</v>
      </c>
      <c r="B129" s="230" t="s">
        <v>2691</v>
      </c>
      <c r="C129" s="230" t="s">
        <v>484</v>
      </c>
      <c r="D129" s="230" t="s">
        <v>2772</v>
      </c>
      <c r="E129" s="231">
        <v>23</v>
      </c>
      <c r="F129" s="230">
        <v>1</v>
      </c>
      <c r="G129" s="230"/>
      <c r="H129" s="230"/>
      <c r="I129" s="230"/>
      <c r="J129" s="230"/>
      <c r="K129" s="230"/>
      <c r="L129" s="230"/>
      <c r="M129" s="232" t="s">
        <v>2752</v>
      </c>
    </row>
    <row r="130" spans="1:13" ht="14.25" customHeight="1">
      <c r="A130" s="228">
        <v>128</v>
      </c>
      <c r="B130" s="230" t="s">
        <v>2691</v>
      </c>
      <c r="C130" s="230" t="s">
        <v>484</v>
      </c>
      <c r="D130" s="230" t="s">
        <v>2773</v>
      </c>
      <c r="E130" s="231">
        <v>20</v>
      </c>
      <c r="F130" s="230"/>
      <c r="G130" s="230"/>
      <c r="H130" s="230"/>
      <c r="I130" s="230"/>
      <c r="J130" s="230">
        <v>1</v>
      </c>
      <c r="K130" s="230"/>
      <c r="L130" s="230"/>
      <c r="M130" s="232" t="s">
        <v>2752</v>
      </c>
    </row>
    <row r="131" spans="1:13" ht="14.25" customHeight="1">
      <c r="A131" s="228">
        <v>129</v>
      </c>
      <c r="B131" s="230" t="s">
        <v>2702</v>
      </c>
      <c r="C131" s="230" t="s">
        <v>484</v>
      </c>
      <c r="D131" s="230" t="s">
        <v>2727</v>
      </c>
      <c r="E131" s="231">
        <v>2</v>
      </c>
      <c r="F131" s="231"/>
      <c r="G131" s="231">
        <v>1</v>
      </c>
      <c r="H131" s="231"/>
      <c r="I131" s="231">
        <v>1</v>
      </c>
      <c r="J131" s="231"/>
      <c r="K131" s="231">
        <v>1</v>
      </c>
      <c r="L131" s="231"/>
      <c r="M131" s="232"/>
    </row>
    <row r="132" spans="1:13" ht="14.25" customHeight="1">
      <c r="A132" s="228">
        <v>130</v>
      </c>
      <c r="B132" s="230" t="s">
        <v>2691</v>
      </c>
      <c r="C132" s="230" t="s">
        <v>484</v>
      </c>
      <c r="D132" s="230" t="s">
        <v>2774</v>
      </c>
      <c r="E132" s="231">
        <v>11</v>
      </c>
      <c r="F132" s="230"/>
      <c r="G132" s="230"/>
      <c r="H132" s="230"/>
      <c r="I132" s="230"/>
      <c r="J132" s="230">
        <v>1</v>
      </c>
      <c r="K132" s="230"/>
      <c r="L132" s="230"/>
      <c r="M132" s="232"/>
    </row>
    <row r="133" spans="1:13" ht="14.25" customHeight="1">
      <c r="A133" s="228">
        <v>131</v>
      </c>
      <c r="B133" s="230" t="s">
        <v>2702</v>
      </c>
      <c r="C133" s="230" t="s">
        <v>484</v>
      </c>
      <c r="D133" s="230" t="s">
        <v>2733</v>
      </c>
      <c r="E133" s="231">
        <v>2</v>
      </c>
      <c r="F133" s="231"/>
      <c r="G133" s="231">
        <v>1</v>
      </c>
      <c r="H133" s="231"/>
      <c r="I133" s="231">
        <v>1</v>
      </c>
      <c r="J133" s="231"/>
      <c r="K133" s="231">
        <v>1</v>
      </c>
      <c r="L133" s="231"/>
      <c r="M133" s="232"/>
    </row>
    <row r="134" spans="1:13" ht="14.25" customHeight="1">
      <c r="A134" s="228">
        <v>132</v>
      </c>
      <c r="B134" s="230" t="s">
        <v>2691</v>
      </c>
      <c r="C134" s="230" t="s">
        <v>484</v>
      </c>
      <c r="D134" s="230" t="s">
        <v>572</v>
      </c>
      <c r="E134" s="231">
        <v>11</v>
      </c>
      <c r="F134" s="230"/>
      <c r="G134" s="230"/>
      <c r="H134" s="230">
        <v>1</v>
      </c>
      <c r="I134" s="230"/>
      <c r="J134" s="230"/>
      <c r="K134" s="230"/>
      <c r="L134" s="230"/>
      <c r="M134" s="232"/>
    </row>
    <row r="135" spans="1:13" ht="14.25" customHeight="1">
      <c r="A135" s="228">
        <v>133</v>
      </c>
      <c r="B135" s="230" t="s">
        <v>2691</v>
      </c>
      <c r="C135" s="230" t="s">
        <v>484</v>
      </c>
      <c r="D135" s="230" t="s">
        <v>635</v>
      </c>
      <c r="E135" s="231">
        <v>12</v>
      </c>
      <c r="F135" s="230"/>
      <c r="G135" s="230"/>
      <c r="H135" s="230"/>
      <c r="I135" s="230"/>
      <c r="J135" s="230">
        <v>1</v>
      </c>
      <c r="K135" s="230"/>
      <c r="L135" s="230"/>
      <c r="M135" s="232" t="s">
        <v>2752</v>
      </c>
    </row>
    <row r="136" spans="1:13" ht="14.25" customHeight="1"/>
    <row r="137" spans="1:13" ht="14.25" customHeight="1"/>
    <row r="138" spans="1:13" ht="14.25" customHeight="1"/>
    <row r="139" spans="1:13" ht="14.25" customHeight="1"/>
    <row r="140" spans="1:13" ht="14.25" customHeight="1"/>
    <row r="141" spans="1:13" ht="14.25" customHeight="1"/>
    <row r="142" spans="1:13" ht="14.25" customHeight="1"/>
    <row r="143" spans="1:13" ht="14.25" customHeight="1"/>
    <row r="144" spans="1:13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 outlineLevelRow="1"/>
  <cols>
    <col min="1" max="1" width="6.28515625" customWidth="1"/>
    <col min="2" max="4" width="8.42578125" customWidth="1"/>
    <col min="5" max="5" width="25.42578125" customWidth="1"/>
    <col min="6" max="6" width="13.42578125" customWidth="1"/>
    <col min="7" max="12" width="12.5703125" customWidth="1"/>
    <col min="13" max="13" width="13" customWidth="1"/>
    <col min="14" max="14" width="11.42578125" customWidth="1"/>
    <col min="15" max="15" width="13.5703125" customWidth="1"/>
    <col min="16" max="16" width="8.42578125" customWidth="1"/>
    <col min="17" max="17" width="12.5703125" customWidth="1"/>
    <col min="18" max="26" width="8.42578125" customWidth="1"/>
  </cols>
  <sheetData>
    <row r="1" spans="1:26">
      <c r="A1" s="125"/>
      <c r="B1" s="125"/>
      <c r="C1" s="125"/>
      <c r="D1" s="125"/>
      <c r="E1" s="125"/>
      <c r="F1" s="126"/>
      <c r="G1" s="125"/>
      <c r="H1" s="125"/>
      <c r="I1" s="125"/>
      <c r="J1" s="125"/>
      <c r="K1" s="125"/>
      <c r="L1" s="125"/>
      <c r="M1" s="125"/>
      <c r="N1" s="129"/>
      <c r="O1" s="125"/>
      <c r="P1" s="173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>
      <c r="A2" s="125"/>
      <c r="B2" s="125"/>
      <c r="C2" s="125"/>
      <c r="D2" s="125"/>
      <c r="E2" s="125"/>
      <c r="F2" s="126"/>
      <c r="G2" s="126">
        <v>7</v>
      </c>
      <c r="H2" s="126">
        <f t="shared" ref="H2:M2" si="0">G2+2</f>
        <v>9</v>
      </c>
      <c r="I2" s="126">
        <f t="shared" si="0"/>
        <v>11</v>
      </c>
      <c r="J2" s="126">
        <f t="shared" si="0"/>
        <v>13</v>
      </c>
      <c r="K2" s="126">
        <f t="shared" si="0"/>
        <v>15</v>
      </c>
      <c r="L2" s="126">
        <f t="shared" si="0"/>
        <v>17</v>
      </c>
      <c r="M2" s="126">
        <f t="shared" si="0"/>
        <v>19</v>
      </c>
      <c r="N2" s="129"/>
      <c r="O2" s="125"/>
      <c r="P2" s="185"/>
      <c r="Q2" s="125" t="s">
        <v>318</v>
      </c>
      <c r="R2" s="125"/>
      <c r="S2" s="125"/>
      <c r="T2" s="125"/>
      <c r="U2" s="125"/>
      <c r="V2" s="125"/>
      <c r="W2" s="125"/>
      <c r="X2" s="125"/>
      <c r="Y2" s="125"/>
      <c r="Z2" s="125"/>
    </row>
    <row r="3" spans="1:26">
      <c r="A3" s="125"/>
      <c r="B3" s="125"/>
      <c r="C3" s="125"/>
      <c r="D3" s="125"/>
      <c r="E3" s="125" t="s">
        <v>2775</v>
      </c>
      <c r="F3" s="133" t="str">
        <f>"EST. OS "&amp;'KPS #48'!$B$2&amp;'KPS #48'!$C$2</f>
        <v>EST. OS 48</v>
      </c>
      <c r="G3" s="134" t="s">
        <v>2776</v>
      </c>
      <c r="H3" s="134" t="s">
        <v>2777</v>
      </c>
      <c r="I3" s="134" t="s">
        <v>2778</v>
      </c>
      <c r="J3" s="134" t="s">
        <v>2779</v>
      </c>
      <c r="K3" s="134" t="s">
        <v>2780</v>
      </c>
      <c r="L3" s="134" t="s">
        <v>2781</v>
      </c>
      <c r="M3" s="134" t="s">
        <v>2782</v>
      </c>
      <c r="N3" s="129"/>
      <c r="O3" s="173">
        <f>N4-O4</f>
        <v>0</v>
      </c>
      <c r="P3" s="190"/>
      <c r="Q3" s="125" t="s">
        <v>317</v>
      </c>
      <c r="R3" s="125"/>
      <c r="S3" s="125"/>
      <c r="T3" s="125"/>
      <c r="U3" s="125"/>
      <c r="V3" s="125"/>
      <c r="W3" s="125"/>
      <c r="X3" s="125"/>
      <c r="Y3" s="125"/>
      <c r="Z3" s="125"/>
    </row>
    <row r="4" spans="1:26">
      <c r="A4" s="136"/>
      <c r="B4" s="136" t="s">
        <v>2783</v>
      </c>
      <c r="C4" s="136"/>
      <c r="D4" s="136"/>
      <c r="E4" s="137"/>
      <c r="F4" s="233">
        <v>0</v>
      </c>
      <c r="G4" s="234">
        <f>IFERROR(VLOOKUP($E$4,'KPS #48'!$D:$W,G$2,0),0)</f>
        <v>0</v>
      </c>
      <c r="H4" s="234">
        <f>IFERROR(VLOOKUP($E$4,'KPS #48'!$D:$W,H$2,0),0)</f>
        <v>0</v>
      </c>
      <c r="I4" s="234">
        <f>IFERROR(VLOOKUP($E$4,'KPS #48'!$D:$W,I$2,0),0)</f>
        <v>0</v>
      </c>
      <c r="J4" s="234">
        <f>IFERROR(VLOOKUP($E$4,'KPS #48'!$D:$W,J$2,0),0)</f>
        <v>0</v>
      </c>
      <c r="K4" s="234">
        <f>IFERROR(VLOOKUP($E$4,'KPS #48'!$D:$W,K$2,0),0)</f>
        <v>0</v>
      </c>
      <c r="L4" s="234">
        <f>IFERROR(VLOOKUP($E$4,'KPS #48'!$D:$W,L$2,0),0)</f>
        <v>0</v>
      </c>
      <c r="M4" s="234">
        <f>IFERROR(VLOOKUP($E$4,'KPS #48'!$D:$W,M$2,0),0)</f>
        <v>0</v>
      </c>
      <c r="N4" s="235">
        <f>SUM(F4:M4)</f>
        <v>0</v>
      </c>
      <c r="O4" s="142">
        <f>F140</f>
        <v>0</v>
      </c>
      <c r="P4" s="161"/>
      <c r="Q4" s="125" t="s">
        <v>2784</v>
      </c>
      <c r="R4" s="125"/>
      <c r="S4" s="125"/>
      <c r="T4" s="125"/>
      <c r="U4" s="125"/>
      <c r="V4" s="125"/>
      <c r="W4" s="125"/>
      <c r="X4" s="125"/>
      <c r="Y4" s="125"/>
      <c r="Z4" s="125"/>
    </row>
    <row r="5" spans="1:26" ht="33.75">
      <c r="A5" s="143" t="s">
        <v>325</v>
      </c>
      <c r="B5" s="144" t="s">
        <v>326</v>
      </c>
      <c r="C5" s="144" t="s">
        <v>327</v>
      </c>
      <c r="D5" s="144" t="s">
        <v>2785</v>
      </c>
      <c r="E5" s="145" t="s">
        <v>327</v>
      </c>
      <c r="F5" s="236" t="s">
        <v>2786</v>
      </c>
      <c r="G5" s="237" t="s">
        <v>2786</v>
      </c>
      <c r="H5" s="238" t="s">
        <v>2786</v>
      </c>
      <c r="I5" s="238" t="s">
        <v>2786</v>
      </c>
      <c r="J5" s="238" t="s">
        <v>2786</v>
      </c>
      <c r="K5" s="238" t="s">
        <v>2786</v>
      </c>
      <c r="L5" s="238" t="s">
        <v>2786</v>
      </c>
      <c r="M5" s="239" t="s">
        <v>2786</v>
      </c>
      <c r="N5" s="149" t="s">
        <v>291</v>
      </c>
      <c r="O5" s="125"/>
      <c r="P5" s="173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4.25" customHeight="1" outlineLevel="1">
      <c r="A6" s="150">
        <v>1</v>
      </c>
      <c r="B6" s="150" t="s">
        <v>332</v>
      </c>
      <c r="C6" s="150" t="str">
        <f t="shared" ref="C6:C18" si="1">MID(E6,4,LEN(E6))</f>
        <v xml:space="preserve"> Medan 1</v>
      </c>
      <c r="D6" s="150" t="str">
        <f t="shared" ref="D6:D19" si="2">IFERROR(VLOOKUP($E$4&amp;C6,#REF!,2,FALSE),"")</f>
        <v/>
      </c>
      <c r="E6" s="240" t="s">
        <v>335</v>
      </c>
      <c r="F6" s="241"/>
      <c r="G6" s="242"/>
      <c r="H6" s="243"/>
      <c r="I6" s="243"/>
      <c r="J6" s="243"/>
      <c r="K6" s="243"/>
      <c r="L6" s="243"/>
      <c r="M6" s="244"/>
      <c r="N6" s="245">
        <f t="shared" ref="N6:N19" si="3">SUM(F6:M6)</f>
        <v>0</v>
      </c>
      <c r="O6" s="125"/>
      <c r="P6" s="173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4.25" customHeight="1" outlineLevel="1">
      <c r="A7" s="150">
        <v>1</v>
      </c>
      <c r="B7" s="150" t="s">
        <v>336</v>
      </c>
      <c r="C7" s="150" t="str">
        <f t="shared" si="1"/>
        <v xml:space="preserve"> Langkat</v>
      </c>
      <c r="D7" s="150" t="str">
        <f t="shared" si="2"/>
        <v/>
      </c>
      <c r="E7" s="240" t="s">
        <v>337</v>
      </c>
      <c r="F7" s="241"/>
      <c r="G7" s="242"/>
      <c r="H7" s="243"/>
      <c r="I7" s="243"/>
      <c r="J7" s="243"/>
      <c r="K7" s="243"/>
      <c r="L7" s="243"/>
      <c r="M7" s="244"/>
      <c r="N7" s="245">
        <f t="shared" si="3"/>
        <v>0</v>
      </c>
      <c r="O7" s="125"/>
      <c r="P7" s="173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4.25" customHeight="1" outlineLevel="1">
      <c r="A8" s="150">
        <v>1</v>
      </c>
      <c r="B8" s="150" t="s">
        <v>338</v>
      </c>
      <c r="C8" s="150" t="str">
        <f t="shared" si="1"/>
        <v xml:space="preserve"> Medan 2</v>
      </c>
      <c r="D8" s="150" t="str">
        <f t="shared" si="2"/>
        <v/>
      </c>
      <c r="E8" s="240" t="s">
        <v>339</v>
      </c>
      <c r="F8" s="241"/>
      <c r="G8" s="242"/>
      <c r="H8" s="243"/>
      <c r="I8" s="243"/>
      <c r="J8" s="243"/>
      <c r="K8" s="243"/>
      <c r="L8" s="243"/>
      <c r="M8" s="244"/>
      <c r="N8" s="245">
        <f t="shared" si="3"/>
        <v>0</v>
      </c>
      <c r="O8" s="125"/>
      <c r="P8" s="173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4.25" customHeight="1" outlineLevel="1">
      <c r="A9" s="150">
        <v>1</v>
      </c>
      <c r="B9" s="150" t="s">
        <v>340</v>
      </c>
      <c r="C9" s="150" t="str">
        <f t="shared" si="1"/>
        <v xml:space="preserve"> Tanah Karo</v>
      </c>
      <c r="D9" s="150" t="str">
        <f t="shared" si="2"/>
        <v/>
      </c>
      <c r="E9" s="240" t="s">
        <v>341</v>
      </c>
      <c r="F9" s="241"/>
      <c r="G9" s="242"/>
      <c r="H9" s="243"/>
      <c r="I9" s="243"/>
      <c r="J9" s="243"/>
      <c r="K9" s="243"/>
      <c r="L9" s="243"/>
      <c r="M9" s="244"/>
      <c r="N9" s="245">
        <f t="shared" si="3"/>
        <v>0</v>
      </c>
      <c r="O9" s="125"/>
      <c r="P9" s="173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4.25" customHeight="1" outlineLevel="1">
      <c r="A10" s="150">
        <v>1</v>
      </c>
      <c r="B10" s="150" t="s">
        <v>342</v>
      </c>
      <c r="C10" s="150" t="str">
        <f t="shared" si="1"/>
        <v xml:space="preserve"> Pematang Siantar</v>
      </c>
      <c r="D10" s="150" t="str">
        <f t="shared" si="2"/>
        <v/>
      </c>
      <c r="E10" s="240" t="s">
        <v>343</v>
      </c>
      <c r="F10" s="241"/>
      <c r="G10" s="242"/>
      <c r="H10" s="243"/>
      <c r="I10" s="243"/>
      <c r="J10" s="243"/>
      <c r="K10" s="243"/>
      <c r="L10" s="243"/>
      <c r="M10" s="244"/>
      <c r="N10" s="245">
        <f t="shared" si="3"/>
        <v>0</v>
      </c>
      <c r="O10" s="125"/>
      <c r="P10" s="173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4.25" customHeight="1" outlineLevel="1">
      <c r="A11" s="150">
        <v>1</v>
      </c>
      <c r="B11" s="150" t="s">
        <v>344</v>
      </c>
      <c r="C11" s="150" t="str">
        <f t="shared" si="1"/>
        <v xml:space="preserve"> Rantau Prapat</v>
      </c>
      <c r="D11" s="150" t="str">
        <f t="shared" si="2"/>
        <v/>
      </c>
      <c r="E11" s="240" t="s">
        <v>345</v>
      </c>
      <c r="F11" s="241"/>
      <c r="G11" s="242"/>
      <c r="H11" s="243"/>
      <c r="I11" s="243"/>
      <c r="J11" s="243"/>
      <c r="K11" s="243"/>
      <c r="L11" s="243"/>
      <c r="M11" s="244"/>
      <c r="N11" s="245">
        <f t="shared" si="3"/>
        <v>0</v>
      </c>
      <c r="O11" s="125"/>
      <c r="P11" s="173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ht="14.25" customHeight="1" outlineLevel="1">
      <c r="A12" s="150">
        <v>1</v>
      </c>
      <c r="B12" s="150" t="s">
        <v>346</v>
      </c>
      <c r="C12" s="150" t="str">
        <f t="shared" si="1"/>
        <v xml:space="preserve"> Kisaran</v>
      </c>
      <c r="D12" s="150" t="str">
        <f t="shared" si="2"/>
        <v/>
      </c>
      <c r="E12" s="240" t="s">
        <v>347</v>
      </c>
      <c r="F12" s="241"/>
      <c r="G12" s="242"/>
      <c r="H12" s="243"/>
      <c r="I12" s="243"/>
      <c r="J12" s="243"/>
      <c r="K12" s="243"/>
      <c r="L12" s="243"/>
      <c r="M12" s="244"/>
      <c r="N12" s="245">
        <f t="shared" si="3"/>
        <v>0</v>
      </c>
      <c r="O12" s="125"/>
      <c r="P12" s="173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ht="14.25" customHeight="1" outlineLevel="1">
      <c r="A13" s="150">
        <v>1</v>
      </c>
      <c r="B13" s="150" t="s">
        <v>348</v>
      </c>
      <c r="C13" s="150" t="str">
        <f t="shared" si="1"/>
        <v xml:space="preserve"> Banda Aceh</v>
      </c>
      <c r="D13" s="150" t="str">
        <f t="shared" si="2"/>
        <v/>
      </c>
      <c r="E13" s="240" t="s">
        <v>349</v>
      </c>
      <c r="F13" s="241"/>
      <c r="G13" s="242"/>
      <c r="H13" s="243"/>
      <c r="I13" s="243"/>
      <c r="J13" s="243"/>
      <c r="K13" s="243"/>
      <c r="L13" s="243"/>
      <c r="M13" s="244"/>
      <c r="N13" s="245">
        <f t="shared" si="3"/>
        <v>0</v>
      </c>
      <c r="O13" s="125"/>
      <c r="P13" s="173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ht="14.25" customHeight="1" outlineLevel="1">
      <c r="A14" s="150">
        <v>1</v>
      </c>
      <c r="B14" s="150" t="s">
        <v>350</v>
      </c>
      <c r="C14" s="150" t="str">
        <f t="shared" si="1"/>
        <v xml:space="preserve"> Meulaboh</v>
      </c>
      <c r="D14" s="150" t="str">
        <f t="shared" si="2"/>
        <v/>
      </c>
      <c r="E14" s="240" t="s">
        <v>351</v>
      </c>
      <c r="F14" s="241"/>
      <c r="G14" s="242"/>
      <c r="H14" s="243"/>
      <c r="I14" s="243"/>
      <c r="J14" s="243"/>
      <c r="K14" s="243"/>
      <c r="L14" s="243"/>
      <c r="M14" s="244"/>
      <c r="N14" s="245">
        <f t="shared" si="3"/>
        <v>0</v>
      </c>
      <c r="O14" s="125"/>
      <c r="P14" s="173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ht="14.25" customHeight="1" outlineLevel="1">
      <c r="A15" s="150">
        <v>1</v>
      </c>
      <c r="B15" s="150" t="s">
        <v>352</v>
      </c>
      <c r="C15" s="150" t="str">
        <f t="shared" si="1"/>
        <v xml:space="preserve"> Lhokseumawe</v>
      </c>
      <c r="D15" s="150" t="str">
        <f t="shared" si="2"/>
        <v/>
      </c>
      <c r="E15" s="240" t="s">
        <v>353</v>
      </c>
      <c r="F15" s="241"/>
      <c r="G15" s="242"/>
      <c r="H15" s="243"/>
      <c r="I15" s="243"/>
      <c r="J15" s="243"/>
      <c r="K15" s="243"/>
      <c r="L15" s="243"/>
      <c r="M15" s="244"/>
      <c r="N15" s="245">
        <f t="shared" si="3"/>
        <v>0</v>
      </c>
      <c r="O15" s="125"/>
      <c r="P15" s="173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ht="14.25" customHeight="1" outlineLevel="1">
      <c r="A16" s="150">
        <v>1</v>
      </c>
      <c r="B16" s="150" t="s">
        <v>354</v>
      </c>
      <c r="C16" s="150" t="str">
        <f t="shared" si="1"/>
        <v xml:space="preserve"> Langsa</v>
      </c>
      <c r="D16" s="150" t="str">
        <f t="shared" si="2"/>
        <v/>
      </c>
      <c r="E16" s="240" t="s">
        <v>355</v>
      </c>
      <c r="F16" s="241"/>
      <c r="G16" s="242"/>
      <c r="H16" s="243"/>
      <c r="I16" s="243"/>
      <c r="J16" s="243"/>
      <c r="K16" s="243"/>
      <c r="L16" s="243"/>
      <c r="M16" s="244"/>
      <c r="N16" s="245">
        <f t="shared" si="3"/>
        <v>0</v>
      </c>
      <c r="O16" s="125"/>
      <c r="P16" s="173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ht="14.25" customHeight="1" outlineLevel="1">
      <c r="A17" s="150">
        <v>1</v>
      </c>
      <c r="B17" s="150" t="s">
        <v>356</v>
      </c>
      <c r="C17" s="150" t="str">
        <f t="shared" si="1"/>
        <v xml:space="preserve"> Padang Sidempuan</v>
      </c>
      <c r="D17" s="150" t="str">
        <f t="shared" si="2"/>
        <v/>
      </c>
      <c r="E17" s="240" t="s">
        <v>357</v>
      </c>
      <c r="F17" s="241"/>
      <c r="G17" s="242"/>
      <c r="H17" s="243"/>
      <c r="I17" s="243"/>
      <c r="J17" s="243"/>
      <c r="K17" s="243"/>
      <c r="L17" s="243"/>
      <c r="M17" s="244"/>
      <c r="N17" s="245">
        <f t="shared" si="3"/>
        <v>0</v>
      </c>
      <c r="O17" s="125"/>
      <c r="P17" s="173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ht="14.25" customHeight="1" outlineLevel="1">
      <c r="A18" s="150">
        <v>1</v>
      </c>
      <c r="B18" s="150" t="s">
        <v>358</v>
      </c>
      <c r="C18" s="150" t="str">
        <f t="shared" si="1"/>
        <v xml:space="preserve"> Sibolga</v>
      </c>
      <c r="D18" s="150" t="str">
        <f t="shared" si="2"/>
        <v/>
      </c>
      <c r="E18" s="240" t="s">
        <v>359</v>
      </c>
      <c r="F18" s="246"/>
      <c r="G18" s="242"/>
      <c r="H18" s="243"/>
      <c r="I18" s="243"/>
      <c r="J18" s="243"/>
      <c r="K18" s="243"/>
      <c r="L18" s="243"/>
      <c r="M18" s="244"/>
      <c r="N18" s="247">
        <f t="shared" si="3"/>
        <v>0</v>
      </c>
      <c r="O18" s="125"/>
      <c r="P18" s="173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ht="14.25" customHeight="1" outlineLevel="1">
      <c r="A19" s="157">
        <v>1</v>
      </c>
      <c r="B19" s="157" t="s">
        <v>360</v>
      </c>
      <c r="C19" s="157" t="s">
        <v>361</v>
      </c>
      <c r="D19" s="157" t="str">
        <f t="shared" si="2"/>
        <v/>
      </c>
      <c r="E19" s="157" t="s">
        <v>363</v>
      </c>
      <c r="F19" s="246"/>
      <c r="G19" s="248"/>
      <c r="H19" s="249"/>
      <c r="I19" s="250"/>
      <c r="J19" s="250"/>
      <c r="K19" s="250"/>
      <c r="L19" s="243"/>
      <c r="M19" s="244"/>
      <c r="N19" s="247">
        <f t="shared" si="3"/>
        <v>0</v>
      </c>
      <c r="O19" s="125"/>
      <c r="P19" s="173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>
      <c r="A20" s="162" t="s">
        <v>364</v>
      </c>
      <c r="B20" s="162"/>
      <c r="C20" s="162"/>
      <c r="D20" s="162">
        <v>1</v>
      </c>
      <c r="E20" s="162" t="s">
        <v>365</v>
      </c>
      <c r="F20" s="251">
        <f t="shared" ref="F20:N20" si="4">SUM(F6:F19)</f>
        <v>0</v>
      </c>
      <c r="G20" s="251">
        <f t="shared" si="4"/>
        <v>0</v>
      </c>
      <c r="H20" s="251">
        <f t="shared" si="4"/>
        <v>0</v>
      </c>
      <c r="I20" s="251">
        <f t="shared" si="4"/>
        <v>0</v>
      </c>
      <c r="J20" s="251">
        <f t="shared" si="4"/>
        <v>0</v>
      </c>
      <c r="K20" s="251">
        <f t="shared" si="4"/>
        <v>0</v>
      </c>
      <c r="L20" s="251">
        <f t="shared" si="4"/>
        <v>0</v>
      </c>
      <c r="M20" s="251">
        <f t="shared" si="4"/>
        <v>0</v>
      </c>
      <c r="N20" s="251">
        <f t="shared" si="4"/>
        <v>0</v>
      </c>
      <c r="O20" s="125"/>
      <c r="P20" s="173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ht="14.25" customHeight="1" outlineLevel="1">
      <c r="A21" s="168">
        <v>10</v>
      </c>
      <c r="B21" s="168" t="s">
        <v>366</v>
      </c>
      <c r="C21" s="168" t="str">
        <f t="shared" ref="C21:C29" si="5">MID(E21,4,LEN(E21))</f>
        <v xml:space="preserve"> Padang</v>
      </c>
      <c r="D21" s="168" t="str">
        <f t="shared" ref="D21:D29" si="6">IFERROR(VLOOKUP($E$4&amp;C21,#REF!,2,FALSE),"")</f>
        <v/>
      </c>
      <c r="E21" s="252" t="s">
        <v>368</v>
      </c>
      <c r="F21" s="246"/>
      <c r="G21" s="242"/>
      <c r="H21" s="243"/>
      <c r="I21" s="249"/>
      <c r="J21" s="243"/>
      <c r="K21" s="243"/>
      <c r="L21" s="243"/>
      <c r="M21" s="244"/>
      <c r="N21" s="247">
        <f t="shared" ref="N21:N29" si="7">SUM(F21:M21)</f>
        <v>0</v>
      </c>
      <c r="O21" s="125"/>
      <c r="P21" s="173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ht="14.25" customHeight="1" outlineLevel="1">
      <c r="A22" s="168">
        <v>4</v>
      </c>
      <c r="B22" s="168" t="s">
        <v>369</v>
      </c>
      <c r="C22" s="168" t="str">
        <f t="shared" si="5"/>
        <v xml:space="preserve"> Solok</v>
      </c>
      <c r="D22" s="168" t="str">
        <f t="shared" si="6"/>
        <v/>
      </c>
      <c r="E22" s="253" t="s">
        <v>371</v>
      </c>
      <c r="F22" s="246"/>
      <c r="G22" s="242"/>
      <c r="H22" s="243"/>
      <c r="I22" s="243"/>
      <c r="J22" s="243"/>
      <c r="K22" s="249"/>
      <c r="L22" s="243"/>
      <c r="M22" s="244"/>
      <c r="N22" s="247">
        <f t="shared" si="7"/>
        <v>0</v>
      </c>
      <c r="O22" s="125"/>
      <c r="P22" s="173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ht="14.25" customHeight="1" outlineLevel="1">
      <c r="A23" s="168">
        <v>4</v>
      </c>
      <c r="B23" s="168" t="s">
        <v>372</v>
      </c>
      <c r="C23" s="168" t="str">
        <f t="shared" si="5"/>
        <v xml:space="preserve"> Bukittinggi</v>
      </c>
      <c r="D23" s="168" t="str">
        <f t="shared" si="6"/>
        <v/>
      </c>
      <c r="E23" s="253" t="s">
        <v>374</v>
      </c>
      <c r="F23" s="246"/>
      <c r="G23" s="242"/>
      <c r="H23" s="243"/>
      <c r="I23" s="243"/>
      <c r="J23" s="243"/>
      <c r="K23" s="249"/>
      <c r="L23" s="249"/>
      <c r="M23" s="244"/>
      <c r="N23" s="247">
        <f t="shared" si="7"/>
        <v>0</v>
      </c>
      <c r="O23" s="125"/>
      <c r="P23" s="173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ht="14.25" customHeight="1" outlineLevel="1">
      <c r="A24" s="168">
        <v>12</v>
      </c>
      <c r="B24" s="168" t="s">
        <v>375</v>
      </c>
      <c r="C24" s="168" t="str">
        <f t="shared" si="5"/>
        <v xml:space="preserve"> Pekanbaru</v>
      </c>
      <c r="D24" s="168" t="str">
        <f t="shared" si="6"/>
        <v/>
      </c>
      <c r="E24" s="252" t="s">
        <v>376</v>
      </c>
      <c r="F24" s="246"/>
      <c r="G24" s="242"/>
      <c r="H24" s="243"/>
      <c r="I24" s="243"/>
      <c r="J24" s="249"/>
      <c r="K24" s="243"/>
      <c r="L24" s="243"/>
      <c r="M24" s="244"/>
      <c r="N24" s="247">
        <f t="shared" si="7"/>
        <v>0</v>
      </c>
      <c r="O24" s="125"/>
      <c r="P24" s="173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ht="14.25" customHeight="1" outlineLevel="1">
      <c r="A25" s="168">
        <v>10</v>
      </c>
      <c r="B25" s="168" t="s">
        <v>377</v>
      </c>
      <c r="C25" s="168" t="str">
        <f t="shared" si="5"/>
        <v xml:space="preserve"> Duri</v>
      </c>
      <c r="D25" s="168" t="str">
        <f t="shared" si="6"/>
        <v/>
      </c>
      <c r="E25" s="252" t="s">
        <v>379</v>
      </c>
      <c r="F25" s="246"/>
      <c r="G25" s="242"/>
      <c r="H25" s="243"/>
      <c r="I25" s="243"/>
      <c r="J25" s="249"/>
      <c r="K25" s="249"/>
      <c r="L25" s="243"/>
      <c r="M25" s="244"/>
      <c r="N25" s="247">
        <f t="shared" si="7"/>
        <v>0</v>
      </c>
      <c r="O25" s="125"/>
      <c r="P25" s="173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4.25" customHeight="1" outlineLevel="1">
      <c r="A26" s="168">
        <v>5</v>
      </c>
      <c r="B26" s="168" t="s">
        <v>380</v>
      </c>
      <c r="C26" s="168" t="str">
        <f t="shared" si="5"/>
        <v xml:space="preserve"> Air Molek</v>
      </c>
      <c r="D26" s="168" t="str">
        <f t="shared" si="6"/>
        <v/>
      </c>
      <c r="E26" s="252" t="s">
        <v>381</v>
      </c>
      <c r="F26" s="246"/>
      <c r="G26" s="242"/>
      <c r="H26" s="243"/>
      <c r="I26" s="243"/>
      <c r="J26" s="243"/>
      <c r="K26" s="249"/>
      <c r="L26" s="243"/>
      <c r="M26" s="244"/>
      <c r="N26" s="247">
        <f t="shared" si="7"/>
        <v>0</v>
      </c>
      <c r="O26" s="125"/>
      <c r="P26" s="173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4.25" customHeight="1" outlineLevel="1">
      <c r="A27" s="168">
        <v>14</v>
      </c>
      <c r="B27" s="168" t="s">
        <v>382</v>
      </c>
      <c r="C27" s="168" t="str">
        <f t="shared" si="5"/>
        <v xml:space="preserve"> Batam</v>
      </c>
      <c r="D27" s="168" t="str">
        <f t="shared" si="6"/>
        <v/>
      </c>
      <c r="E27" s="252" t="s">
        <v>383</v>
      </c>
      <c r="F27" s="246"/>
      <c r="G27" s="242"/>
      <c r="H27" s="243"/>
      <c r="I27" s="243"/>
      <c r="J27" s="249"/>
      <c r="K27" s="243"/>
      <c r="L27" s="243"/>
      <c r="M27" s="244"/>
      <c r="N27" s="247">
        <f t="shared" si="7"/>
        <v>0</v>
      </c>
      <c r="O27" s="125"/>
      <c r="P27" s="173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4.25" customHeight="1" outlineLevel="1">
      <c r="A28" s="168"/>
      <c r="B28" s="168" t="s">
        <v>384</v>
      </c>
      <c r="C28" s="168" t="str">
        <f t="shared" si="5"/>
        <v xml:space="preserve"> Tanjung Pinang</v>
      </c>
      <c r="D28" s="168" t="str">
        <f t="shared" si="6"/>
        <v/>
      </c>
      <c r="E28" s="252" t="s">
        <v>386</v>
      </c>
      <c r="F28" s="246"/>
      <c r="G28" s="242"/>
      <c r="H28" s="243"/>
      <c r="I28" s="249"/>
      <c r="J28" s="243"/>
      <c r="K28" s="243"/>
      <c r="L28" s="243"/>
      <c r="M28" s="244"/>
      <c r="N28" s="247">
        <f t="shared" si="7"/>
        <v>0</v>
      </c>
      <c r="O28" s="125"/>
      <c r="P28" s="173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ht="14.25" customHeight="1" outlineLevel="1">
      <c r="A29" s="168"/>
      <c r="B29" s="168" t="s">
        <v>387</v>
      </c>
      <c r="C29" s="168" t="str">
        <f t="shared" si="5"/>
        <v xml:space="preserve"> Tanjung Balai Karimun</v>
      </c>
      <c r="D29" s="168" t="str">
        <f t="shared" si="6"/>
        <v/>
      </c>
      <c r="E29" s="252" t="s">
        <v>389</v>
      </c>
      <c r="F29" s="246"/>
      <c r="G29" s="242"/>
      <c r="H29" s="243"/>
      <c r="I29" s="243"/>
      <c r="J29" s="249"/>
      <c r="K29" s="243"/>
      <c r="L29" s="243"/>
      <c r="M29" s="244"/>
      <c r="N29" s="247">
        <f t="shared" si="7"/>
        <v>0</v>
      </c>
      <c r="O29" s="125"/>
      <c r="P29" s="173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ht="15.75" customHeight="1">
      <c r="A30" s="162" t="s">
        <v>390</v>
      </c>
      <c r="B30" s="162"/>
      <c r="C30" s="162"/>
      <c r="D30" s="162">
        <v>1</v>
      </c>
      <c r="E30" s="162" t="s">
        <v>391</v>
      </c>
      <c r="F30" s="251">
        <f t="shared" ref="F30:N30" si="8">SUM(F21:F29)</f>
        <v>0</v>
      </c>
      <c r="G30" s="251">
        <f t="shared" si="8"/>
        <v>0</v>
      </c>
      <c r="H30" s="251">
        <f t="shared" si="8"/>
        <v>0</v>
      </c>
      <c r="I30" s="251">
        <f t="shared" si="8"/>
        <v>0</v>
      </c>
      <c r="J30" s="251">
        <f t="shared" si="8"/>
        <v>0</v>
      </c>
      <c r="K30" s="251">
        <f t="shared" si="8"/>
        <v>0</v>
      </c>
      <c r="L30" s="251">
        <f t="shared" si="8"/>
        <v>0</v>
      </c>
      <c r="M30" s="251">
        <f t="shared" si="8"/>
        <v>0</v>
      </c>
      <c r="N30" s="251">
        <f t="shared" si="8"/>
        <v>0</v>
      </c>
      <c r="O30" s="125"/>
      <c r="P30" s="173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4.25" hidden="1" customHeight="1" outlineLevel="1">
      <c r="A31" s="168">
        <v>3</v>
      </c>
      <c r="B31" s="168" t="s">
        <v>392</v>
      </c>
      <c r="C31" s="168" t="str">
        <f t="shared" ref="C31:C38" si="9">MID(E31,4,LEN(E31))</f>
        <v xml:space="preserve"> Palembang Inner</v>
      </c>
      <c r="D31" s="168" t="str">
        <f t="shared" ref="D31:D38" si="10">IFERROR(VLOOKUP($E$4&amp;C31,#REF!,2,FALSE),"")</f>
        <v/>
      </c>
      <c r="E31" s="252" t="s">
        <v>394</v>
      </c>
      <c r="F31" s="246"/>
      <c r="G31" s="248"/>
      <c r="H31" s="254"/>
      <c r="I31" s="243"/>
      <c r="J31" s="243"/>
      <c r="K31" s="243"/>
      <c r="L31" s="249"/>
      <c r="M31" s="244"/>
      <c r="N31" s="247">
        <f t="shared" ref="N31:N33" si="11">SUM(F31:M31)</f>
        <v>0</v>
      </c>
      <c r="O31" s="125"/>
      <c r="P31" s="173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26" ht="14.25" hidden="1" customHeight="1" outlineLevel="1">
      <c r="A32" s="168">
        <v>3</v>
      </c>
      <c r="B32" s="168" t="s">
        <v>395</v>
      </c>
      <c r="C32" s="168" t="str">
        <f t="shared" si="9"/>
        <v xml:space="preserve"> Palembang Outer</v>
      </c>
      <c r="D32" s="168" t="str">
        <f t="shared" si="10"/>
        <v/>
      </c>
      <c r="E32" s="252" t="s">
        <v>396</v>
      </c>
      <c r="F32" s="246"/>
      <c r="G32" s="242"/>
      <c r="H32" s="249"/>
      <c r="I32" s="243"/>
      <c r="J32" s="243"/>
      <c r="K32" s="243"/>
      <c r="L32" s="249"/>
      <c r="M32" s="244"/>
      <c r="N32" s="247">
        <f t="shared" si="11"/>
        <v>0</v>
      </c>
      <c r="O32" s="125"/>
      <c r="P32" s="173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 ht="14.25" hidden="1" customHeight="1" outlineLevel="1">
      <c r="A33" s="168">
        <v>3</v>
      </c>
      <c r="B33" s="168" t="s">
        <v>397</v>
      </c>
      <c r="C33" s="168" t="str">
        <f t="shared" si="9"/>
        <v xml:space="preserve"> Pangkal Pinang</v>
      </c>
      <c r="D33" s="168" t="str">
        <f t="shared" si="10"/>
        <v/>
      </c>
      <c r="E33" s="252" t="s">
        <v>399</v>
      </c>
      <c r="F33" s="246"/>
      <c r="G33" s="242"/>
      <c r="H33" s="243"/>
      <c r="I33" s="249"/>
      <c r="J33" s="243"/>
      <c r="K33" s="243"/>
      <c r="L33" s="243"/>
      <c r="M33" s="244"/>
      <c r="N33" s="247">
        <f t="shared" si="11"/>
        <v>0</v>
      </c>
      <c r="O33" s="125"/>
      <c r="P33" s="173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 ht="14.25" hidden="1" customHeight="1" outlineLevel="1">
      <c r="A34" s="168"/>
      <c r="B34" s="168" t="s">
        <v>397</v>
      </c>
      <c r="C34" s="168" t="str">
        <f t="shared" si="9"/>
        <v xml:space="preserve"> Tanjung Pandan</v>
      </c>
      <c r="D34" s="168" t="str">
        <f t="shared" si="10"/>
        <v/>
      </c>
      <c r="E34" s="252" t="s">
        <v>2787</v>
      </c>
      <c r="F34" s="246"/>
      <c r="G34" s="242"/>
      <c r="H34" s="243"/>
      <c r="I34" s="243"/>
      <c r="J34" s="249"/>
      <c r="K34" s="243"/>
      <c r="L34" s="243"/>
      <c r="M34" s="244"/>
      <c r="N34" s="247"/>
      <c r="O34" s="125"/>
      <c r="P34" s="173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 ht="14.25" hidden="1" customHeight="1" outlineLevel="1">
      <c r="A35" s="168">
        <v>3</v>
      </c>
      <c r="B35" s="168" t="s">
        <v>400</v>
      </c>
      <c r="C35" s="168" t="str">
        <f t="shared" si="9"/>
        <v xml:space="preserve"> Lahat</v>
      </c>
      <c r="D35" s="168" t="str">
        <f t="shared" si="10"/>
        <v/>
      </c>
      <c r="E35" s="252" t="s">
        <v>402</v>
      </c>
      <c r="F35" s="246"/>
      <c r="G35" s="242"/>
      <c r="H35" s="249"/>
      <c r="I35" s="243"/>
      <c r="J35" s="243"/>
      <c r="K35" s="249"/>
      <c r="L35" s="243"/>
      <c r="M35" s="244"/>
      <c r="N35" s="247">
        <f t="shared" ref="N35:N38" si="12">SUM(F35:M35)</f>
        <v>0</v>
      </c>
      <c r="O35" s="125"/>
      <c r="P35" s="173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 ht="14.25" hidden="1" customHeight="1" outlineLevel="1">
      <c r="A36" s="168">
        <v>3</v>
      </c>
      <c r="B36" s="168" t="s">
        <v>403</v>
      </c>
      <c r="C36" s="168" t="str">
        <f t="shared" si="9"/>
        <v xml:space="preserve"> Batu Raja</v>
      </c>
      <c r="D36" s="168" t="str">
        <f t="shared" si="10"/>
        <v/>
      </c>
      <c r="E36" s="252" t="s">
        <v>405</v>
      </c>
      <c r="F36" s="246"/>
      <c r="G36" s="242"/>
      <c r="H36" s="249"/>
      <c r="I36" s="243"/>
      <c r="J36" s="243"/>
      <c r="K36" s="249"/>
      <c r="L36" s="243"/>
      <c r="M36" s="244"/>
      <c r="N36" s="247">
        <f t="shared" si="12"/>
        <v>0</v>
      </c>
      <c r="O36" s="125"/>
      <c r="P36" s="173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 ht="14.25" hidden="1" customHeight="1" outlineLevel="1">
      <c r="A37" s="168">
        <v>4</v>
      </c>
      <c r="B37" s="168" t="s">
        <v>406</v>
      </c>
      <c r="C37" s="168" t="str">
        <f t="shared" si="9"/>
        <v xml:space="preserve"> Jambi</v>
      </c>
      <c r="D37" s="168" t="str">
        <f t="shared" si="10"/>
        <v/>
      </c>
      <c r="E37" s="252" t="s">
        <v>407</v>
      </c>
      <c r="F37" s="246"/>
      <c r="G37" s="242"/>
      <c r="H37" s="249"/>
      <c r="I37" s="243"/>
      <c r="J37" s="243"/>
      <c r="K37" s="249"/>
      <c r="L37" s="243"/>
      <c r="M37" s="244"/>
      <c r="N37" s="247">
        <f t="shared" si="12"/>
        <v>0</v>
      </c>
      <c r="O37" s="125"/>
      <c r="P37" s="173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 ht="14.25" hidden="1" customHeight="1" outlineLevel="1">
      <c r="A38" s="168">
        <v>4</v>
      </c>
      <c r="B38" s="168" t="s">
        <v>408</v>
      </c>
      <c r="C38" s="168" t="str">
        <f t="shared" si="9"/>
        <v xml:space="preserve"> Muara Bungo</v>
      </c>
      <c r="D38" s="168" t="str">
        <f t="shared" si="10"/>
        <v/>
      </c>
      <c r="E38" s="252" t="s">
        <v>409</v>
      </c>
      <c r="F38" s="246"/>
      <c r="G38" s="242"/>
      <c r="H38" s="249"/>
      <c r="I38" s="243"/>
      <c r="J38" s="243"/>
      <c r="K38" s="249"/>
      <c r="L38" s="243"/>
      <c r="M38" s="244"/>
      <c r="N38" s="247">
        <f t="shared" si="12"/>
        <v>0</v>
      </c>
      <c r="O38" s="125"/>
      <c r="P38" s="173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 ht="15.75" customHeight="1" collapsed="1">
      <c r="A39" s="162" t="s">
        <v>410</v>
      </c>
      <c r="B39" s="162"/>
      <c r="C39" s="162"/>
      <c r="D39" s="162">
        <v>1</v>
      </c>
      <c r="E39" s="162" t="s">
        <v>411</v>
      </c>
      <c r="F39" s="251">
        <f t="shared" ref="F39:N39" si="13">SUM(F31:F38)</f>
        <v>0</v>
      </c>
      <c r="G39" s="251">
        <f t="shared" si="13"/>
        <v>0</v>
      </c>
      <c r="H39" s="251">
        <f t="shared" si="13"/>
        <v>0</v>
      </c>
      <c r="I39" s="251">
        <f t="shared" si="13"/>
        <v>0</v>
      </c>
      <c r="J39" s="251">
        <f t="shared" si="13"/>
        <v>0</v>
      </c>
      <c r="K39" s="251">
        <f t="shared" si="13"/>
        <v>0</v>
      </c>
      <c r="L39" s="251">
        <f t="shared" si="13"/>
        <v>0</v>
      </c>
      <c r="M39" s="251">
        <f t="shared" si="13"/>
        <v>0</v>
      </c>
      <c r="N39" s="251">
        <f t="shared" si="13"/>
        <v>0</v>
      </c>
      <c r="O39" s="125"/>
      <c r="P39" s="173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 ht="14.25" hidden="1" customHeight="1" outlineLevel="1">
      <c r="A40" s="168">
        <v>3</v>
      </c>
      <c r="B40" s="168" t="s">
        <v>412</v>
      </c>
      <c r="C40" s="168" t="str">
        <f t="shared" ref="C40:C47" si="14">MID(E40,4,LEN(E40))</f>
        <v xml:space="preserve"> Lampung</v>
      </c>
      <c r="D40" s="168" t="str">
        <f t="shared" ref="D40:D47" si="15">IFERROR(VLOOKUP($E$4&amp;C40,#REF!,2,FALSE),"")</f>
        <v/>
      </c>
      <c r="E40" s="252" t="s">
        <v>413</v>
      </c>
      <c r="F40" s="246"/>
      <c r="G40" s="248"/>
      <c r="H40" s="243"/>
      <c r="I40" s="249"/>
      <c r="J40" s="243"/>
      <c r="K40" s="243"/>
      <c r="L40" s="249"/>
      <c r="M40" s="255"/>
      <c r="N40" s="247">
        <f t="shared" ref="N40:N47" si="16">SUM(F40:M40)</f>
        <v>0</v>
      </c>
      <c r="O40" s="125"/>
      <c r="P40" s="173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 ht="14.25" hidden="1" customHeight="1" outlineLevel="1">
      <c r="A41" s="168">
        <v>3</v>
      </c>
      <c r="B41" s="168" t="s">
        <v>414</v>
      </c>
      <c r="C41" s="168" t="str">
        <f t="shared" si="14"/>
        <v xml:space="preserve"> Kalianda</v>
      </c>
      <c r="D41" s="168" t="str">
        <f t="shared" si="15"/>
        <v/>
      </c>
      <c r="E41" s="253" t="s">
        <v>415</v>
      </c>
      <c r="F41" s="246"/>
      <c r="G41" s="242"/>
      <c r="H41" s="243"/>
      <c r="I41" s="243"/>
      <c r="J41" s="243"/>
      <c r="K41" s="243"/>
      <c r="L41" s="243"/>
      <c r="M41" s="244"/>
      <c r="N41" s="247">
        <f t="shared" si="16"/>
        <v>0</v>
      </c>
      <c r="O41" s="125"/>
      <c r="P41" s="173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 ht="14.25" hidden="1" customHeight="1" outlineLevel="1">
      <c r="A42" s="168">
        <v>3</v>
      </c>
      <c r="B42" s="168" t="s">
        <v>416</v>
      </c>
      <c r="C42" s="168" t="str">
        <f t="shared" si="14"/>
        <v xml:space="preserve"> Pringsewu</v>
      </c>
      <c r="D42" s="168" t="str">
        <f t="shared" si="15"/>
        <v/>
      </c>
      <c r="E42" s="252" t="s">
        <v>417</v>
      </c>
      <c r="F42" s="246"/>
      <c r="G42" s="242"/>
      <c r="H42" s="243"/>
      <c r="I42" s="249"/>
      <c r="J42" s="243"/>
      <c r="K42" s="243"/>
      <c r="L42" s="249"/>
      <c r="M42" s="244"/>
      <c r="N42" s="247">
        <f t="shared" si="16"/>
        <v>0</v>
      </c>
      <c r="O42" s="125"/>
      <c r="P42" s="173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 ht="14.25" hidden="1" customHeight="1" outlineLevel="1">
      <c r="A43" s="168">
        <v>3</v>
      </c>
      <c r="B43" s="168" t="s">
        <v>418</v>
      </c>
      <c r="C43" s="168" t="str">
        <f t="shared" si="14"/>
        <v xml:space="preserve"> Kota Bumi</v>
      </c>
      <c r="D43" s="168" t="str">
        <f t="shared" si="15"/>
        <v/>
      </c>
      <c r="E43" s="252" t="s">
        <v>419</v>
      </c>
      <c r="F43" s="246"/>
      <c r="G43" s="242"/>
      <c r="H43" s="243"/>
      <c r="I43" s="249"/>
      <c r="J43" s="243"/>
      <c r="K43" s="243"/>
      <c r="L43" s="249"/>
      <c r="M43" s="244"/>
      <c r="N43" s="247">
        <f t="shared" si="16"/>
        <v>0</v>
      </c>
      <c r="O43" s="125"/>
      <c r="P43" s="173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 ht="14.25" hidden="1" customHeight="1" outlineLevel="1">
      <c r="A44" s="168">
        <v>3</v>
      </c>
      <c r="B44" s="168" t="s">
        <v>420</v>
      </c>
      <c r="C44" s="168" t="str">
        <f t="shared" si="14"/>
        <v xml:space="preserve"> Tuba</v>
      </c>
      <c r="D44" s="168" t="str">
        <f t="shared" si="15"/>
        <v/>
      </c>
      <c r="E44" s="252" t="s">
        <v>421</v>
      </c>
      <c r="F44" s="246"/>
      <c r="G44" s="242"/>
      <c r="H44" s="243"/>
      <c r="I44" s="249"/>
      <c r="J44" s="243"/>
      <c r="K44" s="243"/>
      <c r="L44" s="249"/>
      <c r="M44" s="244"/>
      <c r="N44" s="247">
        <f t="shared" si="16"/>
        <v>0</v>
      </c>
      <c r="O44" s="125"/>
      <c r="P44" s="173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spans="1:26" ht="14.25" hidden="1" customHeight="1" outlineLevel="1">
      <c r="A45" s="168">
        <v>3</v>
      </c>
      <c r="B45" s="168" t="s">
        <v>422</v>
      </c>
      <c r="C45" s="168" t="str">
        <f t="shared" si="14"/>
        <v xml:space="preserve"> Metro</v>
      </c>
      <c r="D45" s="168" t="str">
        <f t="shared" si="15"/>
        <v/>
      </c>
      <c r="E45" s="252" t="s">
        <v>423</v>
      </c>
      <c r="F45" s="246"/>
      <c r="G45" s="242"/>
      <c r="H45" s="249"/>
      <c r="I45" s="243"/>
      <c r="J45" s="243"/>
      <c r="K45" s="243"/>
      <c r="L45" s="249"/>
      <c r="M45" s="244"/>
      <c r="N45" s="247">
        <f t="shared" si="16"/>
        <v>0</v>
      </c>
      <c r="O45" s="125"/>
      <c r="P45" s="173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spans="1:26" ht="14.25" hidden="1" customHeight="1" outlineLevel="1">
      <c r="A46" s="168">
        <v>4</v>
      </c>
      <c r="B46" s="168" t="s">
        <v>424</v>
      </c>
      <c r="C46" s="168" t="str">
        <f t="shared" si="14"/>
        <v xml:space="preserve"> Bengkulu</v>
      </c>
      <c r="D46" s="168" t="str">
        <f t="shared" si="15"/>
        <v/>
      </c>
      <c r="E46" s="252" t="s">
        <v>425</v>
      </c>
      <c r="F46" s="246"/>
      <c r="G46" s="242"/>
      <c r="H46" s="249"/>
      <c r="I46" s="243"/>
      <c r="J46" s="243"/>
      <c r="K46" s="249"/>
      <c r="L46" s="243"/>
      <c r="M46" s="244"/>
      <c r="N46" s="247">
        <f t="shared" si="16"/>
        <v>0</v>
      </c>
      <c r="O46" s="125"/>
      <c r="P46" s="173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spans="1:26" ht="14.25" hidden="1" customHeight="1" outlineLevel="1">
      <c r="A47" s="168">
        <v>4</v>
      </c>
      <c r="B47" s="168" t="s">
        <v>426</v>
      </c>
      <c r="C47" s="168" t="str">
        <f t="shared" si="14"/>
        <v xml:space="preserve"> Lubuk Linggau</v>
      </c>
      <c r="D47" s="168" t="str">
        <f t="shared" si="15"/>
        <v/>
      </c>
      <c r="E47" s="252" t="s">
        <v>427</v>
      </c>
      <c r="F47" s="246"/>
      <c r="G47" s="242"/>
      <c r="H47" s="249"/>
      <c r="I47" s="243"/>
      <c r="J47" s="243"/>
      <c r="K47" s="249"/>
      <c r="L47" s="243"/>
      <c r="M47" s="244"/>
      <c r="N47" s="247">
        <f t="shared" si="16"/>
        <v>0</v>
      </c>
      <c r="O47" s="125"/>
      <c r="P47" s="173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spans="1:26" ht="15.75" customHeight="1" collapsed="1">
      <c r="A48" s="162" t="s">
        <v>410</v>
      </c>
      <c r="B48" s="162"/>
      <c r="C48" s="162"/>
      <c r="D48" s="162">
        <v>1</v>
      </c>
      <c r="E48" s="162" t="s">
        <v>428</v>
      </c>
      <c r="F48" s="251">
        <f t="shared" ref="F48:N48" si="17">SUM(F40:F47)</f>
        <v>0</v>
      </c>
      <c r="G48" s="251">
        <f t="shared" si="17"/>
        <v>0</v>
      </c>
      <c r="H48" s="251">
        <f t="shared" si="17"/>
        <v>0</v>
      </c>
      <c r="I48" s="251">
        <f t="shared" si="17"/>
        <v>0</v>
      </c>
      <c r="J48" s="251">
        <f t="shared" si="17"/>
        <v>0</v>
      </c>
      <c r="K48" s="251">
        <f t="shared" si="17"/>
        <v>0</v>
      </c>
      <c r="L48" s="251">
        <f t="shared" si="17"/>
        <v>0</v>
      </c>
      <c r="M48" s="251">
        <f t="shared" si="17"/>
        <v>0</v>
      </c>
      <c r="N48" s="251">
        <f t="shared" si="17"/>
        <v>0</v>
      </c>
      <c r="O48" s="125"/>
      <c r="P48" s="173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spans="1:26" ht="14.25" hidden="1" customHeight="1" outlineLevel="1">
      <c r="A49" s="168"/>
      <c r="B49" s="168" t="s">
        <v>449</v>
      </c>
      <c r="C49" s="168" t="s">
        <v>430</v>
      </c>
      <c r="D49" s="168" t="str">
        <f t="shared" ref="D49:D57" si="18">IFERROR(VLOOKUP($E$4&amp;C49,#REF!,2,FALSE),"")</f>
        <v/>
      </c>
      <c r="E49" s="252" t="s">
        <v>450</v>
      </c>
      <c r="F49" s="246"/>
      <c r="G49" s="242"/>
      <c r="H49" s="250"/>
      <c r="I49" s="243"/>
      <c r="J49" s="249"/>
      <c r="K49" s="243"/>
      <c r="L49" s="250"/>
      <c r="M49" s="255"/>
      <c r="N49" s="247">
        <f t="shared" ref="N49:N57" si="19">SUM(F49:M49)</f>
        <v>0</v>
      </c>
      <c r="O49" s="125"/>
      <c r="P49" s="173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spans="1:26" ht="14.25" hidden="1" customHeight="1" outlineLevel="1">
      <c r="A50" s="168"/>
      <c r="B50" s="168" t="s">
        <v>436</v>
      </c>
      <c r="C50" s="168" t="s">
        <v>437</v>
      </c>
      <c r="D50" s="168" t="str">
        <f t="shared" si="18"/>
        <v/>
      </c>
      <c r="E50" s="252" t="s">
        <v>2788</v>
      </c>
      <c r="F50" s="246"/>
      <c r="G50" s="248"/>
      <c r="H50" s="256"/>
      <c r="I50" s="249"/>
      <c r="J50" s="256"/>
      <c r="K50" s="249"/>
      <c r="L50" s="256"/>
      <c r="M50" s="255"/>
      <c r="N50" s="247">
        <f t="shared" si="19"/>
        <v>0</v>
      </c>
      <c r="O50" s="125"/>
      <c r="P50" s="173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spans="1:26" ht="14.25" hidden="1" customHeight="1" outlineLevel="1">
      <c r="A51" s="168"/>
      <c r="B51" s="168" t="s">
        <v>429</v>
      </c>
      <c r="C51" s="168" t="s">
        <v>430</v>
      </c>
      <c r="D51" s="168" t="str">
        <f t="shared" si="18"/>
        <v/>
      </c>
      <c r="E51" s="253" t="s">
        <v>432</v>
      </c>
      <c r="F51" s="246"/>
      <c r="G51" s="242"/>
      <c r="H51" s="250"/>
      <c r="I51" s="243"/>
      <c r="J51" s="249"/>
      <c r="K51" s="243"/>
      <c r="L51" s="250"/>
      <c r="M51" s="255"/>
      <c r="N51" s="247">
        <f t="shared" si="19"/>
        <v>0</v>
      </c>
      <c r="O51" s="125"/>
      <c r="P51" s="173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spans="1:26" ht="14.25" hidden="1" customHeight="1" outlineLevel="1">
      <c r="A52" s="168"/>
      <c r="B52" s="168" t="s">
        <v>433</v>
      </c>
      <c r="C52" s="168" t="s">
        <v>434</v>
      </c>
      <c r="D52" s="168" t="str">
        <f t="shared" si="18"/>
        <v/>
      </c>
      <c r="E52" s="253" t="s">
        <v>435</v>
      </c>
      <c r="F52" s="246"/>
      <c r="G52" s="242"/>
      <c r="H52" s="243"/>
      <c r="I52" s="243"/>
      <c r="J52" s="243"/>
      <c r="K52" s="243"/>
      <c r="L52" s="243"/>
      <c r="M52" s="244"/>
      <c r="N52" s="247">
        <f t="shared" si="19"/>
        <v>0</v>
      </c>
      <c r="O52" s="125"/>
      <c r="P52" s="173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14.25" hidden="1" customHeight="1" outlineLevel="1">
      <c r="A53" s="168"/>
      <c r="B53" s="168" t="s">
        <v>439</v>
      </c>
      <c r="C53" s="168" t="s">
        <v>437</v>
      </c>
      <c r="D53" s="168" t="str">
        <f t="shared" si="18"/>
        <v/>
      </c>
      <c r="E53" s="253" t="s">
        <v>440</v>
      </c>
      <c r="F53" s="246"/>
      <c r="G53" s="248"/>
      <c r="H53" s="249"/>
      <c r="I53" s="243"/>
      <c r="J53" s="249"/>
      <c r="K53" s="243"/>
      <c r="L53" s="249"/>
      <c r="M53" s="244"/>
      <c r="N53" s="247">
        <f t="shared" si="19"/>
        <v>0</v>
      </c>
      <c r="O53" s="125"/>
      <c r="P53" s="173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spans="1:26" ht="14.25" hidden="1" customHeight="1" outlineLevel="1">
      <c r="A54" s="168"/>
      <c r="B54" s="168" t="s">
        <v>441</v>
      </c>
      <c r="C54" s="168" t="s">
        <v>442</v>
      </c>
      <c r="D54" s="168" t="str">
        <f t="shared" si="18"/>
        <v/>
      </c>
      <c r="E54" s="253" t="s">
        <v>443</v>
      </c>
      <c r="F54" s="246"/>
      <c r="G54" s="242"/>
      <c r="H54" s="243"/>
      <c r="I54" s="243"/>
      <c r="J54" s="243"/>
      <c r="K54" s="243"/>
      <c r="L54" s="243"/>
      <c r="M54" s="244"/>
      <c r="N54" s="247">
        <f t="shared" si="19"/>
        <v>0</v>
      </c>
      <c r="O54" s="125"/>
      <c r="P54" s="173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spans="1:26" ht="14.25" hidden="1" customHeight="1" outlineLevel="1">
      <c r="A55" s="168"/>
      <c r="B55" s="168" t="s">
        <v>444</v>
      </c>
      <c r="C55" s="168" t="s">
        <v>442</v>
      </c>
      <c r="D55" s="168" t="str">
        <f t="shared" si="18"/>
        <v/>
      </c>
      <c r="E55" s="253" t="s">
        <v>445</v>
      </c>
      <c r="F55" s="246"/>
      <c r="G55" s="242"/>
      <c r="H55" s="243"/>
      <c r="I55" s="243"/>
      <c r="J55" s="243"/>
      <c r="K55" s="243"/>
      <c r="L55" s="243"/>
      <c r="M55" s="244"/>
      <c r="N55" s="247">
        <f t="shared" si="19"/>
        <v>0</v>
      </c>
      <c r="O55" s="125"/>
      <c r="P55" s="173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spans="1:26" ht="14.25" hidden="1" customHeight="1" outlineLevel="1">
      <c r="A56" s="168"/>
      <c r="B56" s="168" t="s">
        <v>446</v>
      </c>
      <c r="C56" s="168" t="s">
        <v>447</v>
      </c>
      <c r="D56" s="168" t="str">
        <f t="shared" si="18"/>
        <v/>
      </c>
      <c r="E56" s="253" t="s">
        <v>448</v>
      </c>
      <c r="F56" s="246"/>
      <c r="G56" s="242"/>
      <c r="H56" s="243"/>
      <c r="I56" s="243"/>
      <c r="J56" s="243"/>
      <c r="K56" s="243"/>
      <c r="L56" s="243"/>
      <c r="M56" s="244"/>
      <c r="N56" s="247">
        <f t="shared" si="19"/>
        <v>0</v>
      </c>
      <c r="O56" s="125"/>
      <c r="P56" s="173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spans="1:26" ht="14.25" hidden="1" customHeight="1" outlineLevel="1">
      <c r="A57" s="168"/>
      <c r="B57" s="168" t="s">
        <v>451</v>
      </c>
      <c r="C57" s="168" t="str">
        <f>MID(E57,4,LEN(E57))</f>
        <v xml:space="preserve"> Depok</v>
      </c>
      <c r="D57" s="168" t="str">
        <f t="shared" si="18"/>
        <v/>
      </c>
      <c r="E57" s="253" t="s">
        <v>452</v>
      </c>
      <c r="F57" s="246"/>
      <c r="G57" s="242"/>
      <c r="H57" s="243"/>
      <c r="I57" s="243"/>
      <c r="J57" s="243"/>
      <c r="K57" s="243"/>
      <c r="L57" s="243"/>
      <c r="M57" s="244"/>
      <c r="N57" s="247">
        <f t="shared" si="19"/>
        <v>0</v>
      </c>
      <c r="O57" s="125"/>
      <c r="P57" s="173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spans="1:26" ht="15.75" customHeight="1" collapsed="1">
      <c r="A58" s="162" t="s">
        <v>453</v>
      </c>
      <c r="B58" s="162"/>
      <c r="C58" s="162"/>
      <c r="D58" s="162">
        <v>1</v>
      </c>
      <c r="E58" s="162" t="s">
        <v>454</v>
      </c>
      <c r="F58" s="251">
        <f t="shared" ref="F58:N58" si="20">SUM(F49:F57)</f>
        <v>0</v>
      </c>
      <c r="G58" s="251">
        <f t="shared" si="20"/>
        <v>0</v>
      </c>
      <c r="H58" s="251">
        <f t="shared" si="20"/>
        <v>0</v>
      </c>
      <c r="I58" s="251">
        <f t="shared" si="20"/>
        <v>0</v>
      </c>
      <c r="J58" s="251">
        <f t="shared" si="20"/>
        <v>0</v>
      </c>
      <c r="K58" s="251">
        <f t="shared" si="20"/>
        <v>0</v>
      </c>
      <c r="L58" s="251">
        <f t="shared" si="20"/>
        <v>0</v>
      </c>
      <c r="M58" s="251">
        <f t="shared" si="20"/>
        <v>0</v>
      </c>
      <c r="N58" s="251">
        <f t="shared" si="20"/>
        <v>0</v>
      </c>
      <c r="O58" s="125"/>
      <c r="P58" s="173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spans="1:26" ht="14.25" hidden="1" customHeight="1" outlineLevel="1">
      <c r="A59" s="168"/>
      <c r="B59" s="168" t="s">
        <v>455</v>
      </c>
      <c r="C59" s="168" t="str">
        <f>MID(E59,4,LEN(E59))</f>
        <v xml:space="preserve"> Tangerang</v>
      </c>
      <c r="D59" s="168" t="str">
        <f t="shared" ref="D59:D67" si="21">IFERROR(VLOOKUP($E$4&amp;C59,#REF!,2,FALSE),"")</f>
        <v/>
      </c>
      <c r="E59" s="252" t="s">
        <v>457</v>
      </c>
      <c r="F59" s="246"/>
      <c r="G59" s="242"/>
      <c r="H59" s="250"/>
      <c r="I59" s="243"/>
      <c r="J59" s="250"/>
      <c r="K59" s="243"/>
      <c r="L59" s="256"/>
      <c r="M59" s="255"/>
      <c r="N59" s="247">
        <f t="shared" ref="N59:N67" si="22">SUM(F59:M59)</f>
        <v>0</v>
      </c>
      <c r="O59" s="125"/>
      <c r="P59" s="173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spans="1:26" ht="14.25" hidden="1" customHeight="1" outlineLevel="1">
      <c r="A60" s="168"/>
      <c r="B60" s="168" t="s">
        <v>458</v>
      </c>
      <c r="C60" s="168" t="s">
        <v>456</v>
      </c>
      <c r="D60" s="168" t="str">
        <f t="shared" si="21"/>
        <v/>
      </c>
      <c r="E60" s="252" t="s">
        <v>459</v>
      </c>
      <c r="F60" s="246"/>
      <c r="G60" s="242"/>
      <c r="H60" s="250"/>
      <c r="I60" s="243"/>
      <c r="J60" s="250"/>
      <c r="K60" s="243"/>
      <c r="L60" s="256"/>
      <c r="M60" s="255"/>
      <c r="N60" s="247">
        <f t="shared" si="22"/>
        <v>0</v>
      </c>
      <c r="O60" s="125"/>
      <c r="P60" s="173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spans="1:26" ht="14.25" hidden="1" customHeight="1" outlineLevel="1">
      <c r="A61" s="168"/>
      <c r="B61" s="168" t="s">
        <v>460</v>
      </c>
      <c r="C61" s="168" t="str">
        <f>MID(E61,4,LEN(E61))</f>
        <v xml:space="preserve"> Bogor</v>
      </c>
      <c r="D61" s="168" t="str">
        <f t="shared" si="21"/>
        <v/>
      </c>
      <c r="E61" s="252" t="s">
        <v>462</v>
      </c>
      <c r="F61" s="246"/>
      <c r="G61" s="257"/>
      <c r="H61" s="243"/>
      <c r="I61" s="250"/>
      <c r="J61" s="256"/>
      <c r="K61" s="249"/>
      <c r="L61" s="256"/>
      <c r="M61" s="255"/>
      <c r="N61" s="247">
        <f t="shared" si="22"/>
        <v>0</v>
      </c>
      <c r="O61" s="125"/>
      <c r="P61" s="173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4.25" hidden="1" customHeight="1" outlineLevel="1">
      <c r="A62" s="168"/>
      <c r="B62" s="168" t="s">
        <v>463</v>
      </c>
      <c r="C62" s="168" t="s">
        <v>461</v>
      </c>
      <c r="D62" s="168" t="str">
        <f t="shared" si="21"/>
        <v/>
      </c>
      <c r="E62" s="252" t="s">
        <v>464</v>
      </c>
      <c r="F62" s="246"/>
      <c r="G62" s="242"/>
      <c r="H62" s="243"/>
      <c r="I62" s="243"/>
      <c r="J62" s="243"/>
      <c r="K62" s="243"/>
      <c r="L62" s="243"/>
      <c r="M62" s="244"/>
      <c r="N62" s="247">
        <f t="shared" si="22"/>
        <v>0</v>
      </c>
      <c r="O62" s="125"/>
      <c r="P62" s="173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spans="1:26" ht="14.25" hidden="1" customHeight="1" outlineLevel="1">
      <c r="A63" s="168"/>
      <c r="B63" s="168" t="s">
        <v>465</v>
      </c>
      <c r="C63" s="168" t="str">
        <f t="shared" ref="C63:C67" si="23">MID(E63,4,LEN(E63))</f>
        <v xml:space="preserve"> Karawang</v>
      </c>
      <c r="D63" s="168" t="str">
        <f t="shared" si="21"/>
        <v/>
      </c>
      <c r="E63" s="252" t="s">
        <v>468</v>
      </c>
      <c r="F63" s="246"/>
      <c r="G63" s="242"/>
      <c r="H63" s="243"/>
      <c r="I63" s="243"/>
      <c r="J63" s="243"/>
      <c r="K63" s="243"/>
      <c r="L63" s="243"/>
      <c r="M63" s="244"/>
      <c r="N63" s="247">
        <f t="shared" si="22"/>
        <v>0</v>
      </c>
      <c r="O63" s="125"/>
      <c r="P63" s="173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spans="1:26" ht="14.25" hidden="1" customHeight="1" outlineLevel="1">
      <c r="A64" s="168"/>
      <c r="B64" s="168" t="s">
        <v>469</v>
      </c>
      <c r="C64" s="168" t="str">
        <f t="shared" si="23"/>
        <v xml:space="preserve"> Serang</v>
      </c>
      <c r="D64" s="168" t="str">
        <f t="shared" si="21"/>
        <v/>
      </c>
      <c r="E64" s="252" t="s">
        <v>471</v>
      </c>
      <c r="F64" s="246"/>
      <c r="G64" s="258"/>
      <c r="H64" s="256"/>
      <c r="I64" s="259"/>
      <c r="J64" s="256"/>
      <c r="K64" s="243"/>
      <c r="L64" s="250"/>
      <c r="M64" s="244"/>
      <c r="N64" s="247">
        <f t="shared" si="22"/>
        <v>0</v>
      </c>
      <c r="O64" s="125"/>
      <c r="P64" s="173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4.25" hidden="1" customHeight="1" outlineLevel="1">
      <c r="A65" s="168"/>
      <c r="B65" s="168" t="s">
        <v>478</v>
      </c>
      <c r="C65" s="168" t="str">
        <f t="shared" si="23"/>
        <v xml:space="preserve"> Labuan (rangkas)</v>
      </c>
      <c r="D65" s="168" t="str">
        <f t="shared" si="21"/>
        <v/>
      </c>
      <c r="E65" s="252" t="s">
        <v>2789</v>
      </c>
      <c r="F65" s="246"/>
      <c r="G65" s="242"/>
      <c r="H65" s="259"/>
      <c r="I65" s="243"/>
      <c r="J65" s="243"/>
      <c r="K65" s="259"/>
      <c r="L65" s="243"/>
      <c r="M65" s="244"/>
      <c r="N65" s="247">
        <f t="shared" si="22"/>
        <v>0</v>
      </c>
      <c r="O65" s="125"/>
      <c r="P65" s="173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spans="1:26" ht="14.25" hidden="1" customHeight="1" outlineLevel="1">
      <c r="A66" s="168"/>
      <c r="B66" s="168" t="s">
        <v>472</v>
      </c>
      <c r="C66" s="168" t="str">
        <f t="shared" si="23"/>
        <v xml:space="preserve"> Pondok Pinang</v>
      </c>
      <c r="D66" s="168" t="str">
        <f t="shared" si="21"/>
        <v/>
      </c>
      <c r="E66" s="253" t="s">
        <v>474</v>
      </c>
      <c r="F66" s="246"/>
      <c r="G66" s="242"/>
      <c r="H66" s="243"/>
      <c r="I66" s="243"/>
      <c r="J66" s="243"/>
      <c r="K66" s="243"/>
      <c r="L66" s="243"/>
      <c r="M66" s="244"/>
      <c r="N66" s="247">
        <f t="shared" si="22"/>
        <v>0</v>
      </c>
      <c r="O66" s="125"/>
      <c r="P66" s="173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spans="1:26" ht="14.25" hidden="1" customHeight="1" outlineLevel="1">
      <c r="A67" s="168"/>
      <c r="B67" s="168" t="s">
        <v>475</v>
      </c>
      <c r="C67" s="168" t="str">
        <f t="shared" si="23"/>
        <v xml:space="preserve"> Bekasi</v>
      </c>
      <c r="D67" s="168" t="str">
        <f t="shared" si="21"/>
        <v/>
      </c>
      <c r="E67" s="253" t="s">
        <v>477</v>
      </c>
      <c r="F67" s="246"/>
      <c r="G67" s="242"/>
      <c r="H67" s="243"/>
      <c r="I67" s="243"/>
      <c r="J67" s="243"/>
      <c r="K67" s="243"/>
      <c r="L67" s="243"/>
      <c r="M67" s="244"/>
      <c r="N67" s="247">
        <f t="shared" si="22"/>
        <v>0</v>
      </c>
      <c r="O67" s="125"/>
      <c r="P67" s="173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spans="1:26" ht="15.75" customHeight="1" collapsed="1">
      <c r="A68" s="162" t="s">
        <v>453</v>
      </c>
      <c r="B68" s="162"/>
      <c r="C68" s="162"/>
      <c r="D68" s="162">
        <v>1</v>
      </c>
      <c r="E68" s="162" t="s">
        <v>481</v>
      </c>
      <c r="F68" s="251">
        <f t="shared" ref="F68:N68" si="24">SUM(F59:F67)</f>
        <v>0</v>
      </c>
      <c r="G68" s="251">
        <f t="shared" si="24"/>
        <v>0</v>
      </c>
      <c r="H68" s="251">
        <f t="shared" si="24"/>
        <v>0</v>
      </c>
      <c r="I68" s="251">
        <f t="shared" si="24"/>
        <v>0</v>
      </c>
      <c r="J68" s="251">
        <f t="shared" si="24"/>
        <v>0</v>
      </c>
      <c r="K68" s="251">
        <f t="shared" si="24"/>
        <v>0</v>
      </c>
      <c r="L68" s="251">
        <f t="shared" si="24"/>
        <v>0</v>
      </c>
      <c r="M68" s="251">
        <f t="shared" si="24"/>
        <v>0</v>
      </c>
      <c r="N68" s="251">
        <f t="shared" si="24"/>
        <v>0</v>
      </c>
      <c r="O68" s="125"/>
      <c r="P68" s="173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spans="1:26" ht="14.25" hidden="1" customHeight="1" outlineLevel="1">
      <c r="A69" s="168"/>
      <c r="B69" s="168" t="s">
        <v>486</v>
      </c>
      <c r="C69" s="168" t="str">
        <f>MID(E69,4,LEN(E69))</f>
        <v xml:space="preserve"> Bandung</v>
      </c>
      <c r="D69" s="168" t="str">
        <f t="shared" ref="D69:D79" si="25">IFERROR(VLOOKUP($E$4&amp;C69,#REF!,2,FALSE),"")</f>
        <v/>
      </c>
      <c r="E69" s="252" t="s">
        <v>487</v>
      </c>
      <c r="F69" s="246"/>
      <c r="G69" s="257"/>
      <c r="H69" s="259"/>
      <c r="I69" s="250"/>
      <c r="J69" s="250"/>
      <c r="K69" s="259"/>
      <c r="L69" s="256"/>
      <c r="M69" s="260"/>
      <c r="N69" s="247">
        <f t="shared" ref="N69:N79" si="26">SUM(F69:M69)</f>
        <v>0</v>
      </c>
      <c r="O69" s="125"/>
      <c r="P69" s="173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spans="1:26" ht="14.25" hidden="1" customHeight="1" outlineLevel="1">
      <c r="A70" s="168"/>
      <c r="B70" s="168" t="s">
        <v>488</v>
      </c>
      <c r="C70" s="168" t="s">
        <v>489</v>
      </c>
      <c r="D70" s="168" t="str">
        <f t="shared" si="25"/>
        <v/>
      </c>
      <c r="E70" s="253" t="s">
        <v>490</v>
      </c>
      <c r="F70" s="246"/>
      <c r="G70" s="242"/>
      <c r="H70" s="243"/>
      <c r="I70" s="243"/>
      <c r="J70" s="243"/>
      <c r="K70" s="243"/>
      <c r="L70" s="243"/>
      <c r="M70" s="244"/>
      <c r="N70" s="247">
        <f t="shared" si="26"/>
        <v>0</v>
      </c>
      <c r="O70" s="125"/>
      <c r="P70" s="173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spans="1:26" ht="14.25" hidden="1" customHeight="1" outlineLevel="1">
      <c r="A71" s="168"/>
      <c r="B71" s="168" t="s">
        <v>491</v>
      </c>
      <c r="C71" s="168" t="str">
        <f>MID(E71,4,LEN(E71))</f>
        <v xml:space="preserve"> Sumedang</v>
      </c>
      <c r="D71" s="168" t="str">
        <f t="shared" si="25"/>
        <v/>
      </c>
      <c r="E71" s="252" t="s">
        <v>492</v>
      </c>
      <c r="F71" s="246"/>
      <c r="G71" s="242"/>
      <c r="H71" s="243"/>
      <c r="I71" s="259"/>
      <c r="J71" s="243"/>
      <c r="K71" s="243"/>
      <c r="L71" s="243"/>
      <c r="M71" s="260"/>
      <c r="N71" s="247">
        <f t="shared" si="26"/>
        <v>0</v>
      </c>
      <c r="O71" s="125"/>
      <c r="P71" s="173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spans="1:26" ht="14.25" hidden="1" customHeight="1" outlineLevel="1">
      <c r="A72" s="168"/>
      <c r="B72" s="168" t="s">
        <v>493</v>
      </c>
      <c r="C72" s="168" t="s">
        <v>494</v>
      </c>
      <c r="D72" s="168" t="str">
        <f t="shared" si="25"/>
        <v/>
      </c>
      <c r="E72" s="252" t="s">
        <v>495</v>
      </c>
      <c r="F72" s="246"/>
      <c r="G72" s="242"/>
      <c r="H72" s="259"/>
      <c r="I72" s="243"/>
      <c r="J72" s="243"/>
      <c r="K72" s="243"/>
      <c r="L72" s="259"/>
      <c r="M72" s="244"/>
      <c r="N72" s="247">
        <f t="shared" si="26"/>
        <v>0</v>
      </c>
      <c r="O72" s="125"/>
      <c r="P72" s="173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spans="1:26" ht="14.25" hidden="1" customHeight="1" outlineLevel="1">
      <c r="A73" s="168"/>
      <c r="B73" s="168" t="s">
        <v>496</v>
      </c>
      <c r="C73" s="168" t="str">
        <f t="shared" ref="C73:C79" si="27">MID(E73,4,LEN(E73))</f>
        <v xml:space="preserve"> Padalarang</v>
      </c>
      <c r="D73" s="168" t="str">
        <f t="shared" si="25"/>
        <v/>
      </c>
      <c r="E73" s="253" t="s">
        <v>497</v>
      </c>
      <c r="F73" s="246"/>
      <c r="G73" s="242"/>
      <c r="H73" s="243"/>
      <c r="I73" s="243"/>
      <c r="J73" s="243"/>
      <c r="K73" s="243"/>
      <c r="L73" s="243"/>
      <c r="M73" s="244"/>
      <c r="N73" s="247">
        <f t="shared" si="26"/>
        <v>0</v>
      </c>
      <c r="O73" s="125"/>
      <c r="P73" s="173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spans="1:26" ht="14.25" hidden="1" customHeight="1" outlineLevel="1">
      <c r="A74" s="168"/>
      <c r="B74" s="168" t="s">
        <v>498</v>
      </c>
      <c r="C74" s="168" t="str">
        <f t="shared" si="27"/>
        <v xml:space="preserve"> Sukabumi</v>
      </c>
      <c r="D74" s="168" t="str">
        <f t="shared" si="25"/>
        <v/>
      </c>
      <c r="E74" s="252" t="s">
        <v>500</v>
      </c>
      <c r="F74" s="246"/>
      <c r="G74" s="242"/>
      <c r="H74" s="250"/>
      <c r="I74" s="243"/>
      <c r="J74" s="261"/>
      <c r="K74" s="262"/>
      <c r="L74" s="263"/>
      <c r="M74" s="264"/>
      <c r="N74" s="247">
        <f t="shared" si="26"/>
        <v>0</v>
      </c>
      <c r="O74" s="125"/>
      <c r="P74" s="173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spans="1:26" ht="14.25" hidden="1" customHeight="1" outlineLevel="1">
      <c r="A75" s="168"/>
      <c r="B75" s="168" t="s">
        <v>501</v>
      </c>
      <c r="C75" s="168" t="str">
        <f t="shared" si="27"/>
        <v xml:space="preserve"> Cianjur</v>
      </c>
      <c r="D75" s="168" t="str">
        <f t="shared" si="25"/>
        <v/>
      </c>
      <c r="E75" s="252" t="s">
        <v>502</v>
      </c>
      <c r="F75" s="246"/>
      <c r="G75" s="242"/>
      <c r="H75" s="250"/>
      <c r="I75" s="243"/>
      <c r="J75" s="261"/>
      <c r="K75" s="243"/>
      <c r="L75" s="263"/>
      <c r="M75" s="264"/>
      <c r="N75" s="247">
        <f t="shared" si="26"/>
        <v>0</v>
      </c>
      <c r="O75" s="125"/>
      <c r="P75" s="173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spans="1:26" ht="14.25" hidden="1" customHeight="1" outlineLevel="1">
      <c r="A76" s="168"/>
      <c r="B76" s="168" t="s">
        <v>503</v>
      </c>
      <c r="C76" s="168" t="str">
        <f t="shared" si="27"/>
        <v xml:space="preserve"> Tasikmalaya</v>
      </c>
      <c r="D76" s="168" t="str">
        <f t="shared" si="25"/>
        <v/>
      </c>
      <c r="E76" s="252" t="s">
        <v>504</v>
      </c>
      <c r="F76" s="246"/>
      <c r="G76" s="242"/>
      <c r="H76" s="250"/>
      <c r="I76" s="243"/>
      <c r="J76" s="243"/>
      <c r="K76" s="261"/>
      <c r="L76" s="263"/>
      <c r="M76" s="244"/>
      <c r="N76" s="247">
        <f t="shared" si="26"/>
        <v>0</v>
      </c>
      <c r="O76" s="125"/>
      <c r="P76" s="173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spans="1:26" ht="14.25" hidden="1" customHeight="1" outlineLevel="1">
      <c r="A77" s="168"/>
      <c r="B77" s="168" t="s">
        <v>505</v>
      </c>
      <c r="C77" s="168" t="str">
        <f t="shared" si="27"/>
        <v xml:space="preserve"> Garut</v>
      </c>
      <c r="D77" s="168" t="str">
        <f t="shared" si="25"/>
        <v/>
      </c>
      <c r="E77" s="252" t="s">
        <v>506</v>
      </c>
      <c r="F77" s="246"/>
      <c r="G77" s="242"/>
      <c r="H77" s="250"/>
      <c r="I77" s="243"/>
      <c r="J77" s="243"/>
      <c r="K77" s="261"/>
      <c r="L77" s="263"/>
      <c r="M77" s="244"/>
      <c r="N77" s="247">
        <f t="shared" si="26"/>
        <v>0</v>
      </c>
      <c r="O77" s="125"/>
      <c r="P77" s="173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spans="1:26" ht="14.25" hidden="1" customHeight="1" outlineLevel="1">
      <c r="A78" s="168"/>
      <c r="B78" s="168" t="s">
        <v>507</v>
      </c>
      <c r="C78" s="168" t="str">
        <f t="shared" si="27"/>
        <v xml:space="preserve"> Cirebon</v>
      </c>
      <c r="D78" s="168" t="str">
        <f t="shared" si="25"/>
        <v/>
      </c>
      <c r="E78" s="252" t="s">
        <v>508</v>
      </c>
      <c r="F78" s="246"/>
      <c r="G78" s="242"/>
      <c r="H78" s="250"/>
      <c r="I78" s="243"/>
      <c r="J78" s="263"/>
      <c r="K78" s="261"/>
      <c r="L78" s="263"/>
      <c r="M78" s="244"/>
      <c r="N78" s="247">
        <f t="shared" si="26"/>
        <v>0</v>
      </c>
      <c r="O78" s="125"/>
      <c r="P78" s="173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spans="1:26" ht="14.25" hidden="1" customHeight="1" outlineLevel="1">
      <c r="A79" s="168"/>
      <c r="B79" s="168" t="s">
        <v>509</v>
      </c>
      <c r="C79" s="168" t="str">
        <f t="shared" si="27"/>
        <v xml:space="preserve"> Indramayu</v>
      </c>
      <c r="D79" s="168" t="str">
        <f t="shared" si="25"/>
        <v/>
      </c>
      <c r="E79" s="252" t="s">
        <v>510</v>
      </c>
      <c r="F79" s="246"/>
      <c r="G79" s="242"/>
      <c r="H79" s="261"/>
      <c r="I79" s="243"/>
      <c r="J79" s="261"/>
      <c r="K79" s="243"/>
      <c r="L79" s="243"/>
      <c r="M79" s="264"/>
      <c r="N79" s="247">
        <f t="shared" si="26"/>
        <v>0</v>
      </c>
      <c r="O79" s="125"/>
      <c r="P79" s="173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spans="1:26" ht="15.75" customHeight="1" collapsed="1">
      <c r="A80" s="162" t="s">
        <v>453</v>
      </c>
      <c r="B80" s="162"/>
      <c r="C80" s="162"/>
      <c r="D80" s="162">
        <v>1</v>
      </c>
      <c r="E80" s="162" t="s">
        <v>511</v>
      </c>
      <c r="F80" s="251">
        <f t="shared" ref="F80:N80" si="28">SUM(F69:F79)</f>
        <v>0</v>
      </c>
      <c r="G80" s="251">
        <f t="shared" si="28"/>
        <v>0</v>
      </c>
      <c r="H80" s="251">
        <f t="shared" si="28"/>
        <v>0</v>
      </c>
      <c r="I80" s="251">
        <f t="shared" si="28"/>
        <v>0</v>
      </c>
      <c r="J80" s="251">
        <f t="shared" si="28"/>
        <v>0</v>
      </c>
      <c r="K80" s="251">
        <f t="shared" si="28"/>
        <v>0</v>
      </c>
      <c r="L80" s="251">
        <f t="shared" si="28"/>
        <v>0</v>
      </c>
      <c r="M80" s="251">
        <f t="shared" si="28"/>
        <v>0</v>
      </c>
      <c r="N80" s="251">
        <f t="shared" si="28"/>
        <v>0</v>
      </c>
      <c r="O80" s="125"/>
      <c r="P80" s="173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spans="1:26" ht="14.25" customHeight="1" outlineLevel="1">
      <c r="A81" s="168"/>
      <c r="B81" s="168" t="s">
        <v>512</v>
      </c>
      <c r="C81" s="168" t="str">
        <f t="shared" ref="C81:C87" si="29">MID(E81,4,LEN(E81))</f>
        <v xml:space="preserve"> Purwokerto</v>
      </c>
      <c r="D81" s="168" t="str">
        <f t="shared" ref="D81:D87" si="30">IFERROR(VLOOKUP($E$4&amp;C81,#REF!,2,FALSE),"")</f>
        <v/>
      </c>
      <c r="E81" s="252" t="s">
        <v>513</v>
      </c>
      <c r="F81" s="246"/>
      <c r="G81" s="242"/>
      <c r="H81" s="243"/>
      <c r="I81" s="250"/>
      <c r="J81" s="243"/>
      <c r="K81" s="243"/>
      <c r="L81" s="256"/>
      <c r="M81" s="255"/>
      <c r="N81" s="247">
        <f t="shared" ref="N81:N87" si="31">SUM(F81:M81)</f>
        <v>0</v>
      </c>
      <c r="O81" s="125"/>
      <c r="P81" s="173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spans="1:26" ht="14.25" customHeight="1" outlineLevel="1">
      <c r="A82" s="168"/>
      <c r="B82" s="168" t="s">
        <v>514</v>
      </c>
      <c r="C82" s="168" t="str">
        <f t="shared" si="29"/>
        <v xml:space="preserve"> Cilacap</v>
      </c>
      <c r="D82" s="168" t="str">
        <f t="shared" si="30"/>
        <v/>
      </c>
      <c r="E82" s="252" t="s">
        <v>515</v>
      </c>
      <c r="F82" s="246"/>
      <c r="G82" s="242"/>
      <c r="H82" s="243"/>
      <c r="I82" s="249"/>
      <c r="J82" s="256"/>
      <c r="K82" s="249"/>
      <c r="L82" s="250"/>
      <c r="M82" s="244"/>
      <c r="N82" s="247">
        <f t="shared" si="31"/>
        <v>0</v>
      </c>
      <c r="O82" s="125"/>
      <c r="P82" s="173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spans="1:26" ht="14.25" customHeight="1" outlineLevel="1">
      <c r="A83" s="168"/>
      <c r="B83" s="168" t="s">
        <v>516</v>
      </c>
      <c r="C83" s="168" t="str">
        <f t="shared" si="29"/>
        <v xml:space="preserve"> Yogyakarta</v>
      </c>
      <c r="D83" s="168" t="str">
        <f t="shared" si="30"/>
        <v/>
      </c>
      <c r="E83" s="252" t="s">
        <v>518</v>
      </c>
      <c r="F83" s="246"/>
      <c r="G83" s="242"/>
      <c r="H83" s="249"/>
      <c r="I83" s="256"/>
      <c r="J83" s="249"/>
      <c r="K83" s="243"/>
      <c r="L83" s="256"/>
      <c r="M83" s="255"/>
      <c r="N83" s="247">
        <f t="shared" si="31"/>
        <v>0</v>
      </c>
      <c r="O83" s="125"/>
      <c r="P83" s="173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spans="1:26" ht="14.25" customHeight="1" outlineLevel="1">
      <c r="A84" s="168"/>
      <c r="B84" s="168" t="s">
        <v>519</v>
      </c>
      <c r="C84" s="168" t="str">
        <f t="shared" si="29"/>
        <v xml:space="preserve"> Magelang</v>
      </c>
      <c r="D84" s="168" t="str">
        <f t="shared" si="30"/>
        <v/>
      </c>
      <c r="E84" s="252" t="s">
        <v>520</v>
      </c>
      <c r="F84" s="246"/>
      <c r="G84" s="242"/>
      <c r="H84" s="249"/>
      <c r="I84" s="256"/>
      <c r="J84" s="249"/>
      <c r="K84" s="243"/>
      <c r="L84" s="243"/>
      <c r="M84" s="265"/>
      <c r="N84" s="247">
        <f t="shared" si="31"/>
        <v>0</v>
      </c>
      <c r="O84" s="125"/>
      <c r="P84" s="173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spans="1:26" ht="14.25" customHeight="1" outlineLevel="1">
      <c r="A85" s="168"/>
      <c r="B85" s="168" t="s">
        <v>521</v>
      </c>
      <c r="C85" s="168" t="str">
        <f t="shared" si="29"/>
        <v xml:space="preserve"> Surakarta</v>
      </c>
      <c r="D85" s="168" t="str">
        <f t="shared" si="30"/>
        <v/>
      </c>
      <c r="E85" s="252" t="s">
        <v>522</v>
      </c>
      <c r="F85" s="246"/>
      <c r="G85" s="242"/>
      <c r="H85" s="249"/>
      <c r="I85" s="256"/>
      <c r="J85" s="249"/>
      <c r="K85" s="256"/>
      <c r="L85" s="243"/>
      <c r="M85" s="265"/>
      <c r="N85" s="247">
        <f t="shared" si="31"/>
        <v>0</v>
      </c>
      <c r="O85" s="125"/>
      <c r="P85" s="173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spans="1:26" ht="14.25" customHeight="1" outlineLevel="1">
      <c r="A86" s="168"/>
      <c r="B86" s="168" t="s">
        <v>523</v>
      </c>
      <c r="C86" s="168" t="str">
        <f t="shared" si="29"/>
        <v xml:space="preserve"> Salatiga</v>
      </c>
      <c r="D86" s="168" t="str">
        <f t="shared" si="30"/>
        <v/>
      </c>
      <c r="E86" s="253" t="s">
        <v>524</v>
      </c>
      <c r="F86" s="246"/>
      <c r="G86" s="242"/>
      <c r="H86" s="249"/>
      <c r="I86" s="256"/>
      <c r="J86" s="249"/>
      <c r="K86" s="243"/>
      <c r="L86" s="243"/>
      <c r="M86" s="265"/>
      <c r="N86" s="247">
        <f t="shared" si="31"/>
        <v>0</v>
      </c>
      <c r="O86" s="125"/>
      <c r="P86" s="173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spans="1:26" ht="14.25" customHeight="1" outlineLevel="1">
      <c r="A87" s="168"/>
      <c r="B87" s="168" t="s">
        <v>525</v>
      </c>
      <c r="C87" s="168" t="str">
        <f t="shared" si="29"/>
        <v xml:space="preserve"> Madiun</v>
      </c>
      <c r="D87" s="168" t="str">
        <f t="shared" si="30"/>
        <v/>
      </c>
      <c r="E87" s="252" t="s">
        <v>526</v>
      </c>
      <c r="F87" s="246"/>
      <c r="G87" s="242"/>
      <c r="H87" s="243"/>
      <c r="I87" s="256"/>
      <c r="J87" s="243"/>
      <c r="K87" s="256"/>
      <c r="L87" s="243"/>
      <c r="M87" s="266"/>
      <c r="N87" s="247">
        <f t="shared" si="31"/>
        <v>0</v>
      </c>
      <c r="O87" s="125"/>
      <c r="P87" s="173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6" ht="15.75" customHeight="1">
      <c r="A88" s="162" t="s">
        <v>453</v>
      </c>
      <c r="B88" s="162"/>
      <c r="C88" s="162"/>
      <c r="D88" s="162">
        <v>1</v>
      </c>
      <c r="E88" s="162" t="s">
        <v>527</v>
      </c>
      <c r="F88" s="251">
        <f t="shared" ref="F88:N88" si="32">SUM(F81:F87)</f>
        <v>0</v>
      </c>
      <c r="G88" s="251">
        <f t="shared" si="32"/>
        <v>0</v>
      </c>
      <c r="H88" s="251">
        <f t="shared" si="32"/>
        <v>0</v>
      </c>
      <c r="I88" s="251">
        <f t="shared" si="32"/>
        <v>0</v>
      </c>
      <c r="J88" s="251">
        <f t="shared" si="32"/>
        <v>0</v>
      </c>
      <c r="K88" s="251">
        <f t="shared" si="32"/>
        <v>0</v>
      </c>
      <c r="L88" s="251">
        <f t="shared" si="32"/>
        <v>0</v>
      </c>
      <c r="M88" s="251">
        <f t="shared" si="32"/>
        <v>0</v>
      </c>
      <c r="N88" s="251">
        <f t="shared" si="32"/>
        <v>0</v>
      </c>
      <c r="O88" s="125"/>
      <c r="P88" s="173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spans="1:26" ht="14.25" customHeight="1" outlineLevel="1">
      <c r="A89" s="168"/>
      <c r="B89" s="168" t="s">
        <v>528</v>
      </c>
      <c r="C89" s="168" t="str">
        <f t="shared" ref="C89:C94" si="33">MID(E89,4,LEN(E89))</f>
        <v xml:space="preserve"> Semarang</v>
      </c>
      <c r="D89" s="168" t="str">
        <f t="shared" ref="D89:D99" si="34">IFERROR(VLOOKUP($E$4&amp;C89,#REF!,2,FALSE),"")</f>
        <v/>
      </c>
      <c r="E89" s="252" t="s">
        <v>529</v>
      </c>
      <c r="F89" s="246"/>
      <c r="G89" s="242"/>
      <c r="H89" s="249"/>
      <c r="I89" s="263"/>
      <c r="J89" s="256"/>
      <c r="K89" s="249"/>
      <c r="L89" s="243"/>
      <c r="M89" s="266"/>
      <c r="N89" s="247">
        <f t="shared" ref="N89:N94" si="35">SUM(F89:M89)</f>
        <v>0</v>
      </c>
      <c r="O89" s="125"/>
      <c r="P89" s="173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spans="1:26" ht="14.25" customHeight="1" outlineLevel="1">
      <c r="A90" s="168"/>
      <c r="B90" s="168" t="s">
        <v>530</v>
      </c>
      <c r="C90" s="168" t="str">
        <f t="shared" si="33"/>
        <v xml:space="preserve"> Pati</v>
      </c>
      <c r="D90" s="168" t="str">
        <f t="shared" si="34"/>
        <v/>
      </c>
      <c r="E90" s="252" t="s">
        <v>531</v>
      </c>
      <c r="F90" s="246"/>
      <c r="G90" s="242"/>
      <c r="H90" s="243"/>
      <c r="I90" s="250"/>
      <c r="J90" s="243"/>
      <c r="K90" s="243"/>
      <c r="L90" s="249"/>
      <c r="M90" s="266"/>
      <c r="N90" s="247">
        <f t="shared" si="35"/>
        <v>0</v>
      </c>
      <c r="O90" s="125"/>
      <c r="P90" s="173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spans="1:26" ht="14.25" customHeight="1" outlineLevel="1">
      <c r="A91" s="168"/>
      <c r="B91" s="168" t="s">
        <v>532</v>
      </c>
      <c r="C91" s="168" t="str">
        <f t="shared" si="33"/>
        <v xml:space="preserve"> Tuban</v>
      </c>
      <c r="D91" s="168" t="str">
        <f t="shared" si="34"/>
        <v/>
      </c>
      <c r="E91" s="252" t="s">
        <v>533</v>
      </c>
      <c r="F91" s="246"/>
      <c r="G91" s="242"/>
      <c r="H91" s="243"/>
      <c r="I91" s="250"/>
      <c r="J91" s="243"/>
      <c r="K91" s="243"/>
      <c r="L91" s="249"/>
      <c r="M91" s="266"/>
      <c r="N91" s="247">
        <f t="shared" si="35"/>
        <v>0</v>
      </c>
      <c r="O91" s="125"/>
      <c r="P91" s="173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spans="1:26" ht="14.25" customHeight="1" outlineLevel="1">
      <c r="A92" s="168"/>
      <c r="B92" s="168" t="s">
        <v>534</v>
      </c>
      <c r="C92" s="168" t="str">
        <f t="shared" si="33"/>
        <v xml:space="preserve"> Kediri</v>
      </c>
      <c r="D92" s="168" t="str">
        <f t="shared" si="34"/>
        <v/>
      </c>
      <c r="E92" s="252" t="s">
        <v>535</v>
      </c>
      <c r="F92" s="246"/>
      <c r="G92" s="242"/>
      <c r="H92" s="256"/>
      <c r="I92" s="267"/>
      <c r="J92" s="256"/>
      <c r="K92" s="243"/>
      <c r="L92" s="243"/>
      <c r="M92" s="266"/>
      <c r="N92" s="247">
        <f t="shared" si="35"/>
        <v>0</v>
      </c>
      <c r="O92" s="125"/>
      <c r="P92" s="173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spans="1:26" ht="14.25" customHeight="1" outlineLevel="1">
      <c r="A93" s="168"/>
      <c r="B93" s="168" t="s">
        <v>536</v>
      </c>
      <c r="C93" s="168" t="str">
        <f t="shared" si="33"/>
        <v xml:space="preserve"> Tegal</v>
      </c>
      <c r="D93" s="168" t="str">
        <f t="shared" si="34"/>
        <v/>
      </c>
      <c r="E93" s="252" t="s">
        <v>537</v>
      </c>
      <c r="F93" s="246"/>
      <c r="G93" s="242"/>
      <c r="H93" s="256"/>
      <c r="I93" s="254"/>
      <c r="J93" s="256"/>
      <c r="K93" s="243"/>
      <c r="L93" s="268"/>
      <c r="M93" s="244"/>
      <c r="N93" s="247">
        <f t="shared" si="35"/>
        <v>0</v>
      </c>
      <c r="O93" s="125"/>
      <c r="P93" s="173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spans="1:26" ht="14.25" customHeight="1" outlineLevel="1">
      <c r="A94" s="168"/>
      <c r="B94" s="168" t="s">
        <v>538</v>
      </c>
      <c r="C94" s="168" t="str">
        <f t="shared" si="33"/>
        <v xml:space="preserve"> Pekalongan</v>
      </c>
      <c r="D94" s="168" t="str">
        <f t="shared" si="34"/>
        <v/>
      </c>
      <c r="E94" s="252" t="s">
        <v>539</v>
      </c>
      <c r="F94" s="246"/>
      <c r="G94" s="242"/>
      <c r="H94" s="256"/>
      <c r="I94" s="254"/>
      <c r="J94" s="256"/>
      <c r="K94" s="243"/>
      <c r="L94" s="256"/>
      <c r="M94" s="269"/>
      <c r="N94" s="247">
        <f t="shared" si="35"/>
        <v>0</v>
      </c>
      <c r="O94" s="125"/>
      <c r="P94" s="173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spans="1:26" ht="15.75" customHeight="1">
      <c r="A95" s="162" t="s">
        <v>453</v>
      </c>
      <c r="B95" s="162"/>
      <c r="C95" s="162"/>
      <c r="D95" s="162" t="str">
        <f t="shared" si="34"/>
        <v/>
      </c>
      <c r="E95" s="162" t="s">
        <v>540</v>
      </c>
      <c r="F95" s="251">
        <f t="shared" ref="F95:N95" si="36">SUM(F89:F94)</f>
        <v>0</v>
      </c>
      <c r="G95" s="251">
        <f t="shared" si="36"/>
        <v>0</v>
      </c>
      <c r="H95" s="251">
        <f t="shared" si="36"/>
        <v>0</v>
      </c>
      <c r="I95" s="251">
        <f t="shared" si="36"/>
        <v>0</v>
      </c>
      <c r="J95" s="251">
        <f t="shared" si="36"/>
        <v>0</v>
      </c>
      <c r="K95" s="251">
        <f t="shared" si="36"/>
        <v>0</v>
      </c>
      <c r="L95" s="251">
        <f t="shared" si="36"/>
        <v>0</v>
      </c>
      <c r="M95" s="251">
        <f t="shared" si="36"/>
        <v>0</v>
      </c>
      <c r="N95" s="251">
        <f t="shared" si="36"/>
        <v>0</v>
      </c>
      <c r="O95" s="125"/>
      <c r="P95" s="173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spans="1:26" ht="14.25" hidden="1" customHeight="1" outlineLevel="1">
      <c r="A96" s="168"/>
      <c r="B96" s="168" t="s">
        <v>541</v>
      </c>
      <c r="C96" s="168" t="str">
        <f t="shared" ref="C96:C99" si="37">MID(E96,4,LEN(E96))</f>
        <v xml:space="preserve"> Surabaya</v>
      </c>
      <c r="D96" s="168" t="str">
        <f t="shared" si="34"/>
        <v/>
      </c>
      <c r="E96" s="252" t="s">
        <v>542</v>
      </c>
      <c r="F96" s="246"/>
      <c r="G96" s="242"/>
      <c r="H96" s="256"/>
      <c r="I96" s="256"/>
      <c r="J96" s="256"/>
      <c r="K96" s="256"/>
      <c r="L96" s="243"/>
      <c r="M96" s="266"/>
      <c r="N96" s="247">
        <f t="shared" ref="N96:N99" si="38">SUM(F96:M96)</f>
        <v>0</v>
      </c>
      <c r="O96" s="125"/>
      <c r="P96" s="173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spans="1:26" ht="14.25" hidden="1" customHeight="1" outlineLevel="1">
      <c r="A97" s="168"/>
      <c r="B97" s="168" t="s">
        <v>543</v>
      </c>
      <c r="C97" s="168" t="str">
        <f t="shared" si="37"/>
        <v xml:space="preserve"> Pamekasan</v>
      </c>
      <c r="D97" s="168" t="str">
        <f t="shared" si="34"/>
        <v/>
      </c>
      <c r="E97" s="252" t="s">
        <v>544</v>
      </c>
      <c r="F97" s="246"/>
      <c r="G97" s="242"/>
      <c r="H97" s="256"/>
      <c r="I97" s="243"/>
      <c r="J97" s="256"/>
      <c r="K97" s="256"/>
      <c r="L97" s="243"/>
      <c r="M97" s="266"/>
      <c r="N97" s="247">
        <f t="shared" si="38"/>
        <v>0</v>
      </c>
      <c r="O97" s="125"/>
      <c r="P97" s="173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spans="1:26" ht="14.25" hidden="1" customHeight="1" outlineLevel="1">
      <c r="A98" s="168"/>
      <c r="B98" s="168" t="s">
        <v>545</v>
      </c>
      <c r="C98" s="168" t="str">
        <f t="shared" si="37"/>
        <v xml:space="preserve"> Sidoarjo</v>
      </c>
      <c r="D98" s="168" t="str">
        <f t="shared" si="34"/>
        <v/>
      </c>
      <c r="E98" s="253" t="s">
        <v>546</v>
      </c>
      <c r="F98" s="246"/>
      <c r="G98" s="242"/>
      <c r="H98" s="256"/>
      <c r="I98" s="256"/>
      <c r="J98" s="256"/>
      <c r="K98" s="256"/>
      <c r="L98" s="243"/>
      <c r="M98" s="266"/>
      <c r="N98" s="247">
        <f t="shared" si="38"/>
        <v>0</v>
      </c>
      <c r="O98" s="125"/>
      <c r="P98" s="173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spans="1:26" ht="14.25" hidden="1" customHeight="1" outlineLevel="1">
      <c r="A99" s="168"/>
      <c r="B99" s="168" t="s">
        <v>547</v>
      </c>
      <c r="C99" s="168" t="str">
        <f t="shared" si="37"/>
        <v xml:space="preserve"> Malang</v>
      </c>
      <c r="D99" s="168" t="str">
        <f t="shared" si="34"/>
        <v/>
      </c>
      <c r="E99" s="252" t="s">
        <v>548</v>
      </c>
      <c r="F99" s="246"/>
      <c r="G99" s="242"/>
      <c r="H99" s="243"/>
      <c r="I99" s="243"/>
      <c r="J99" s="256"/>
      <c r="K99" s="243"/>
      <c r="L99" s="243"/>
      <c r="M99" s="266"/>
      <c r="N99" s="247">
        <f t="shared" si="38"/>
        <v>0</v>
      </c>
      <c r="O99" s="125"/>
      <c r="P99" s="173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spans="1:26" ht="14.25" hidden="1" customHeight="1" outlineLevel="1">
      <c r="A100" s="168"/>
      <c r="B100" s="168" t="s">
        <v>549</v>
      </c>
      <c r="C100" s="168" t="s">
        <v>550</v>
      </c>
      <c r="D100" s="168"/>
      <c r="E100" s="252" t="s">
        <v>551</v>
      </c>
      <c r="F100" s="246"/>
      <c r="G100" s="242"/>
      <c r="H100" s="243"/>
      <c r="I100" s="243"/>
      <c r="J100" s="243"/>
      <c r="K100" s="243"/>
      <c r="L100" s="243"/>
      <c r="M100" s="244"/>
      <c r="N100" s="247"/>
      <c r="O100" s="125"/>
      <c r="P100" s="173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spans="1:26" ht="14.25" hidden="1" customHeight="1" outlineLevel="1">
      <c r="A101" s="168"/>
      <c r="B101" s="168" t="s">
        <v>552</v>
      </c>
      <c r="C101" s="168" t="str">
        <f t="shared" ref="C101:C105" si="39">MID(E101,4,LEN(E101))</f>
        <v xml:space="preserve"> Mojokerto</v>
      </c>
      <c r="D101" s="168" t="str">
        <f t="shared" ref="D101:D105" si="40">IFERROR(VLOOKUP($E$4&amp;C101,#REF!,2,FALSE),"")</f>
        <v/>
      </c>
      <c r="E101" s="252" t="s">
        <v>553</v>
      </c>
      <c r="F101" s="246"/>
      <c r="G101" s="242"/>
      <c r="H101" s="243"/>
      <c r="I101" s="256"/>
      <c r="J101" s="256"/>
      <c r="K101" s="243"/>
      <c r="L101" s="243"/>
      <c r="M101" s="266"/>
      <c r="N101" s="247">
        <f t="shared" ref="N101:N105" si="41">SUM(F101:M101)</f>
        <v>0</v>
      </c>
      <c r="O101" s="125"/>
      <c r="P101" s="173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 ht="14.25" hidden="1" customHeight="1" outlineLevel="1">
      <c r="A102" s="168"/>
      <c r="B102" s="168" t="s">
        <v>554</v>
      </c>
      <c r="C102" s="168" t="str">
        <f t="shared" si="39"/>
        <v xml:space="preserve"> Jember</v>
      </c>
      <c r="D102" s="168" t="str">
        <f t="shared" si="40"/>
        <v/>
      </c>
      <c r="E102" s="252" t="s">
        <v>555</v>
      </c>
      <c r="F102" s="246"/>
      <c r="G102" s="242"/>
      <c r="H102" s="243"/>
      <c r="I102" s="256"/>
      <c r="J102" s="243"/>
      <c r="K102" s="243"/>
      <c r="L102" s="243"/>
      <c r="M102" s="266"/>
      <c r="N102" s="247">
        <f t="shared" si="41"/>
        <v>0</v>
      </c>
      <c r="O102" s="125"/>
      <c r="P102" s="173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 ht="14.25" hidden="1" customHeight="1" outlineLevel="1">
      <c r="A103" s="168"/>
      <c r="B103" s="168" t="s">
        <v>556</v>
      </c>
      <c r="C103" s="168" t="str">
        <f t="shared" si="39"/>
        <v xml:space="preserve"> Banyuwangi</v>
      </c>
      <c r="D103" s="168" t="str">
        <f t="shared" si="40"/>
        <v/>
      </c>
      <c r="E103" s="252" t="s">
        <v>557</v>
      </c>
      <c r="F103" s="246"/>
      <c r="G103" s="242"/>
      <c r="H103" s="243"/>
      <c r="I103" s="256"/>
      <c r="J103" s="243"/>
      <c r="K103" s="243"/>
      <c r="L103" s="243"/>
      <c r="M103" s="266"/>
      <c r="N103" s="247">
        <f t="shared" si="41"/>
        <v>0</v>
      </c>
      <c r="O103" s="125"/>
      <c r="P103" s="173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spans="1:26" ht="14.25" hidden="1" customHeight="1" outlineLevel="1">
      <c r="A104" s="168"/>
      <c r="B104" s="168" t="s">
        <v>558</v>
      </c>
      <c r="C104" s="168" t="str">
        <f t="shared" si="39"/>
        <v xml:space="preserve"> Probolinggo</v>
      </c>
      <c r="D104" s="168" t="str">
        <f t="shared" si="40"/>
        <v/>
      </c>
      <c r="E104" s="252" t="s">
        <v>559</v>
      </c>
      <c r="F104" s="246"/>
      <c r="G104" s="242"/>
      <c r="H104" s="243"/>
      <c r="I104" s="256"/>
      <c r="J104" s="243"/>
      <c r="K104" s="243"/>
      <c r="L104" s="243"/>
      <c r="M104" s="266"/>
      <c r="N104" s="247">
        <f t="shared" si="41"/>
        <v>0</v>
      </c>
      <c r="O104" s="125"/>
      <c r="P104" s="173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spans="1:26" ht="14.25" hidden="1" customHeight="1" outlineLevel="1">
      <c r="A105" s="168"/>
      <c r="B105" s="168" t="s">
        <v>560</v>
      </c>
      <c r="C105" s="168" t="str">
        <f t="shared" si="39"/>
        <v xml:space="preserve"> Gresik</v>
      </c>
      <c r="D105" s="168" t="str">
        <f t="shared" si="40"/>
        <v/>
      </c>
      <c r="E105" s="252" t="s">
        <v>561</v>
      </c>
      <c r="F105" s="246"/>
      <c r="G105" s="242"/>
      <c r="H105" s="243"/>
      <c r="I105" s="256"/>
      <c r="J105" s="243"/>
      <c r="K105" s="256"/>
      <c r="L105" s="243"/>
      <c r="M105" s="266"/>
      <c r="N105" s="247">
        <f t="shared" si="41"/>
        <v>0</v>
      </c>
      <c r="O105" s="125"/>
      <c r="P105" s="173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spans="1:26" ht="15.75" customHeight="1" collapsed="1">
      <c r="A106" s="162" t="s">
        <v>453</v>
      </c>
      <c r="B106" s="162"/>
      <c r="C106" s="162"/>
      <c r="D106" s="162">
        <v>1</v>
      </c>
      <c r="E106" s="162" t="s">
        <v>562</v>
      </c>
      <c r="F106" s="251">
        <f t="shared" ref="F106:N106" si="42">SUM(F96:F105)</f>
        <v>0</v>
      </c>
      <c r="G106" s="251">
        <f t="shared" si="42"/>
        <v>0</v>
      </c>
      <c r="H106" s="251">
        <f t="shared" si="42"/>
        <v>0</v>
      </c>
      <c r="I106" s="251">
        <f t="shared" si="42"/>
        <v>0</v>
      </c>
      <c r="J106" s="251">
        <f t="shared" si="42"/>
        <v>0</v>
      </c>
      <c r="K106" s="251">
        <f t="shared" si="42"/>
        <v>0</v>
      </c>
      <c r="L106" s="251">
        <f t="shared" si="42"/>
        <v>0</v>
      </c>
      <c r="M106" s="251">
        <f t="shared" si="42"/>
        <v>0</v>
      </c>
      <c r="N106" s="251">
        <f t="shared" si="42"/>
        <v>0</v>
      </c>
      <c r="O106" s="125"/>
      <c r="P106" s="173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spans="1:26" ht="14.25" hidden="1" customHeight="1" outlineLevel="1">
      <c r="A107" s="150"/>
      <c r="B107" s="193" t="s">
        <v>563</v>
      </c>
      <c r="C107" s="193" t="str">
        <f t="shared" ref="C107:C111" si="43">MID(E107,4,LEN(E107))</f>
        <v xml:space="preserve"> Denpasar</v>
      </c>
      <c r="D107" s="193" t="str">
        <f t="shared" ref="D107:D119" si="44">IFERROR(VLOOKUP($E$4&amp;C107,#REF!,2,FALSE),"")</f>
        <v/>
      </c>
      <c r="E107" s="199" t="s">
        <v>565</v>
      </c>
      <c r="F107" s="270"/>
      <c r="G107" s="242"/>
      <c r="H107" s="256"/>
      <c r="I107" s="249"/>
      <c r="J107" s="256"/>
      <c r="K107" s="243"/>
      <c r="L107" s="250"/>
      <c r="M107" s="244"/>
      <c r="N107" s="271">
        <f t="shared" ref="N107:N111" si="45">SUM(F107:M107)</f>
        <v>0</v>
      </c>
      <c r="O107" s="125"/>
      <c r="P107" s="173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spans="1:26" ht="14.25" hidden="1" customHeight="1" outlineLevel="1">
      <c r="A108" s="150"/>
      <c r="B108" s="193" t="s">
        <v>566</v>
      </c>
      <c r="C108" s="193" t="str">
        <f t="shared" si="43"/>
        <v xml:space="preserve"> Singaraja</v>
      </c>
      <c r="D108" s="193" t="str">
        <f t="shared" si="44"/>
        <v/>
      </c>
      <c r="E108" s="199" t="s">
        <v>567</v>
      </c>
      <c r="F108" s="270"/>
      <c r="G108" s="242"/>
      <c r="H108" s="243"/>
      <c r="I108" s="256"/>
      <c r="J108" s="243"/>
      <c r="K108" s="243"/>
      <c r="L108" s="243"/>
      <c r="M108" s="266"/>
      <c r="N108" s="271">
        <f t="shared" si="45"/>
        <v>0</v>
      </c>
      <c r="O108" s="125"/>
      <c r="P108" s="173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spans="1:26" ht="14.25" hidden="1" customHeight="1" outlineLevel="1">
      <c r="A109" s="150"/>
      <c r="B109" s="193" t="s">
        <v>568</v>
      </c>
      <c r="C109" s="193" t="str">
        <f t="shared" si="43"/>
        <v xml:space="preserve"> Mataram</v>
      </c>
      <c r="D109" s="193" t="str">
        <f t="shared" si="44"/>
        <v/>
      </c>
      <c r="E109" s="199" t="s">
        <v>569</v>
      </c>
      <c r="F109" s="270"/>
      <c r="G109" s="242"/>
      <c r="H109" s="256"/>
      <c r="I109" s="243"/>
      <c r="J109" s="256"/>
      <c r="K109" s="243"/>
      <c r="L109" s="256"/>
      <c r="M109" s="244"/>
      <c r="N109" s="271">
        <f t="shared" si="45"/>
        <v>0</v>
      </c>
      <c r="O109" s="125"/>
      <c r="P109" s="173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spans="1:26" ht="14.25" hidden="1" customHeight="1" outlineLevel="1">
      <c r="A110" s="150"/>
      <c r="B110" s="193" t="s">
        <v>570</v>
      </c>
      <c r="C110" s="193" t="str">
        <f t="shared" si="43"/>
        <v xml:space="preserve"> Ende</v>
      </c>
      <c r="D110" s="193" t="str">
        <f t="shared" si="44"/>
        <v/>
      </c>
      <c r="E110" s="199" t="s">
        <v>572</v>
      </c>
      <c r="F110" s="270"/>
      <c r="G110" s="242"/>
      <c r="H110" s="243"/>
      <c r="I110" s="256"/>
      <c r="J110" s="243"/>
      <c r="K110" s="243"/>
      <c r="L110" s="243"/>
      <c r="M110" s="244"/>
      <c r="N110" s="271">
        <f t="shared" si="45"/>
        <v>0</v>
      </c>
      <c r="O110" s="125"/>
      <c r="P110" s="173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spans="1:26" ht="14.25" hidden="1" customHeight="1" outlineLevel="1">
      <c r="A111" s="150"/>
      <c r="B111" s="193" t="s">
        <v>576</v>
      </c>
      <c r="C111" s="193" t="str">
        <f t="shared" si="43"/>
        <v xml:space="preserve"> Kupang</v>
      </c>
      <c r="D111" s="193" t="str">
        <f t="shared" si="44"/>
        <v/>
      </c>
      <c r="E111" s="199" t="s">
        <v>577</v>
      </c>
      <c r="F111" s="270"/>
      <c r="G111" s="272"/>
      <c r="H111" s="256"/>
      <c r="I111" s="256"/>
      <c r="J111" s="243"/>
      <c r="K111" s="243"/>
      <c r="L111" s="243"/>
      <c r="M111" s="244"/>
      <c r="N111" s="271">
        <f t="shared" si="45"/>
        <v>0</v>
      </c>
      <c r="O111" s="125"/>
      <c r="P111" s="173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spans="1:26" ht="15.75" customHeight="1" collapsed="1">
      <c r="A112" s="162" t="s">
        <v>453</v>
      </c>
      <c r="B112" s="162"/>
      <c r="C112" s="162"/>
      <c r="D112" s="162" t="str">
        <f t="shared" si="44"/>
        <v/>
      </c>
      <c r="E112" s="162" t="s">
        <v>578</v>
      </c>
      <c r="F112" s="251">
        <f t="shared" ref="F112:N112" si="46">SUM(F107:F111)</f>
        <v>0</v>
      </c>
      <c r="G112" s="251">
        <f t="shared" si="46"/>
        <v>0</v>
      </c>
      <c r="H112" s="251">
        <f t="shared" si="46"/>
        <v>0</v>
      </c>
      <c r="I112" s="251">
        <f t="shared" si="46"/>
        <v>0</v>
      </c>
      <c r="J112" s="251">
        <f t="shared" si="46"/>
        <v>0</v>
      </c>
      <c r="K112" s="251">
        <f t="shared" si="46"/>
        <v>0</v>
      </c>
      <c r="L112" s="251">
        <f t="shared" si="46"/>
        <v>0</v>
      </c>
      <c r="M112" s="251">
        <f t="shared" si="46"/>
        <v>0</v>
      </c>
      <c r="N112" s="251">
        <f t="shared" si="46"/>
        <v>0</v>
      </c>
      <c r="O112" s="125"/>
      <c r="P112" s="173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spans="1:26" ht="14.25" hidden="1" customHeight="1" outlineLevel="1">
      <c r="A113" s="168" t="s">
        <v>579</v>
      </c>
      <c r="B113" s="193" t="s">
        <v>580</v>
      </c>
      <c r="C113" s="193" t="str">
        <f t="shared" ref="C113:C118" si="47">MID(E113,4,LEN(E113))</f>
        <v xml:space="preserve"> Banjarmasin</v>
      </c>
      <c r="D113" s="193" t="str">
        <f t="shared" si="44"/>
        <v/>
      </c>
      <c r="E113" s="199" t="s">
        <v>581</v>
      </c>
      <c r="F113" s="273"/>
      <c r="G113" s="242"/>
      <c r="H113" s="256"/>
      <c r="I113" s="256"/>
      <c r="J113" s="243"/>
      <c r="K113" s="243"/>
      <c r="L113" s="243"/>
      <c r="M113" s="244"/>
      <c r="N113" s="271">
        <f t="shared" ref="N113:N119" si="48">SUM(F113:M113)</f>
        <v>0</v>
      </c>
      <c r="O113" s="125"/>
      <c r="P113" s="173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spans="1:26" ht="14.25" hidden="1" customHeight="1" outlineLevel="1">
      <c r="A114" s="168"/>
      <c r="B114" s="193" t="s">
        <v>582</v>
      </c>
      <c r="C114" s="193" t="str">
        <f t="shared" si="47"/>
        <v xml:space="preserve"> Barabai</v>
      </c>
      <c r="D114" s="193" t="str">
        <f t="shared" si="44"/>
        <v/>
      </c>
      <c r="E114" s="199" t="s">
        <v>583</v>
      </c>
      <c r="F114" s="270"/>
      <c r="G114" s="242"/>
      <c r="H114" s="243"/>
      <c r="I114" s="256"/>
      <c r="J114" s="243"/>
      <c r="K114" s="243"/>
      <c r="L114" s="243"/>
      <c r="M114" s="244"/>
      <c r="N114" s="271">
        <f t="shared" si="48"/>
        <v>0</v>
      </c>
      <c r="O114" s="125"/>
      <c r="P114" s="173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spans="1:26" ht="14.25" hidden="1" customHeight="1" outlineLevel="1">
      <c r="A115" s="196"/>
      <c r="B115" s="193" t="s">
        <v>584</v>
      </c>
      <c r="C115" s="193" t="str">
        <f t="shared" si="47"/>
        <v xml:space="preserve"> Samarinda</v>
      </c>
      <c r="D115" s="193" t="str">
        <f t="shared" si="44"/>
        <v/>
      </c>
      <c r="E115" s="274" t="s">
        <v>586</v>
      </c>
      <c r="F115" s="270"/>
      <c r="G115" s="242"/>
      <c r="H115" s="256"/>
      <c r="I115" s="243"/>
      <c r="J115" s="249"/>
      <c r="K115" s="243"/>
      <c r="L115" s="243"/>
      <c r="M115" s="244"/>
      <c r="N115" s="271">
        <f t="shared" si="48"/>
        <v>0</v>
      </c>
      <c r="O115" s="125"/>
      <c r="P115" s="173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spans="1:26" ht="14.25" hidden="1" customHeight="1" outlineLevel="1">
      <c r="A116" s="196"/>
      <c r="B116" s="193" t="s">
        <v>587</v>
      </c>
      <c r="C116" s="193" t="str">
        <f t="shared" si="47"/>
        <v xml:space="preserve"> Berau</v>
      </c>
      <c r="D116" s="193" t="str">
        <f t="shared" si="44"/>
        <v/>
      </c>
      <c r="E116" s="274" t="s">
        <v>588</v>
      </c>
      <c r="F116" s="270"/>
      <c r="G116" s="242"/>
      <c r="H116" s="243"/>
      <c r="I116" s="243"/>
      <c r="J116" s="243"/>
      <c r="K116" s="243"/>
      <c r="L116" s="243"/>
      <c r="M116" s="244"/>
      <c r="N116" s="271">
        <f t="shared" si="48"/>
        <v>0</v>
      </c>
      <c r="O116" s="125"/>
      <c r="P116" s="173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spans="1:26" ht="14.25" hidden="1" customHeight="1" outlineLevel="1">
      <c r="A117" s="196"/>
      <c r="B117" s="193" t="s">
        <v>589</v>
      </c>
      <c r="C117" s="193" t="str">
        <f t="shared" si="47"/>
        <v xml:space="preserve"> Sengatta</v>
      </c>
      <c r="D117" s="193" t="str">
        <f t="shared" si="44"/>
        <v/>
      </c>
      <c r="E117" s="274" t="s">
        <v>590</v>
      </c>
      <c r="F117" s="270"/>
      <c r="G117" s="242"/>
      <c r="H117" s="243"/>
      <c r="I117" s="243"/>
      <c r="J117" s="243"/>
      <c r="K117" s="243"/>
      <c r="L117" s="243"/>
      <c r="M117" s="244"/>
      <c r="N117" s="271">
        <f t="shared" si="48"/>
        <v>0</v>
      </c>
      <c r="O117" s="125"/>
      <c r="P117" s="173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spans="1:26" ht="14.25" hidden="1" customHeight="1" outlineLevel="1">
      <c r="A118" s="168"/>
      <c r="B118" s="193" t="s">
        <v>591</v>
      </c>
      <c r="C118" s="193" t="str">
        <f t="shared" si="47"/>
        <v xml:space="preserve"> Balikpapan</v>
      </c>
      <c r="D118" s="193" t="str">
        <f t="shared" si="44"/>
        <v/>
      </c>
      <c r="E118" s="199" t="s">
        <v>593</v>
      </c>
      <c r="F118" s="273"/>
      <c r="G118" s="242"/>
      <c r="H118" s="256"/>
      <c r="I118" s="243"/>
      <c r="J118" s="250"/>
      <c r="K118" s="243"/>
      <c r="L118" s="243"/>
      <c r="M118" s="244"/>
      <c r="N118" s="271">
        <f t="shared" si="48"/>
        <v>0</v>
      </c>
      <c r="O118" s="125"/>
      <c r="P118" s="173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spans="1:26" ht="14.25" hidden="1" customHeight="1" outlineLevel="1">
      <c r="A119" s="196"/>
      <c r="B119" s="193" t="s">
        <v>594</v>
      </c>
      <c r="C119" s="193" t="s">
        <v>595</v>
      </c>
      <c r="D119" s="193" t="str">
        <f t="shared" si="44"/>
        <v/>
      </c>
      <c r="E119" s="199" t="s">
        <v>596</v>
      </c>
      <c r="F119" s="273"/>
      <c r="G119" s="242"/>
      <c r="H119" s="256"/>
      <c r="I119" s="243"/>
      <c r="J119" s="249"/>
      <c r="K119" s="243"/>
      <c r="L119" s="243"/>
      <c r="M119" s="244"/>
      <c r="N119" s="271">
        <f t="shared" si="48"/>
        <v>0</v>
      </c>
      <c r="O119" s="125"/>
      <c r="P119" s="173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spans="1:26" ht="15.75" customHeight="1" collapsed="1">
      <c r="A120" s="162" t="s">
        <v>597</v>
      </c>
      <c r="B120" s="162"/>
      <c r="C120" s="162"/>
      <c r="D120" s="162">
        <v>1</v>
      </c>
      <c r="E120" s="162" t="s">
        <v>598</v>
      </c>
      <c r="F120" s="251">
        <f t="shared" ref="F120:N120" si="49">SUM(F113:F119)</f>
        <v>0</v>
      </c>
      <c r="G120" s="251">
        <f t="shared" si="49"/>
        <v>0</v>
      </c>
      <c r="H120" s="251">
        <f t="shared" si="49"/>
        <v>0</v>
      </c>
      <c r="I120" s="251">
        <f t="shared" si="49"/>
        <v>0</v>
      </c>
      <c r="J120" s="251">
        <f t="shared" si="49"/>
        <v>0</v>
      </c>
      <c r="K120" s="251">
        <f t="shared" si="49"/>
        <v>0</v>
      </c>
      <c r="L120" s="251">
        <f t="shared" si="49"/>
        <v>0</v>
      </c>
      <c r="M120" s="251">
        <f t="shared" si="49"/>
        <v>0</v>
      </c>
      <c r="N120" s="251">
        <f t="shared" si="49"/>
        <v>0</v>
      </c>
      <c r="O120" s="125"/>
      <c r="P120" s="173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spans="1:26" ht="14.25" hidden="1" customHeight="1" outlineLevel="1">
      <c r="A121" s="168"/>
      <c r="B121" s="193" t="s">
        <v>599</v>
      </c>
      <c r="C121" s="193" t="str">
        <f t="shared" ref="C121:C123" si="50">MID(E121,4,LEN(E121))</f>
        <v xml:space="preserve"> Pontianak</v>
      </c>
      <c r="D121" s="193" t="str">
        <f t="shared" ref="D121:D123" si="51">IFERROR(VLOOKUP($E$4&amp;C121,#REF!,2,FALSE),"")</f>
        <v/>
      </c>
      <c r="E121" s="199" t="s">
        <v>600</v>
      </c>
      <c r="F121" s="270"/>
      <c r="G121" s="242"/>
      <c r="H121" s="243"/>
      <c r="I121" s="249"/>
      <c r="J121" s="243"/>
      <c r="K121" s="249"/>
      <c r="L121" s="243"/>
      <c r="M121" s="244"/>
      <c r="N121" s="271">
        <f t="shared" ref="N121:N123" si="52">SUM(F121:M121)</f>
        <v>0</v>
      </c>
      <c r="O121" s="125"/>
      <c r="P121" s="173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spans="1:26" ht="14.25" hidden="1" customHeight="1" outlineLevel="1">
      <c r="A122" s="168"/>
      <c r="B122" s="193" t="s">
        <v>601</v>
      </c>
      <c r="C122" s="193" t="str">
        <f t="shared" si="50"/>
        <v xml:space="preserve"> Sintang</v>
      </c>
      <c r="D122" s="193" t="str">
        <f t="shared" si="51"/>
        <v/>
      </c>
      <c r="E122" s="274" t="s">
        <v>602</v>
      </c>
      <c r="F122" s="270"/>
      <c r="G122" s="242"/>
      <c r="H122" s="243"/>
      <c r="I122" s="243"/>
      <c r="J122" s="243"/>
      <c r="K122" s="243"/>
      <c r="L122" s="243"/>
      <c r="M122" s="244"/>
      <c r="N122" s="271">
        <f t="shared" si="52"/>
        <v>0</v>
      </c>
      <c r="O122" s="125"/>
      <c r="P122" s="173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spans="1:26" ht="14.25" hidden="1" customHeight="1" outlineLevel="1">
      <c r="A123" s="168"/>
      <c r="B123" s="193" t="s">
        <v>603</v>
      </c>
      <c r="C123" s="193" t="str">
        <f t="shared" si="50"/>
        <v xml:space="preserve"> Palangkaraya</v>
      </c>
      <c r="D123" s="193" t="str">
        <f t="shared" si="51"/>
        <v/>
      </c>
      <c r="E123" s="274" t="s">
        <v>604</v>
      </c>
      <c r="F123" s="270"/>
      <c r="G123" s="242"/>
      <c r="H123" s="243"/>
      <c r="I123" s="243"/>
      <c r="J123" s="243"/>
      <c r="K123" s="243"/>
      <c r="L123" s="243"/>
      <c r="M123" s="244"/>
      <c r="N123" s="271">
        <f t="shared" si="52"/>
        <v>0</v>
      </c>
      <c r="O123" s="125"/>
      <c r="P123" s="173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spans="1:26" ht="15.75" customHeight="1" collapsed="1">
      <c r="A124" s="162" t="s">
        <v>597</v>
      </c>
      <c r="B124" s="162"/>
      <c r="C124" s="162"/>
      <c r="D124" s="162">
        <v>1</v>
      </c>
      <c r="E124" s="162" t="s">
        <v>605</v>
      </c>
      <c r="F124" s="251">
        <f t="shared" ref="F124:N124" si="53">SUM(F121:F123)</f>
        <v>0</v>
      </c>
      <c r="G124" s="251">
        <f t="shared" si="53"/>
        <v>0</v>
      </c>
      <c r="H124" s="251">
        <f t="shared" si="53"/>
        <v>0</v>
      </c>
      <c r="I124" s="251">
        <f t="shared" si="53"/>
        <v>0</v>
      </c>
      <c r="J124" s="251">
        <f t="shared" si="53"/>
        <v>0</v>
      </c>
      <c r="K124" s="251">
        <f t="shared" si="53"/>
        <v>0</v>
      </c>
      <c r="L124" s="251">
        <f t="shared" si="53"/>
        <v>0</v>
      </c>
      <c r="M124" s="251">
        <f t="shared" si="53"/>
        <v>0</v>
      </c>
      <c r="N124" s="251">
        <f t="shared" si="53"/>
        <v>0</v>
      </c>
      <c r="O124" s="125"/>
      <c r="P124" s="173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spans="1:26" ht="14.25" hidden="1" customHeight="1" outlineLevel="1">
      <c r="A125" s="168"/>
      <c r="B125" s="193" t="s">
        <v>606</v>
      </c>
      <c r="C125" s="193" t="str">
        <f t="shared" ref="C125:C130" si="54">MID(E125,4,LEN(E125))</f>
        <v xml:space="preserve"> Makassar</v>
      </c>
      <c r="D125" s="193" t="str">
        <f t="shared" ref="D125:D130" si="55">IFERROR(VLOOKUP($E$4&amp;C125,#REF!,2,FALSE),"")</f>
        <v/>
      </c>
      <c r="E125" s="199" t="s">
        <v>608</v>
      </c>
      <c r="F125" s="275"/>
      <c r="G125" s="242"/>
      <c r="H125" s="256"/>
      <c r="I125" s="249"/>
      <c r="J125" s="243"/>
      <c r="K125" s="256"/>
      <c r="L125" s="243"/>
      <c r="M125" s="244"/>
      <c r="N125" s="271">
        <f t="shared" ref="N125:N130" si="56">SUM(F125:M125)</f>
        <v>0</v>
      </c>
      <c r="O125" s="125"/>
      <c r="P125" s="173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spans="1:26" ht="14.25" hidden="1" customHeight="1" outlineLevel="1">
      <c r="A126" s="168"/>
      <c r="B126" s="193" t="s">
        <v>609</v>
      </c>
      <c r="C126" s="193" t="str">
        <f t="shared" si="54"/>
        <v xml:space="preserve"> Makassar 2</v>
      </c>
      <c r="D126" s="193" t="str">
        <f t="shared" si="55"/>
        <v/>
      </c>
      <c r="E126" s="199" t="s">
        <v>610</v>
      </c>
      <c r="F126" s="275"/>
      <c r="G126" s="242"/>
      <c r="H126" s="243"/>
      <c r="I126" s="243"/>
      <c r="J126" s="243"/>
      <c r="K126" s="243"/>
      <c r="L126" s="243"/>
      <c r="M126" s="244"/>
      <c r="N126" s="271">
        <f t="shared" si="56"/>
        <v>0</v>
      </c>
      <c r="O126" s="125"/>
      <c r="P126" s="173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spans="1:26" ht="14.25" hidden="1" customHeight="1" outlineLevel="1">
      <c r="A127" s="168"/>
      <c r="B127" s="193" t="s">
        <v>611</v>
      </c>
      <c r="C127" s="193" t="str">
        <f t="shared" si="54"/>
        <v xml:space="preserve"> Kendari</v>
      </c>
      <c r="D127" s="193" t="str">
        <f t="shared" si="55"/>
        <v/>
      </c>
      <c r="E127" s="199" t="s">
        <v>2756</v>
      </c>
      <c r="F127" s="275"/>
      <c r="G127" s="272"/>
      <c r="H127" s="243"/>
      <c r="I127" s="243"/>
      <c r="J127" s="243"/>
      <c r="K127" s="243"/>
      <c r="L127" s="243"/>
      <c r="M127" s="244"/>
      <c r="N127" s="271">
        <f t="shared" si="56"/>
        <v>0</v>
      </c>
      <c r="O127" s="125"/>
      <c r="P127" s="173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spans="1:26" ht="14.25" hidden="1" customHeight="1" outlineLevel="1">
      <c r="A128" s="168"/>
      <c r="B128" s="193" t="s">
        <v>614</v>
      </c>
      <c r="C128" s="193" t="str">
        <f t="shared" si="54"/>
        <v xml:space="preserve"> Parepare</v>
      </c>
      <c r="D128" s="193" t="str">
        <f t="shared" si="55"/>
        <v/>
      </c>
      <c r="E128" s="199" t="s">
        <v>616</v>
      </c>
      <c r="F128" s="275"/>
      <c r="G128" s="242"/>
      <c r="H128" s="256"/>
      <c r="I128" s="243"/>
      <c r="J128" s="243"/>
      <c r="K128" s="256"/>
      <c r="L128" s="243"/>
      <c r="M128" s="244"/>
      <c r="N128" s="271">
        <f t="shared" si="56"/>
        <v>0</v>
      </c>
      <c r="O128" s="125"/>
      <c r="P128" s="173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spans="1:26" ht="14.25" hidden="1" customHeight="1" outlineLevel="1">
      <c r="A129" s="168"/>
      <c r="B129" s="193" t="s">
        <v>617</v>
      </c>
      <c r="C129" s="193" t="str">
        <f t="shared" si="54"/>
        <v xml:space="preserve"> Palopo</v>
      </c>
      <c r="D129" s="193" t="str">
        <f t="shared" si="55"/>
        <v/>
      </c>
      <c r="E129" s="199" t="s">
        <v>618</v>
      </c>
      <c r="F129" s="275"/>
      <c r="G129" s="242"/>
      <c r="H129" s="243"/>
      <c r="I129" s="243"/>
      <c r="J129" s="243"/>
      <c r="K129" s="256"/>
      <c r="L129" s="243"/>
      <c r="M129" s="244"/>
      <c r="N129" s="271">
        <f t="shared" si="56"/>
        <v>0</v>
      </c>
      <c r="O129" s="167"/>
      <c r="P129" s="173"/>
      <c r="Q129" s="173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spans="1:26" ht="14.25" hidden="1" customHeight="1" outlineLevel="1">
      <c r="A130" s="168"/>
      <c r="B130" s="193" t="s">
        <v>619</v>
      </c>
      <c r="C130" s="193" t="str">
        <f t="shared" si="54"/>
        <v xml:space="preserve"> Palu</v>
      </c>
      <c r="D130" s="193" t="str">
        <f t="shared" si="55"/>
        <v/>
      </c>
      <c r="E130" s="199" t="s">
        <v>621</v>
      </c>
      <c r="F130" s="276"/>
      <c r="G130" s="242"/>
      <c r="H130" s="256"/>
      <c r="I130" s="243"/>
      <c r="J130" s="243"/>
      <c r="K130" s="243"/>
      <c r="L130" s="243"/>
      <c r="M130" s="244"/>
      <c r="N130" s="271">
        <f t="shared" si="56"/>
        <v>0</v>
      </c>
      <c r="O130" s="167"/>
      <c r="P130" s="173"/>
      <c r="Q130" s="173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spans="1:26" ht="15.75" customHeight="1" collapsed="1">
      <c r="A131" s="162" t="s">
        <v>622</v>
      </c>
      <c r="B131" s="162"/>
      <c r="C131" s="162"/>
      <c r="D131" s="162">
        <v>1</v>
      </c>
      <c r="E131" s="162" t="s">
        <v>623</v>
      </c>
      <c r="F131" s="251">
        <f t="shared" ref="F131:N131" si="57">SUM(F125:F130)</f>
        <v>0</v>
      </c>
      <c r="G131" s="251">
        <f t="shared" si="57"/>
        <v>0</v>
      </c>
      <c r="H131" s="251">
        <f t="shared" si="57"/>
        <v>0</v>
      </c>
      <c r="I131" s="251">
        <f t="shared" si="57"/>
        <v>0</v>
      </c>
      <c r="J131" s="251">
        <f t="shared" si="57"/>
        <v>0</v>
      </c>
      <c r="K131" s="251">
        <f t="shared" si="57"/>
        <v>0</v>
      </c>
      <c r="L131" s="251">
        <f t="shared" si="57"/>
        <v>0</v>
      </c>
      <c r="M131" s="251">
        <f t="shared" si="57"/>
        <v>0</v>
      </c>
      <c r="N131" s="251">
        <f t="shared" si="57"/>
        <v>0</v>
      </c>
      <c r="O131" s="167"/>
      <c r="P131" s="173"/>
      <c r="Q131" s="173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spans="1:26" ht="14.25" hidden="1" customHeight="1" outlineLevel="1">
      <c r="A132" s="168"/>
      <c r="B132" s="193" t="s">
        <v>624</v>
      </c>
      <c r="C132" s="193" t="str">
        <f t="shared" ref="C132:C138" si="58">MID(E132,4,LEN(E132))</f>
        <v xml:space="preserve"> Manado</v>
      </c>
      <c r="D132" s="193" t="str">
        <f t="shared" ref="D132:D138" si="59">IFERROR(VLOOKUP($E$4&amp;C132,#REF!,2,FALSE),"")</f>
        <v/>
      </c>
      <c r="E132" s="199" t="s">
        <v>625</v>
      </c>
      <c r="F132" s="275"/>
      <c r="G132" s="242"/>
      <c r="H132" s="256"/>
      <c r="I132" s="243"/>
      <c r="J132" s="256"/>
      <c r="K132" s="243"/>
      <c r="L132" s="243"/>
      <c r="M132" s="244"/>
      <c r="N132" s="271">
        <f>SUM(G132:M132)</f>
        <v>0</v>
      </c>
      <c r="O132" s="167"/>
      <c r="P132" s="173"/>
      <c r="Q132" s="173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spans="1:26" ht="14.25" hidden="1" customHeight="1" outlineLevel="1">
      <c r="A133" s="168"/>
      <c r="B133" s="193" t="s">
        <v>626</v>
      </c>
      <c r="C133" s="193" t="str">
        <f t="shared" si="58"/>
        <v xml:space="preserve"> Gorontalo</v>
      </c>
      <c r="D133" s="193" t="str">
        <f t="shared" si="59"/>
        <v/>
      </c>
      <c r="E133" s="199" t="s">
        <v>628</v>
      </c>
      <c r="F133" s="275"/>
      <c r="G133" s="272"/>
      <c r="H133" s="243"/>
      <c r="I133" s="243"/>
      <c r="J133" s="256"/>
      <c r="K133" s="243"/>
      <c r="L133" s="243"/>
      <c r="M133" s="244"/>
      <c r="N133" s="271">
        <f t="shared" ref="N133:N138" si="60">SUM(F133:M133)</f>
        <v>0</v>
      </c>
      <c r="O133" s="167"/>
      <c r="P133" s="173"/>
      <c r="Q133" s="173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spans="1:26" ht="14.25" hidden="1" customHeight="1" outlineLevel="1">
      <c r="A134" s="168"/>
      <c r="B134" s="193" t="s">
        <v>629</v>
      </c>
      <c r="C134" s="193" t="str">
        <f t="shared" si="58"/>
        <v xml:space="preserve"> Ternate</v>
      </c>
      <c r="D134" s="193" t="str">
        <f t="shared" si="59"/>
        <v/>
      </c>
      <c r="E134" s="199" t="s">
        <v>630</v>
      </c>
      <c r="F134" s="275"/>
      <c r="G134" s="242"/>
      <c r="H134" s="243"/>
      <c r="I134" s="256"/>
      <c r="J134" s="243"/>
      <c r="K134" s="243"/>
      <c r="L134" s="243"/>
      <c r="M134" s="244"/>
      <c r="N134" s="271">
        <f t="shared" si="60"/>
        <v>0</v>
      </c>
      <c r="O134" s="167"/>
      <c r="P134" s="173"/>
      <c r="Q134" s="173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spans="1:26" ht="14.25" hidden="1" customHeight="1" outlineLevel="1">
      <c r="A135" s="168"/>
      <c r="B135" s="193" t="s">
        <v>631</v>
      </c>
      <c r="C135" s="193" t="str">
        <f t="shared" si="58"/>
        <v xml:space="preserve"> Ambon</v>
      </c>
      <c r="D135" s="193" t="str">
        <f t="shared" si="59"/>
        <v/>
      </c>
      <c r="E135" s="199" t="s">
        <v>632</v>
      </c>
      <c r="F135" s="275"/>
      <c r="G135" s="272"/>
      <c r="H135" s="243"/>
      <c r="I135" s="243"/>
      <c r="J135" s="243"/>
      <c r="K135" s="256"/>
      <c r="L135" s="243"/>
      <c r="M135" s="244"/>
      <c r="N135" s="271">
        <f t="shared" si="60"/>
        <v>0</v>
      </c>
      <c r="O135" s="167"/>
      <c r="P135" s="173"/>
      <c r="Q135" s="173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spans="1:26" ht="14.25" hidden="1" customHeight="1" outlineLevel="1">
      <c r="A136" s="168"/>
      <c r="B136" s="193" t="s">
        <v>633</v>
      </c>
      <c r="C136" s="193" t="str">
        <f t="shared" si="58"/>
        <v xml:space="preserve"> Tual</v>
      </c>
      <c r="D136" s="193" t="str">
        <f t="shared" si="59"/>
        <v/>
      </c>
      <c r="E136" s="274" t="s">
        <v>635</v>
      </c>
      <c r="F136" s="275"/>
      <c r="G136" s="242"/>
      <c r="H136" s="243"/>
      <c r="I136" s="243"/>
      <c r="J136" s="243"/>
      <c r="K136" s="256"/>
      <c r="L136" s="243"/>
      <c r="M136" s="244"/>
      <c r="N136" s="271">
        <f t="shared" si="60"/>
        <v>0</v>
      </c>
      <c r="O136" s="167"/>
      <c r="P136" s="173"/>
      <c r="Q136" s="173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spans="1:26" ht="14.25" hidden="1" customHeight="1" outlineLevel="1">
      <c r="A137" s="168"/>
      <c r="B137" s="193" t="s">
        <v>636</v>
      </c>
      <c r="C137" s="193" t="str">
        <f t="shared" si="58"/>
        <v xml:space="preserve"> Papua</v>
      </c>
      <c r="D137" s="193" t="str">
        <f t="shared" si="59"/>
        <v/>
      </c>
      <c r="E137" s="199" t="s">
        <v>638</v>
      </c>
      <c r="F137" s="275"/>
      <c r="G137" s="272"/>
      <c r="H137" s="243"/>
      <c r="I137" s="243"/>
      <c r="J137" s="243"/>
      <c r="K137" s="256"/>
      <c r="L137" s="243"/>
      <c r="M137" s="244"/>
      <c r="N137" s="271">
        <f t="shared" si="60"/>
        <v>0</v>
      </c>
      <c r="O137" s="167"/>
      <c r="P137" s="173"/>
      <c r="Q137" s="173"/>
      <c r="R137" s="125"/>
      <c r="S137" s="125"/>
      <c r="T137" s="125"/>
      <c r="U137" s="125">
        <v>1167</v>
      </c>
      <c r="V137" s="173">
        <f>U137-N139</f>
        <v>1167</v>
      </c>
      <c r="W137" s="125"/>
      <c r="X137" s="125"/>
      <c r="Y137" s="125"/>
      <c r="Z137" s="125"/>
    </row>
    <row r="138" spans="1:26" ht="14.25" hidden="1" customHeight="1" outlineLevel="1">
      <c r="A138" s="168"/>
      <c r="B138" s="193" t="s">
        <v>639</v>
      </c>
      <c r="C138" s="193" t="str">
        <f t="shared" si="58"/>
        <v xml:space="preserve"> Sorong</v>
      </c>
      <c r="D138" s="193" t="str">
        <f t="shared" si="59"/>
        <v/>
      </c>
      <c r="E138" s="199" t="s">
        <v>641</v>
      </c>
      <c r="F138" s="275"/>
      <c r="G138" s="242"/>
      <c r="H138" s="256"/>
      <c r="I138" s="243"/>
      <c r="J138" s="243"/>
      <c r="K138" s="256"/>
      <c r="L138" s="243"/>
      <c r="M138" s="244"/>
      <c r="N138" s="271">
        <f t="shared" si="60"/>
        <v>0</v>
      </c>
      <c r="O138" s="167"/>
      <c r="P138" s="173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spans="1:26" ht="15.75" customHeight="1" collapsed="1">
      <c r="A139" s="162" t="s">
        <v>642</v>
      </c>
      <c r="B139" s="162"/>
      <c r="C139" s="162"/>
      <c r="D139" s="162">
        <v>1</v>
      </c>
      <c r="E139" s="162" t="s">
        <v>643</v>
      </c>
      <c r="F139" s="251">
        <f t="shared" ref="F139:N139" si="61">SUM(F132:F138)</f>
        <v>0</v>
      </c>
      <c r="G139" s="251">
        <f t="shared" si="61"/>
        <v>0</v>
      </c>
      <c r="H139" s="251">
        <f t="shared" si="61"/>
        <v>0</v>
      </c>
      <c r="I139" s="251">
        <f t="shared" si="61"/>
        <v>0</v>
      </c>
      <c r="J139" s="251">
        <f t="shared" si="61"/>
        <v>0</v>
      </c>
      <c r="K139" s="251">
        <f t="shared" si="61"/>
        <v>0</v>
      </c>
      <c r="L139" s="251">
        <f t="shared" si="61"/>
        <v>0</v>
      </c>
      <c r="M139" s="251">
        <f t="shared" si="61"/>
        <v>0</v>
      </c>
      <c r="N139" s="251">
        <f t="shared" si="61"/>
        <v>0</v>
      </c>
      <c r="O139" s="167"/>
      <c r="P139" s="173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spans="1:26" ht="15.75" customHeight="1">
      <c r="A140" s="162"/>
      <c r="B140" s="162"/>
      <c r="C140" s="162"/>
      <c r="D140" s="162">
        <v>1</v>
      </c>
      <c r="E140" s="162" t="s">
        <v>291</v>
      </c>
      <c r="F140" s="277">
        <f t="shared" ref="F140:N140" si="62">SUM(F20,F30,F39,F48,F58,F68,F80,F88,F95,F106,F112,F120,F124,F131,F139)</f>
        <v>0</v>
      </c>
      <c r="G140" s="277">
        <f t="shared" si="62"/>
        <v>0</v>
      </c>
      <c r="H140" s="277">
        <f t="shared" si="62"/>
        <v>0</v>
      </c>
      <c r="I140" s="277">
        <f t="shared" si="62"/>
        <v>0</v>
      </c>
      <c r="J140" s="277">
        <f t="shared" si="62"/>
        <v>0</v>
      </c>
      <c r="K140" s="277">
        <f t="shared" si="62"/>
        <v>0</v>
      </c>
      <c r="L140" s="277">
        <f t="shared" si="62"/>
        <v>0</v>
      </c>
      <c r="M140" s="277">
        <f t="shared" si="62"/>
        <v>0</v>
      </c>
      <c r="N140" s="277">
        <f t="shared" si="62"/>
        <v>0</v>
      </c>
      <c r="O140" s="167"/>
      <c r="P140" s="173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spans="1:26" ht="15.75" customHeight="1">
      <c r="A141" s="136"/>
      <c r="B141" s="125"/>
      <c r="C141" s="125"/>
      <c r="D141" s="125"/>
      <c r="E141" s="125"/>
      <c r="F141" s="278"/>
      <c r="G141" s="200"/>
      <c r="H141" s="200"/>
      <c r="I141" s="200"/>
      <c r="J141" s="200"/>
      <c r="K141" s="200"/>
      <c r="L141" s="200"/>
      <c r="M141" s="200"/>
      <c r="N141" s="129">
        <f>SUM(F4:L4)</f>
        <v>0</v>
      </c>
      <c r="O141" s="167"/>
      <c r="P141" s="173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spans="1:26" ht="15.75" customHeight="1">
      <c r="A142" s="136"/>
      <c r="B142" s="125"/>
      <c r="C142" s="136"/>
      <c r="D142" s="136"/>
      <c r="E142" s="279" t="s">
        <v>2790</v>
      </c>
      <c r="F142" s="280"/>
      <c r="G142" s="281">
        <f>SUM(F4)</f>
        <v>0</v>
      </c>
      <c r="H142" s="281">
        <f>SUM(F4:G4)</f>
        <v>0</v>
      </c>
      <c r="I142" s="281">
        <f>SUM(F4:H4)</f>
        <v>0</v>
      </c>
      <c r="J142" s="281">
        <f>SUM(F4:I4)</f>
        <v>0</v>
      </c>
      <c r="K142" s="281">
        <f>SUM(F4:J4)</f>
        <v>0</v>
      </c>
      <c r="L142" s="281">
        <f>SUM(F4:K4)</f>
        <v>0</v>
      </c>
      <c r="M142" s="281">
        <f>SUM(F4:L4)</f>
        <v>0</v>
      </c>
      <c r="N142" s="129"/>
      <c r="O142" s="167"/>
      <c r="P142" s="173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spans="1:26" ht="15.75" customHeight="1">
      <c r="A143" s="136"/>
      <c r="B143" s="125"/>
      <c r="C143" s="136"/>
      <c r="D143" s="136"/>
      <c r="E143" s="282" t="s">
        <v>2791</v>
      </c>
      <c r="F143" s="283"/>
      <c r="G143" s="284">
        <f>SUM(F140:G140)</f>
        <v>0</v>
      </c>
      <c r="H143" s="284">
        <f>SUM(F140:H140)</f>
        <v>0</v>
      </c>
      <c r="I143" s="284">
        <f>SUM(F140:I140)</f>
        <v>0</v>
      </c>
      <c r="J143" s="284">
        <f>SUM(F140:J140)</f>
        <v>0</v>
      </c>
      <c r="K143" s="284">
        <f>SUM(F140:K140)</f>
        <v>0</v>
      </c>
      <c r="L143" s="284">
        <f>SUM(F140:L140)</f>
        <v>0</v>
      </c>
      <c r="M143" s="284">
        <f>SUM(F140:M140)</f>
        <v>0</v>
      </c>
      <c r="N143" s="129"/>
      <c r="O143" s="167"/>
      <c r="P143" s="285" t="s">
        <v>2791</v>
      </c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spans="1:26" ht="15.75" customHeight="1">
      <c r="A144" s="136"/>
      <c r="B144" s="125"/>
      <c r="C144" s="136"/>
      <c r="D144" s="136"/>
      <c r="E144" s="282" t="s">
        <v>2792</v>
      </c>
      <c r="F144" s="283"/>
      <c r="G144" s="281">
        <f t="shared" ref="G144:M144" si="63">G142-G143</f>
        <v>0</v>
      </c>
      <c r="H144" s="281">
        <f t="shared" si="63"/>
        <v>0</v>
      </c>
      <c r="I144" s="281">
        <f t="shared" si="63"/>
        <v>0</v>
      </c>
      <c r="J144" s="281">
        <f t="shared" si="63"/>
        <v>0</v>
      </c>
      <c r="K144" s="286">
        <f t="shared" si="63"/>
        <v>0</v>
      </c>
      <c r="L144" s="281">
        <f t="shared" si="63"/>
        <v>0</v>
      </c>
      <c r="M144" s="287">
        <f t="shared" si="63"/>
        <v>0</v>
      </c>
      <c r="N144" s="129"/>
      <c r="O144" s="167"/>
      <c r="P144" s="285" t="s">
        <v>2792</v>
      </c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spans="1:26" ht="15.75" customHeight="1">
      <c r="A145" s="136"/>
      <c r="B145" s="136"/>
      <c r="C145" s="136"/>
      <c r="D145" s="136"/>
      <c r="E145" s="288" t="s">
        <v>2793</v>
      </c>
      <c r="F145" s="126"/>
      <c r="G145" s="289"/>
      <c r="H145" s="289"/>
      <c r="I145" s="290"/>
      <c r="J145" s="289"/>
      <c r="K145" s="289"/>
      <c r="L145" s="289"/>
      <c r="M145" s="289"/>
      <c r="N145" s="129"/>
      <c r="O145" s="125"/>
      <c r="P145" s="173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spans="1:26" ht="15.75" customHeight="1">
      <c r="A146" s="125"/>
      <c r="B146" s="125"/>
      <c r="C146" s="125"/>
      <c r="D146" s="125"/>
      <c r="E146" s="125"/>
      <c r="F146" s="126"/>
      <c r="G146" s="125"/>
      <c r="H146" s="125"/>
      <c r="I146" s="125"/>
      <c r="J146" s="125"/>
      <c r="K146" s="125"/>
      <c r="L146" s="125"/>
      <c r="M146" s="125"/>
      <c r="N146" s="129"/>
      <c r="O146" s="125"/>
      <c r="P146" s="173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spans="1:26" ht="15.75" customHeight="1">
      <c r="A147" s="125"/>
      <c r="B147" s="125"/>
      <c r="C147" s="125"/>
      <c r="D147" s="125"/>
      <c r="E147" s="125"/>
      <c r="F147" s="126"/>
      <c r="G147" s="125"/>
      <c r="H147" s="125"/>
      <c r="I147" s="125"/>
      <c r="J147" s="125"/>
      <c r="K147" s="125"/>
      <c r="L147" s="125"/>
      <c r="M147" s="125"/>
      <c r="N147" s="129"/>
      <c r="O147" s="125"/>
      <c r="P147" s="173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spans="1:26" ht="15.75" customHeight="1">
      <c r="A148" s="125"/>
      <c r="B148" s="125"/>
      <c r="C148" s="125"/>
      <c r="D148" s="125"/>
      <c r="E148" s="125"/>
      <c r="F148" s="126"/>
      <c r="G148" s="125"/>
      <c r="H148" s="125"/>
      <c r="I148" s="125"/>
      <c r="J148" s="125"/>
      <c r="K148" s="125"/>
      <c r="L148" s="125"/>
      <c r="M148" s="125"/>
      <c r="N148" s="129"/>
      <c r="O148" s="125"/>
      <c r="P148" s="173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spans="1:26" ht="15.75" customHeight="1">
      <c r="A149" s="125"/>
      <c r="B149" s="125"/>
      <c r="C149" s="125"/>
      <c r="D149" s="125"/>
      <c r="E149" s="125"/>
      <c r="F149" s="126"/>
      <c r="G149" s="125"/>
      <c r="H149" s="125"/>
      <c r="I149" s="125"/>
      <c r="J149" s="125"/>
      <c r="K149" s="125"/>
      <c r="L149" s="125"/>
      <c r="M149" s="125"/>
      <c r="N149" s="129"/>
      <c r="O149" s="125"/>
      <c r="P149" s="173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spans="1:26" ht="15.75" customHeight="1">
      <c r="A150" s="125"/>
      <c r="B150" s="125"/>
      <c r="C150" s="125"/>
      <c r="D150" s="125"/>
      <c r="E150" s="125"/>
      <c r="F150" s="126"/>
      <c r="G150" s="125"/>
      <c r="H150" s="125"/>
      <c r="I150" s="125"/>
      <c r="J150" s="125"/>
      <c r="K150" s="125"/>
      <c r="L150" s="125"/>
      <c r="M150" s="125"/>
      <c r="N150" s="129"/>
      <c r="O150" s="125"/>
      <c r="P150" s="173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spans="1:26" ht="15.75" customHeight="1">
      <c r="A151" s="125"/>
      <c r="B151" s="125"/>
      <c r="C151" s="125"/>
      <c r="D151" s="125"/>
      <c r="E151" s="125"/>
      <c r="F151" s="126"/>
      <c r="G151" s="125"/>
      <c r="H151" s="125"/>
      <c r="I151" s="125"/>
      <c r="J151" s="125"/>
      <c r="K151" s="125"/>
      <c r="L151" s="125"/>
      <c r="M151" s="125"/>
      <c r="N151" s="129"/>
      <c r="O151" s="125"/>
      <c r="P151" s="173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spans="1:26" ht="15.75" customHeight="1">
      <c r="A152" s="125"/>
      <c r="B152" s="125"/>
      <c r="C152" s="125"/>
      <c r="D152" s="125"/>
      <c r="E152" s="125"/>
      <c r="F152" s="126"/>
      <c r="G152" s="125"/>
      <c r="H152" s="125"/>
      <c r="I152" s="125"/>
      <c r="J152" s="125"/>
      <c r="K152" s="125"/>
      <c r="L152" s="125"/>
      <c r="M152" s="125"/>
      <c r="N152" s="129"/>
      <c r="O152" s="125"/>
      <c r="P152" s="173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spans="1:26" ht="15.75" customHeight="1">
      <c r="A153" s="125"/>
      <c r="B153" s="125"/>
      <c r="C153" s="125"/>
      <c r="D153" s="125"/>
      <c r="E153" s="125"/>
      <c r="F153" s="126"/>
      <c r="G153" s="125"/>
      <c r="H153" s="125"/>
      <c r="I153" s="125"/>
      <c r="J153" s="125"/>
      <c r="K153" s="125"/>
      <c r="L153" s="125"/>
      <c r="M153" s="125"/>
      <c r="N153" s="129"/>
      <c r="O153" s="125"/>
      <c r="P153" s="173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spans="1:26" ht="15.75" customHeight="1">
      <c r="A154" s="125"/>
      <c r="B154" s="125"/>
      <c r="C154" s="125"/>
      <c r="D154" s="125"/>
      <c r="E154" s="125"/>
      <c r="F154" s="126"/>
      <c r="G154" s="125"/>
      <c r="H154" s="125"/>
      <c r="I154" s="125"/>
      <c r="J154" s="125"/>
      <c r="K154" s="125"/>
      <c r="L154" s="125"/>
      <c r="M154" s="125"/>
      <c r="N154" s="129"/>
      <c r="O154" s="125"/>
      <c r="P154" s="173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spans="1:26" ht="15.75" customHeight="1">
      <c r="A155" s="125"/>
      <c r="B155" s="125"/>
      <c r="C155" s="125"/>
      <c r="D155" s="125"/>
      <c r="E155" s="125"/>
      <c r="F155" s="126"/>
      <c r="G155" s="125"/>
      <c r="H155" s="125"/>
      <c r="I155" s="125"/>
      <c r="J155" s="125"/>
      <c r="K155" s="125"/>
      <c r="L155" s="125"/>
      <c r="M155" s="125"/>
      <c r="N155" s="129"/>
      <c r="O155" s="125"/>
      <c r="P155" s="173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spans="1:26" ht="15.75" customHeight="1">
      <c r="A156" s="125"/>
      <c r="B156" s="125"/>
      <c r="C156" s="125"/>
      <c r="D156" s="125"/>
      <c r="E156" s="125"/>
      <c r="F156" s="126"/>
      <c r="G156" s="125"/>
      <c r="H156" s="125"/>
      <c r="I156" s="125"/>
      <c r="J156" s="125"/>
      <c r="K156" s="125"/>
      <c r="L156" s="125"/>
      <c r="M156" s="125"/>
      <c r="N156" s="129"/>
      <c r="O156" s="125"/>
      <c r="P156" s="173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spans="1:26" ht="15.75" customHeight="1">
      <c r="A157" s="125"/>
      <c r="B157" s="125"/>
      <c r="C157" s="125"/>
      <c r="D157" s="125"/>
      <c r="E157" s="125"/>
      <c r="F157" s="126"/>
      <c r="G157" s="125"/>
      <c r="H157" s="125"/>
      <c r="I157" s="125"/>
      <c r="J157" s="125"/>
      <c r="K157" s="125"/>
      <c r="L157" s="125"/>
      <c r="M157" s="125"/>
      <c r="N157" s="129"/>
      <c r="O157" s="125"/>
      <c r="P157" s="173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spans="1:26" ht="15.75" customHeight="1">
      <c r="A158" s="125"/>
      <c r="B158" s="125"/>
      <c r="C158" s="125"/>
      <c r="D158" s="125"/>
      <c r="E158" s="125"/>
      <c r="F158" s="126"/>
      <c r="G158" s="125"/>
      <c r="H158" s="125"/>
      <c r="I158" s="125"/>
      <c r="J158" s="125"/>
      <c r="K158" s="125"/>
      <c r="L158" s="125"/>
      <c r="M158" s="125"/>
      <c r="N158" s="129"/>
      <c r="O158" s="125"/>
      <c r="P158" s="173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spans="1:26" ht="15.75" customHeight="1">
      <c r="A159" s="125"/>
      <c r="B159" s="125"/>
      <c r="C159" s="125"/>
      <c r="D159" s="125"/>
      <c r="E159" s="125"/>
      <c r="F159" s="126"/>
      <c r="G159" s="125"/>
      <c r="H159" s="125"/>
      <c r="I159" s="125"/>
      <c r="J159" s="125"/>
      <c r="K159" s="125"/>
      <c r="L159" s="125"/>
      <c r="M159" s="125"/>
      <c r="N159" s="129"/>
      <c r="O159" s="125"/>
      <c r="P159" s="173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spans="1:26" ht="15.75" customHeight="1">
      <c r="A160" s="125"/>
      <c r="B160" s="125"/>
      <c r="C160" s="125"/>
      <c r="D160" s="125"/>
      <c r="E160" s="125"/>
      <c r="F160" s="126"/>
      <c r="G160" s="125"/>
      <c r="H160" s="125"/>
      <c r="I160" s="125"/>
      <c r="J160" s="125"/>
      <c r="K160" s="125"/>
      <c r="L160" s="125"/>
      <c r="M160" s="125"/>
      <c r="N160" s="129"/>
      <c r="O160" s="125"/>
      <c r="P160" s="173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spans="1:26" ht="15.75" customHeight="1">
      <c r="A161" s="125"/>
      <c r="B161" s="125"/>
      <c r="C161" s="125"/>
      <c r="D161" s="125"/>
      <c r="E161" s="125"/>
      <c r="F161" s="126"/>
      <c r="G161" s="125"/>
      <c r="H161" s="125"/>
      <c r="I161" s="125"/>
      <c r="J161" s="125"/>
      <c r="K161" s="125"/>
      <c r="L161" s="125"/>
      <c r="M161" s="125"/>
      <c r="N161" s="129"/>
      <c r="O161" s="125"/>
      <c r="P161" s="173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spans="1:26" ht="15.75" customHeight="1">
      <c r="A162" s="125"/>
      <c r="B162" s="125"/>
      <c r="C162" s="125"/>
      <c r="D162" s="125"/>
      <c r="E162" s="125"/>
      <c r="F162" s="126"/>
      <c r="G162" s="125"/>
      <c r="H162" s="125"/>
      <c r="I162" s="125"/>
      <c r="J162" s="125"/>
      <c r="K162" s="125"/>
      <c r="L162" s="125"/>
      <c r="M162" s="125"/>
      <c r="N162" s="129"/>
      <c r="O162" s="125"/>
      <c r="P162" s="173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spans="1:26" ht="15.75" customHeight="1">
      <c r="A163" s="125"/>
      <c r="B163" s="125"/>
      <c r="C163" s="125"/>
      <c r="D163" s="125"/>
      <c r="E163" s="125"/>
      <c r="F163" s="126"/>
      <c r="G163" s="125"/>
      <c r="H163" s="125"/>
      <c r="I163" s="125"/>
      <c r="J163" s="125"/>
      <c r="K163" s="125"/>
      <c r="L163" s="125"/>
      <c r="M163" s="125"/>
      <c r="N163" s="129"/>
      <c r="O163" s="125"/>
      <c r="P163" s="173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spans="1:26" ht="15.75" customHeight="1">
      <c r="A164" s="125"/>
      <c r="B164" s="125"/>
      <c r="C164" s="125"/>
      <c r="D164" s="125"/>
      <c r="E164" s="125"/>
      <c r="F164" s="126"/>
      <c r="G164" s="125"/>
      <c r="H164" s="125"/>
      <c r="I164" s="125"/>
      <c r="J164" s="125"/>
      <c r="K164" s="125"/>
      <c r="L164" s="125"/>
      <c r="M164" s="125"/>
      <c r="N164" s="129"/>
      <c r="O164" s="125"/>
      <c r="P164" s="173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spans="1:26" ht="15.75" customHeight="1">
      <c r="A165" s="125"/>
      <c r="B165" s="125"/>
      <c r="C165" s="125"/>
      <c r="D165" s="125"/>
      <c r="E165" s="125"/>
      <c r="F165" s="126"/>
      <c r="G165" s="125"/>
      <c r="H165" s="125"/>
      <c r="I165" s="125"/>
      <c r="J165" s="125"/>
      <c r="K165" s="125"/>
      <c r="L165" s="125"/>
      <c r="M165" s="125"/>
      <c r="N165" s="129"/>
      <c r="O165" s="125"/>
      <c r="P165" s="173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spans="1:26" ht="15.75" customHeight="1">
      <c r="A166" s="125"/>
      <c r="B166" s="125"/>
      <c r="C166" s="125"/>
      <c r="D166" s="125"/>
      <c r="E166" s="125"/>
      <c r="F166" s="126"/>
      <c r="G166" s="125"/>
      <c r="H166" s="125"/>
      <c r="I166" s="125"/>
      <c r="J166" s="125"/>
      <c r="K166" s="125"/>
      <c r="L166" s="125"/>
      <c r="M166" s="125"/>
      <c r="N166" s="129"/>
      <c r="O166" s="125"/>
      <c r="P166" s="173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spans="1:26" ht="15.75" customHeight="1">
      <c r="A167" s="125"/>
      <c r="B167" s="125"/>
      <c r="C167" s="125"/>
      <c r="D167" s="125"/>
      <c r="E167" s="125"/>
      <c r="F167" s="126"/>
      <c r="G167" s="125"/>
      <c r="H167" s="125"/>
      <c r="I167" s="125"/>
      <c r="J167" s="125"/>
      <c r="K167" s="125"/>
      <c r="L167" s="125"/>
      <c r="M167" s="125"/>
      <c r="N167" s="129"/>
      <c r="O167" s="125"/>
      <c r="P167" s="173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spans="1:26" ht="15.75" customHeight="1">
      <c r="A168" s="125"/>
      <c r="B168" s="125"/>
      <c r="C168" s="125"/>
      <c r="D168" s="125"/>
      <c r="E168" s="125"/>
      <c r="F168" s="126"/>
      <c r="G168" s="125"/>
      <c r="H168" s="125"/>
      <c r="I168" s="125"/>
      <c r="J168" s="125"/>
      <c r="K168" s="125"/>
      <c r="L168" s="125"/>
      <c r="M168" s="125"/>
      <c r="N168" s="129"/>
      <c r="O168" s="125"/>
      <c r="P168" s="173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spans="1:26" ht="15.75" customHeight="1">
      <c r="A169" s="125"/>
      <c r="B169" s="125"/>
      <c r="C169" s="125"/>
      <c r="D169" s="125"/>
      <c r="E169" s="125"/>
      <c r="F169" s="126"/>
      <c r="G169" s="125"/>
      <c r="H169" s="125"/>
      <c r="I169" s="125"/>
      <c r="J169" s="125"/>
      <c r="K169" s="125"/>
      <c r="L169" s="125"/>
      <c r="M169" s="125"/>
      <c r="N169" s="129"/>
      <c r="O169" s="125"/>
      <c r="P169" s="173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spans="1:26" ht="15.75" customHeight="1">
      <c r="A170" s="125"/>
      <c r="B170" s="125"/>
      <c r="C170" s="125"/>
      <c r="D170" s="125"/>
      <c r="E170" s="125"/>
      <c r="F170" s="126"/>
      <c r="G170" s="125"/>
      <c r="H170" s="125"/>
      <c r="I170" s="125"/>
      <c r="J170" s="125"/>
      <c r="K170" s="125"/>
      <c r="L170" s="125"/>
      <c r="M170" s="125"/>
      <c r="N170" s="129"/>
      <c r="O170" s="125"/>
      <c r="P170" s="173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spans="1:26" ht="15.75" customHeight="1">
      <c r="A171" s="125"/>
      <c r="B171" s="125"/>
      <c r="C171" s="125"/>
      <c r="D171" s="125"/>
      <c r="E171" s="125"/>
      <c r="F171" s="126"/>
      <c r="G171" s="125"/>
      <c r="H171" s="125"/>
      <c r="I171" s="125"/>
      <c r="J171" s="125"/>
      <c r="K171" s="125"/>
      <c r="L171" s="125"/>
      <c r="M171" s="125"/>
      <c r="N171" s="129"/>
      <c r="O171" s="125"/>
      <c r="P171" s="173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spans="1:26" ht="15.75" customHeight="1">
      <c r="A172" s="125"/>
      <c r="B172" s="125"/>
      <c r="C172" s="125"/>
      <c r="D172" s="125"/>
      <c r="E172" s="125"/>
      <c r="F172" s="126"/>
      <c r="G172" s="125"/>
      <c r="H172" s="125"/>
      <c r="I172" s="125"/>
      <c r="J172" s="125"/>
      <c r="K172" s="125"/>
      <c r="L172" s="125"/>
      <c r="M172" s="125"/>
      <c r="N172" s="129"/>
      <c r="O172" s="125"/>
      <c r="P172" s="173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spans="1:26" ht="15.75" customHeight="1">
      <c r="A173" s="125"/>
      <c r="B173" s="125"/>
      <c r="C173" s="125"/>
      <c r="D173" s="125"/>
      <c r="E173" s="125"/>
      <c r="F173" s="126"/>
      <c r="G173" s="125"/>
      <c r="H173" s="125"/>
      <c r="I173" s="125"/>
      <c r="J173" s="125"/>
      <c r="K173" s="125"/>
      <c r="L173" s="125"/>
      <c r="M173" s="125"/>
      <c r="N173" s="129"/>
      <c r="O173" s="125"/>
      <c r="P173" s="173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spans="1:26" ht="15.75" customHeight="1">
      <c r="A174" s="125"/>
      <c r="B174" s="125"/>
      <c r="C174" s="125"/>
      <c r="D174" s="125"/>
      <c r="E174" s="125"/>
      <c r="F174" s="126"/>
      <c r="G174" s="125"/>
      <c r="H174" s="125"/>
      <c r="I174" s="125"/>
      <c r="J174" s="125"/>
      <c r="K174" s="125"/>
      <c r="L174" s="125"/>
      <c r="M174" s="125"/>
      <c r="N174" s="129"/>
      <c r="O174" s="125"/>
      <c r="P174" s="173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spans="1:26" ht="15.75" customHeight="1">
      <c r="A175" s="125"/>
      <c r="B175" s="125"/>
      <c r="C175" s="125"/>
      <c r="D175" s="125"/>
      <c r="E175" s="125"/>
      <c r="F175" s="126"/>
      <c r="G175" s="125"/>
      <c r="H175" s="125"/>
      <c r="I175" s="125"/>
      <c r="J175" s="125"/>
      <c r="K175" s="125"/>
      <c r="L175" s="125"/>
      <c r="M175" s="125"/>
      <c r="N175" s="129"/>
      <c r="O175" s="125"/>
      <c r="P175" s="173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spans="1:26" ht="15.75" customHeight="1">
      <c r="A176" s="125"/>
      <c r="B176" s="125"/>
      <c r="C176" s="125"/>
      <c r="D176" s="125"/>
      <c r="E176" s="125"/>
      <c r="F176" s="126"/>
      <c r="G176" s="125"/>
      <c r="H176" s="125"/>
      <c r="I176" s="125"/>
      <c r="J176" s="125"/>
      <c r="K176" s="125"/>
      <c r="L176" s="125"/>
      <c r="M176" s="125"/>
      <c r="N176" s="129"/>
      <c r="O176" s="125"/>
      <c r="P176" s="173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spans="1:26" ht="15.75" customHeight="1">
      <c r="A177" s="125"/>
      <c r="B177" s="125"/>
      <c r="C177" s="125"/>
      <c r="D177" s="125"/>
      <c r="E177" s="125"/>
      <c r="F177" s="126"/>
      <c r="G177" s="125"/>
      <c r="H177" s="125"/>
      <c r="I177" s="125"/>
      <c r="J177" s="125"/>
      <c r="K177" s="125"/>
      <c r="L177" s="125"/>
      <c r="M177" s="125"/>
      <c r="N177" s="129"/>
      <c r="O177" s="125"/>
      <c r="P177" s="173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spans="1:26" ht="15.75" customHeight="1">
      <c r="A178" s="125"/>
      <c r="B178" s="125"/>
      <c r="C178" s="125"/>
      <c r="D178" s="125"/>
      <c r="E178" s="125"/>
      <c r="F178" s="126"/>
      <c r="G178" s="125"/>
      <c r="H178" s="125"/>
      <c r="I178" s="125"/>
      <c r="J178" s="125"/>
      <c r="K178" s="125"/>
      <c r="L178" s="125"/>
      <c r="M178" s="125"/>
      <c r="N178" s="129"/>
      <c r="O178" s="125"/>
      <c r="P178" s="173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spans="1:26" ht="15.75" customHeight="1">
      <c r="A179" s="125"/>
      <c r="B179" s="125"/>
      <c r="C179" s="125"/>
      <c r="D179" s="125"/>
      <c r="E179" s="125"/>
      <c r="F179" s="126"/>
      <c r="G179" s="125"/>
      <c r="H179" s="125"/>
      <c r="I179" s="125"/>
      <c r="J179" s="125"/>
      <c r="K179" s="125"/>
      <c r="L179" s="125"/>
      <c r="M179" s="125"/>
      <c r="N179" s="129"/>
      <c r="O179" s="125"/>
      <c r="P179" s="173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spans="1:26" ht="15.75" customHeight="1">
      <c r="A180" s="125"/>
      <c r="B180" s="125"/>
      <c r="C180" s="125"/>
      <c r="D180" s="125"/>
      <c r="E180" s="125"/>
      <c r="F180" s="126"/>
      <c r="G180" s="125"/>
      <c r="H180" s="125"/>
      <c r="I180" s="125"/>
      <c r="J180" s="125"/>
      <c r="K180" s="125"/>
      <c r="L180" s="125"/>
      <c r="M180" s="125"/>
      <c r="N180" s="129"/>
      <c r="O180" s="125"/>
      <c r="P180" s="173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spans="1:26" ht="15.75" customHeight="1">
      <c r="A181" s="125"/>
      <c r="B181" s="125"/>
      <c r="C181" s="125"/>
      <c r="D181" s="125"/>
      <c r="E181" s="125"/>
      <c r="F181" s="126"/>
      <c r="G181" s="125"/>
      <c r="H181" s="125"/>
      <c r="I181" s="125"/>
      <c r="J181" s="125"/>
      <c r="K181" s="125"/>
      <c r="L181" s="125"/>
      <c r="M181" s="125"/>
      <c r="N181" s="129"/>
      <c r="O181" s="125"/>
      <c r="P181" s="173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spans="1:26" ht="15.75" customHeight="1">
      <c r="A182" s="125"/>
      <c r="B182" s="125"/>
      <c r="C182" s="125"/>
      <c r="D182" s="125"/>
      <c r="E182" s="125"/>
      <c r="F182" s="126"/>
      <c r="G182" s="125"/>
      <c r="H182" s="125"/>
      <c r="I182" s="125"/>
      <c r="J182" s="125"/>
      <c r="K182" s="125"/>
      <c r="L182" s="125"/>
      <c r="M182" s="125"/>
      <c r="N182" s="129"/>
      <c r="O182" s="125"/>
      <c r="P182" s="173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spans="1:26" ht="15.75" customHeight="1">
      <c r="A183" s="125"/>
      <c r="B183" s="125"/>
      <c r="C183" s="125"/>
      <c r="D183" s="125"/>
      <c r="E183" s="125"/>
      <c r="F183" s="126"/>
      <c r="G183" s="125"/>
      <c r="H183" s="125"/>
      <c r="I183" s="125"/>
      <c r="J183" s="125"/>
      <c r="K183" s="125"/>
      <c r="L183" s="125"/>
      <c r="M183" s="125"/>
      <c r="N183" s="129"/>
      <c r="O183" s="125"/>
      <c r="P183" s="173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spans="1:26" ht="15.75" customHeight="1">
      <c r="A184" s="125"/>
      <c r="B184" s="125"/>
      <c r="C184" s="125"/>
      <c r="D184" s="125"/>
      <c r="E184" s="125"/>
      <c r="F184" s="126"/>
      <c r="G184" s="125"/>
      <c r="H184" s="125"/>
      <c r="I184" s="125"/>
      <c r="J184" s="125"/>
      <c r="K184" s="125"/>
      <c r="L184" s="125"/>
      <c r="M184" s="125"/>
      <c r="N184" s="129"/>
      <c r="O184" s="125"/>
      <c r="P184" s="173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spans="1:26" ht="15.75" customHeight="1">
      <c r="A185" s="125"/>
      <c r="B185" s="125"/>
      <c r="C185" s="125"/>
      <c r="D185" s="125"/>
      <c r="E185" s="125"/>
      <c r="F185" s="126"/>
      <c r="G185" s="125"/>
      <c r="H185" s="125"/>
      <c r="I185" s="125"/>
      <c r="J185" s="125"/>
      <c r="K185" s="125"/>
      <c r="L185" s="125"/>
      <c r="M185" s="125"/>
      <c r="N185" s="129"/>
      <c r="O185" s="125"/>
      <c r="P185" s="173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spans="1:26" ht="15.75" customHeight="1">
      <c r="A186" s="125"/>
      <c r="B186" s="125"/>
      <c r="C186" s="125"/>
      <c r="D186" s="125"/>
      <c r="E186" s="125"/>
      <c r="F186" s="126"/>
      <c r="G186" s="125"/>
      <c r="H186" s="125"/>
      <c r="I186" s="125"/>
      <c r="J186" s="125"/>
      <c r="K186" s="125"/>
      <c r="L186" s="125"/>
      <c r="M186" s="125"/>
      <c r="N186" s="129"/>
      <c r="O186" s="125"/>
      <c r="P186" s="173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spans="1:26" ht="15.75" customHeight="1">
      <c r="A187" s="125"/>
      <c r="B187" s="125"/>
      <c r="C187" s="125"/>
      <c r="D187" s="125"/>
      <c r="E187" s="125"/>
      <c r="F187" s="126"/>
      <c r="G187" s="125"/>
      <c r="H187" s="125"/>
      <c r="I187" s="125"/>
      <c r="J187" s="125"/>
      <c r="K187" s="125"/>
      <c r="L187" s="125"/>
      <c r="M187" s="125"/>
      <c r="N187" s="129"/>
      <c r="O187" s="125"/>
      <c r="P187" s="173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spans="1:26" ht="15.75" customHeight="1">
      <c r="A188" s="125"/>
      <c r="B188" s="125"/>
      <c r="C188" s="125"/>
      <c r="D188" s="125"/>
      <c r="E188" s="125"/>
      <c r="F188" s="126"/>
      <c r="G188" s="125"/>
      <c r="H188" s="125"/>
      <c r="I188" s="125"/>
      <c r="J188" s="125"/>
      <c r="K188" s="125"/>
      <c r="L188" s="125"/>
      <c r="M188" s="125"/>
      <c r="N188" s="129"/>
      <c r="O188" s="125"/>
      <c r="P188" s="173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spans="1:26" ht="15.75" customHeight="1">
      <c r="A189" s="125"/>
      <c r="B189" s="125"/>
      <c r="C189" s="125"/>
      <c r="D189" s="125"/>
      <c r="E189" s="125"/>
      <c r="F189" s="126"/>
      <c r="G189" s="125"/>
      <c r="H189" s="125"/>
      <c r="I189" s="125"/>
      <c r="J189" s="125"/>
      <c r="K189" s="125"/>
      <c r="L189" s="125"/>
      <c r="M189" s="125"/>
      <c r="N189" s="129"/>
      <c r="O189" s="125"/>
      <c r="P189" s="173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spans="1:26" ht="15.75" customHeight="1">
      <c r="A190" s="125"/>
      <c r="B190" s="125"/>
      <c r="C190" s="125"/>
      <c r="D190" s="125"/>
      <c r="E190" s="125"/>
      <c r="F190" s="126"/>
      <c r="G190" s="125"/>
      <c r="H190" s="125"/>
      <c r="I190" s="125"/>
      <c r="J190" s="125"/>
      <c r="K190" s="125"/>
      <c r="L190" s="125"/>
      <c r="M190" s="125"/>
      <c r="N190" s="129"/>
      <c r="O190" s="125"/>
      <c r="P190" s="173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spans="1:26" ht="15.75" customHeight="1">
      <c r="A191" s="125"/>
      <c r="B191" s="125"/>
      <c r="C191" s="125"/>
      <c r="D191" s="125"/>
      <c r="E191" s="125"/>
      <c r="F191" s="126"/>
      <c r="G191" s="125"/>
      <c r="H191" s="125"/>
      <c r="I191" s="125"/>
      <c r="J191" s="125"/>
      <c r="K191" s="125"/>
      <c r="L191" s="125"/>
      <c r="M191" s="125"/>
      <c r="N191" s="129"/>
      <c r="O191" s="125"/>
      <c r="P191" s="173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spans="1:26" ht="15.75" customHeight="1">
      <c r="A192" s="125"/>
      <c r="B192" s="125"/>
      <c r="C192" s="125"/>
      <c r="D192" s="125"/>
      <c r="E192" s="125"/>
      <c r="F192" s="126"/>
      <c r="G192" s="125"/>
      <c r="H192" s="125"/>
      <c r="I192" s="125"/>
      <c r="J192" s="125"/>
      <c r="K192" s="125"/>
      <c r="L192" s="125"/>
      <c r="M192" s="125"/>
      <c r="N192" s="129"/>
      <c r="O192" s="125"/>
      <c r="P192" s="173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spans="1:26" ht="15.75" customHeight="1">
      <c r="A193" s="125"/>
      <c r="B193" s="125"/>
      <c r="C193" s="125"/>
      <c r="D193" s="125"/>
      <c r="E193" s="125"/>
      <c r="F193" s="126"/>
      <c r="G193" s="125"/>
      <c r="H193" s="125"/>
      <c r="I193" s="125"/>
      <c r="J193" s="125"/>
      <c r="K193" s="125"/>
      <c r="L193" s="125"/>
      <c r="M193" s="125"/>
      <c r="N193" s="129"/>
      <c r="O193" s="125"/>
      <c r="P193" s="173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spans="1:26" ht="15.75" customHeight="1">
      <c r="A194" s="125"/>
      <c r="B194" s="125"/>
      <c r="C194" s="125"/>
      <c r="D194" s="125"/>
      <c r="E194" s="125"/>
      <c r="F194" s="126"/>
      <c r="G194" s="125"/>
      <c r="H194" s="125"/>
      <c r="I194" s="125"/>
      <c r="J194" s="125"/>
      <c r="K194" s="125"/>
      <c r="L194" s="125"/>
      <c r="M194" s="125"/>
      <c r="N194" s="129"/>
      <c r="O194" s="125"/>
      <c r="P194" s="173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spans="1:26" ht="15.75" customHeight="1">
      <c r="A195" s="125"/>
      <c r="B195" s="125"/>
      <c r="C195" s="125"/>
      <c r="D195" s="125"/>
      <c r="E195" s="125"/>
      <c r="F195" s="126"/>
      <c r="G195" s="125"/>
      <c r="H195" s="125"/>
      <c r="I195" s="125"/>
      <c r="J195" s="125"/>
      <c r="K195" s="125"/>
      <c r="L195" s="125"/>
      <c r="M195" s="125"/>
      <c r="N195" s="129"/>
      <c r="O195" s="125"/>
      <c r="P195" s="173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spans="1:26" ht="15.75" customHeight="1">
      <c r="A196" s="125"/>
      <c r="B196" s="125"/>
      <c r="C196" s="125"/>
      <c r="D196" s="125"/>
      <c r="E196" s="125"/>
      <c r="F196" s="126"/>
      <c r="G196" s="125"/>
      <c r="H196" s="125"/>
      <c r="I196" s="125"/>
      <c r="J196" s="125"/>
      <c r="K196" s="125"/>
      <c r="L196" s="125"/>
      <c r="M196" s="125"/>
      <c r="N196" s="129"/>
      <c r="O196" s="125"/>
      <c r="P196" s="173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spans="1:26" ht="15.75" customHeight="1">
      <c r="A197" s="125"/>
      <c r="B197" s="125"/>
      <c r="C197" s="125"/>
      <c r="D197" s="125"/>
      <c r="E197" s="125"/>
      <c r="F197" s="126"/>
      <c r="G197" s="125"/>
      <c r="H197" s="125"/>
      <c r="I197" s="125"/>
      <c r="J197" s="125"/>
      <c r="K197" s="125"/>
      <c r="L197" s="125"/>
      <c r="M197" s="125"/>
      <c r="N197" s="129"/>
      <c r="O197" s="125"/>
      <c r="P197" s="173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spans="1:26" ht="15.75" customHeight="1">
      <c r="A198" s="125"/>
      <c r="B198" s="125"/>
      <c r="C198" s="125"/>
      <c r="D198" s="125"/>
      <c r="E198" s="125"/>
      <c r="F198" s="126"/>
      <c r="G198" s="125"/>
      <c r="H198" s="125"/>
      <c r="I198" s="125"/>
      <c r="J198" s="125"/>
      <c r="K198" s="125"/>
      <c r="L198" s="125"/>
      <c r="M198" s="125"/>
      <c r="N198" s="129"/>
      <c r="O198" s="125"/>
      <c r="P198" s="173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spans="1:26" ht="15.75" customHeight="1">
      <c r="A199" s="125"/>
      <c r="B199" s="125"/>
      <c r="C199" s="125"/>
      <c r="D199" s="125"/>
      <c r="E199" s="125"/>
      <c r="F199" s="126"/>
      <c r="G199" s="125"/>
      <c r="H199" s="125"/>
      <c r="I199" s="125"/>
      <c r="J199" s="125"/>
      <c r="K199" s="125"/>
      <c r="L199" s="125"/>
      <c r="M199" s="125"/>
      <c r="N199" s="129"/>
      <c r="O199" s="125"/>
      <c r="P199" s="173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spans="1:26" ht="15.75" customHeight="1">
      <c r="A200" s="125"/>
      <c r="B200" s="125"/>
      <c r="C200" s="125"/>
      <c r="D200" s="125"/>
      <c r="E200" s="125"/>
      <c r="F200" s="126"/>
      <c r="G200" s="125"/>
      <c r="H200" s="125"/>
      <c r="I200" s="125"/>
      <c r="J200" s="125"/>
      <c r="K200" s="125"/>
      <c r="L200" s="125"/>
      <c r="M200" s="125"/>
      <c r="N200" s="129"/>
      <c r="O200" s="125"/>
      <c r="P200" s="173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spans="1:26" ht="15.75" customHeight="1">
      <c r="A201" s="125"/>
      <c r="B201" s="125"/>
      <c r="C201" s="125"/>
      <c r="D201" s="125"/>
      <c r="E201" s="125"/>
      <c r="F201" s="126"/>
      <c r="G201" s="125"/>
      <c r="H201" s="125"/>
      <c r="I201" s="125"/>
      <c r="J201" s="125"/>
      <c r="K201" s="125"/>
      <c r="L201" s="125"/>
      <c r="M201" s="125"/>
      <c r="N201" s="129"/>
      <c r="O201" s="125"/>
      <c r="P201" s="173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spans="1:26" ht="15.75" customHeight="1">
      <c r="A202" s="125"/>
      <c r="B202" s="125"/>
      <c r="C202" s="125"/>
      <c r="D202" s="125"/>
      <c r="E202" s="125"/>
      <c r="F202" s="126"/>
      <c r="G202" s="125"/>
      <c r="H202" s="125"/>
      <c r="I202" s="125"/>
      <c r="J202" s="125"/>
      <c r="K202" s="125"/>
      <c r="L202" s="125"/>
      <c r="M202" s="125"/>
      <c r="N202" s="129"/>
      <c r="O202" s="125"/>
      <c r="P202" s="173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spans="1:26" ht="15.75" customHeight="1">
      <c r="A203" s="125"/>
      <c r="B203" s="125"/>
      <c r="C203" s="125"/>
      <c r="D203" s="125"/>
      <c r="E203" s="125"/>
      <c r="F203" s="126"/>
      <c r="G203" s="125"/>
      <c r="H203" s="125"/>
      <c r="I203" s="125"/>
      <c r="J203" s="125"/>
      <c r="K203" s="125"/>
      <c r="L203" s="125"/>
      <c r="M203" s="125"/>
      <c r="N203" s="129"/>
      <c r="O203" s="125"/>
      <c r="P203" s="173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spans="1:26" ht="15.75" customHeight="1">
      <c r="A204" s="125"/>
      <c r="B204" s="125"/>
      <c r="C204" s="125"/>
      <c r="D204" s="125"/>
      <c r="E204" s="125"/>
      <c r="F204" s="126"/>
      <c r="G204" s="125"/>
      <c r="H204" s="125"/>
      <c r="I204" s="125"/>
      <c r="J204" s="125"/>
      <c r="K204" s="125"/>
      <c r="L204" s="125"/>
      <c r="M204" s="125"/>
      <c r="N204" s="129"/>
      <c r="O204" s="125"/>
      <c r="P204" s="173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spans="1:26" ht="15.75" customHeight="1">
      <c r="A205" s="125"/>
      <c r="B205" s="125"/>
      <c r="C205" s="125"/>
      <c r="D205" s="125"/>
      <c r="E205" s="125"/>
      <c r="F205" s="126"/>
      <c r="G205" s="125"/>
      <c r="H205" s="125"/>
      <c r="I205" s="125"/>
      <c r="J205" s="125"/>
      <c r="K205" s="125"/>
      <c r="L205" s="125"/>
      <c r="M205" s="125"/>
      <c r="N205" s="129"/>
      <c r="O205" s="125"/>
      <c r="P205" s="173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spans="1:26" ht="15.75" customHeight="1">
      <c r="A206" s="125"/>
      <c r="B206" s="125"/>
      <c r="C206" s="125"/>
      <c r="D206" s="125"/>
      <c r="E206" s="125"/>
      <c r="F206" s="126"/>
      <c r="G206" s="125"/>
      <c r="H206" s="125"/>
      <c r="I206" s="125"/>
      <c r="J206" s="125"/>
      <c r="K206" s="125"/>
      <c r="L206" s="125"/>
      <c r="M206" s="125"/>
      <c r="N206" s="129"/>
      <c r="O206" s="125"/>
      <c r="P206" s="173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spans="1:26" ht="15.75" customHeight="1">
      <c r="A207" s="125"/>
      <c r="B207" s="125"/>
      <c r="C207" s="125"/>
      <c r="D207" s="125"/>
      <c r="E207" s="125"/>
      <c r="F207" s="126"/>
      <c r="G207" s="125"/>
      <c r="H207" s="125"/>
      <c r="I207" s="125"/>
      <c r="J207" s="125"/>
      <c r="K207" s="125"/>
      <c r="L207" s="125"/>
      <c r="M207" s="125"/>
      <c r="N207" s="129"/>
      <c r="O207" s="125"/>
      <c r="P207" s="173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spans="1:26" ht="15.75" customHeight="1">
      <c r="A208" s="125"/>
      <c r="B208" s="125"/>
      <c r="C208" s="125"/>
      <c r="D208" s="125"/>
      <c r="E208" s="125"/>
      <c r="F208" s="126"/>
      <c r="G208" s="125"/>
      <c r="H208" s="125"/>
      <c r="I208" s="125"/>
      <c r="J208" s="125"/>
      <c r="K208" s="125"/>
      <c r="L208" s="125"/>
      <c r="M208" s="125"/>
      <c r="N208" s="129"/>
      <c r="O208" s="125"/>
      <c r="P208" s="173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spans="1:26" ht="15.75" customHeight="1">
      <c r="A209" s="125"/>
      <c r="B209" s="125"/>
      <c r="C209" s="125"/>
      <c r="D209" s="125"/>
      <c r="E209" s="125"/>
      <c r="F209" s="126"/>
      <c r="G209" s="125"/>
      <c r="H209" s="125"/>
      <c r="I209" s="125"/>
      <c r="J209" s="125"/>
      <c r="K209" s="125"/>
      <c r="L209" s="125"/>
      <c r="M209" s="125"/>
      <c r="N209" s="129"/>
      <c r="O209" s="125"/>
      <c r="P209" s="173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spans="1:26" ht="15.75" customHeight="1">
      <c r="A210" s="125"/>
      <c r="B210" s="125"/>
      <c r="C210" s="125"/>
      <c r="D210" s="125"/>
      <c r="E210" s="125"/>
      <c r="F210" s="126"/>
      <c r="G210" s="125"/>
      <c r="H210" s="125"/>
      <c r="I210" s="125"/>
      <c r="J210" s="125"/>
      <c r="K210" s="125"/>
      <c r="L210" s="125"/>
      <c r="M210" s="125"/>
      <c r="N210" s="129"/>
      <c r="O210" s="125"/>
      <c r="P210" s="173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spans="1:26" ht="15.75" customHeight="1">
      <c r="A211" s="125"/>
      <c r="B211" s="125"/>
      <c r="C211" s="125"/>
      <c r="D211" s="125"/>
      <c r="E211" s="125"/>
      <c r="F211" s="126"/>
      <c r="G211" s="125"/>
      <c r="H211" s="125"/>
      <c r="I211" s="125"/>
      <c r="J211" s="125"/>
      <c r="K211" s="125"/>
      <c r="L211" s="125"/>
      <c r="M211" s="125"/>
      <c r="N211" s="129"/>
      <c r="O211" s="125"/>
      <c r="P211" s="173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spans="1:26" ht="15.75" customHeight="1">
      <c r="A212" s="125"/>
      <c r="B212" s="125"/>
      <c r="C212" s="125"/>
      <c r="D212" s="125"/>
      <c r="E212" s="125"/>
      <c r="F212" s="126"/>
      <c r="G212" s="125"/>
      <c r="H212" s="125"/>
      <c r="I212" s="125"/>
      <c r="J212" s="125"/>
      <c r="K212" s="125"/>
      <c r="L212" s="125"/>
      <c r="M212" s="125"/>
      <c r="N212" s="129"/>
      <c r="O212" s="125"/>
      <c r="P212" s="173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spans="1:26" ht="15.75" customHeight="1">
      <c r="A213" s="125"/>
      <c r="B213" s="125"/>
      <c r="C213" s="125"/>
      <c r="D213" s="125"/>
      <c r="E213" s="125"/>
      <c r="F213" s="126"/>
      <c r="G213" s="125"/>
      <c r="H213" s="125"/>
      <c r="I213" s="125"/>
      <c r="J213" s="125"/>
      <c r="K213" s="125"/>
      <c r="L213" s="125"/>
      <c r="M213" s="125"/>
      <c r="N213" s="129"/>
      <c r="O213" s="125"/>
      <c r="P213" s="173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spans="1:26" ht="15.75" customHeight="1">
      <c r="A214" s="125"/>
      <c r="B214" s="125"/>
      <c r="C214" s="125"/>
      <c r="D214" s="125"/>
      <c r="E214" s="125"/>
      <c r="F214" s="126"/>
      <c r="G214" s="125"/>
      <c r="H214" s="125"/>
      <c r="I214" s="125"/>
      <c r="J214" s="125"/>
      <c r="K214" s="125"/>
      <c r="L214" s="125"/>
      <c r="M214" s="125"/>
      <c r="N214" s="129"/>
      <c r="O214" s="125"/>
      <c r="P214" s="173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spans="1:26" ht="15.75" customHeight="1">
      <c r="A215" s="125"/>
      <c r="B215" s="125"/>
      <c r="C215" s="125"/>
      <c r="D215" s="125"/>
      <c r="E215" s="125"/>
      <c r="F215" s="126"/>
      <c r="G215" s="125"/>
      <c r="H215" s="125"/>
      <c r="I215" s="125"/>
      <c r="J215" s="125"/>
      <c r="K215" s="125"/>
      <c r="L215" s="125"/>
      <c r="M215" s="125"/>
      <c r="N215" s="129"/>
      <c r="O215" s="125"/>
      <c r="P215" s="173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spans="1:26" ht="15.75" customHeight="1">
      <c r="A216" s="125"/>
      <c r="B216" s="125"/>
      <c r="C216" s="125"/>
      <c r="D216" s="125"/>
      <c r="E216" s="125"/>
      <c r="F216" s="126"/>
      <c r="G216" s="125"/>
      <c r="H216" s="125"/>
      <c r="I216" s="125"/>
      <c r="J216" s="125"/>
      <c r="K216" s="125"/>
      <c r="L216" s="125"/>
      <c r="M216" s="125"/>
      <c r="N216" s="129"/>
      <c r="O216" s="125"/>
      <c r="P216" s="173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spans="1:26" ht="15.75" customHeight="1">
      <c r="A217" s="125"/>
      <c r="B217" s="125"/>
      <c r="C217" s="125"/>
      <c r="D217" s="125"/>
      <c r="E217" s="125"/>
      <c r="F217" s="126"/>
      <c r="G217" s="125"/>
      <c r="H217" s="125"/>
      <c r="I217" s="125"/>
      <c r="J217" s="125"/>
      <c r="K217" s="125"/>
      <c r="L217" s="125"/>
      <c r="M217" s="125"/>
      <c r="N217" s="129"/>
      <c r="O217" s="125"/>
      <c r="P217" s="173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spans="1:26" ht="15.75" customHeight="1">
      <c r="A218" s="125"/>
      <c r="B218" s="125"/>
      <c r="C218" s="125"/>
      <c r="D218" s="125"/>
      <c r="E218" s="125"/>
      <c r="F218" s="126"/>
      <c r="G218" s="125"/>
      <c r="H218" s="125"/>
      <c r="I218" s="125"/>
      <c r="J218" s="125"/>
      <c r="K218" s="125"/>
      <c r="L218" s="125"/>
      <c r="M218" s="125"/>
      <c r="N218" s="129"/>
      <c r="O218" s="125"/>
      <c r="P218" s="173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spans="1:26" ht="15.75" customHeight="1">
      <c r="A219" s="125"/>
      <c r="B219" s="125"/>
      <c r="C219" s="125"/>
      <c r="D219" s="125"/>
      <c r="E219" s="125"/>
      <c r="F219" s="126"/>
      <c r="G219" s="125"/>
      <c r="H219" s="125"/>
      <c r="I219" s="125"/>
      <c r="J219" s="125"/>
      <c r="K219" s="125"/>
      <c r="L219" s="125"/>
      <c r="M219" s="125"/>
      <c r="N219" s="129"/>
      <c r="O219" s="125"/>
      <c r="P219" s="173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spans="1:26" ht="15.75" customHeight="1">
      <c r="A220" s="125"/>
      <c r="B220" s="125"/>
      <c r="C220" s="125"/>
      <c r="D220" s="125"/>
      <c r="E220" s="125"/>
      <c r="F220" s="126"/>
      <c r="G220" s="125"/>
      <c r="H220" s="125"/>
      <c r="I220" s="125"/>
      <c r="J220" s="125"/>
      <c r="K220" s="125"/>
      <c r="L220" s="125"/>
      <c r="M220" s="125"/>
      <c r="N220" s="129"/>
      <c r="O220" s="125"/>
      <c r="P220" s="173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spans="1:26" ht="15.75" customHeight="1">
      <c r="A221" s="125"/>
      <c r="B221" s="125"/>
      <c r="C221" s="125"/>
      <c r="D221" s="125"/>
      <c r="E221" s="125"/>
      <c r="F221" s="126"/>
      <c r="G221" s="125"/>
      <c r="H221" s="125"/>
      <c r="I221" s="125"/>
      <c r="J221" s="125"/>
      <c r="K221" s="125"/>
      <c r="L221" s="125"/>
      <c r="M221" s="125"/>
      <c r="N221" s="129"/>
      <c r="O221" s="125"/>
      <c r="P221" s="173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spans="1:26" ht="15.75" customHeight="1">
      <c r="A222" s="125"/>
      <c r="B222" s="125"/>
      <c r="C222" s="125"/>
      <c r="D222" s="125"/>
      <c r="E222" s="125"/>
      <c r="F222" s="126"/>
      <c r="G222" s="125"/>
      <c r="H222" s="125"/>
      <c r="I222" s="125"/>
      <c r="J222" s="125"/>
      <c r="K222" s="125"/>
      <c r="L222" s="125"/>
      <c r="M222" s="125"/>
      <c r="N222" s="129"/>
      <c r="O222" s="125"/>
      <c r="P222" s="173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spans="1:26" ht="15.75" customHeight="1">
      <c r="A223" s="125"/>
      <c r="B223" s="125"/>
      <c r="C223" s="125"/>
      <c r="D223" s="125"/>
      <c r="E223" s="125"/>
      <c r="F223" s="126"/>
      <c r="G223" s="125"/>
      <c r="H223" s="125"/>
      <c r="I223" s="125"/>
      <c r="J223" s="125"/>
      <c r="K223" s="125"/>
      <c r="L223" s="125"/>
      <c r="M223" s="125"/>
      <c r="N223" s="129"/>
      <c r="O223" s="125"/>
      <c r="P223" s="173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spans="1:26" ht="15.75" customHeight="1">
      <c r="A224" s="125"/>
      <c r="B224" s="125"/>
      <c r="C224" s="125"/>
      <c r="D224" s="125"/>
      <c r="E224" s="125"/>
      <c r="F224" s="126"/>
      <c r="G224" s="125"/>
      <c r="H224" s="125"/>
      <c r="I224" s="125"/>
      <c r="J224" s="125"/>
      <c r="K224" s="125"/>
      <c r="L224" s="125"/>
      <c r="M224" s="125"/>
      <c r="N224" s="129"/>
      <c r="O224" s="125"/>
      <c r="P224" s="173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spans="1:26" ht="15.75" customHeight="1">
      <c r="A225" s="125"/>
      <c r="B225" s="125"/>
      <c r="C225" s="125"/>
      <c r="D225" s="125"/>
      <c r="E225" s="125"/>
      <c r="F225" s="126"/>
      <c r="G225" s="125"/>
      <c r="H225" s="125"/>
      <c r="I225" s="125"/>
      <c r="J225" s="125"/>
      <c r="K225" s="125"/>
      <c r="L225" s="125"/>
      <c r="M225" s="125"/>
      <c r="N225" s="129"/>
      <c r="O225" s="125"/>
      <c r="P225" s="173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spans="1:26" ht="15.75" customHeight="1">
      <c r="A226" s="125"/>
      <c r="B226" s="125"/>
      <c r="C226" s="125"/>
      <c r="D226" s="125"/>
      <c r="E226" s="125"/>
      <c r="F226" s="126"/>
      <c r="G226" s="125"/>
      <c r="H226" s="125"/>
      <c r="I226" s="125"/>
      <c r="J226" s="125"/>
      <c r="K226" s="125"/>
      <c r="L226" s="125"/>
      <c r="M226" s="125"/>
      <c r="N226" s="129"/>
      <c r="O226" s="125"/>
      <c r="P226" s="173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spans="1:26" ht="15.75" customHeight="1">
      <c r="A227" s="125"/>
      <c r="B227" s="125"/>
      <c r="C227" s="125"/>
      <c r="D227" s="125"/>
      <c r="E227" s="125"/>
      <c r="F227" s="126"/>
      <c r="G227" s="125"/>
      <c r="H227" s="125"/>
      <c r="I227" s="125"/>
      <c r="J227" s="125"/>
      <c r="K227" s="125"/>
      <c r="L227" s="125"/>
      <c r="M227" s="125"/>
      <c r="N227" s="129"/>
      <c r="O227" s="125"/>
      <c r="P227" s="173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spans="1:26" ht="15.75" customHeight="1">
      <c r="A228" s="125"/>
      <c r="B228" s="125"/>
      <c r="C228" s="125"/>
      <c r="D228" s="125"/>
      <c r="E228" s="125"/>
      <c r="F228" s="126"/>
      <c r="G228" s="125"/>
      <c r="H228" s="125"/>
      <c r="I228" s="125"/>
      <c r="J228" s="125"/>
      <c r="K228" s="125"/>
      <c r="L228" s="125"/>
      <c r="M228" s="125"/>
      <c r="N228" s="129"/>
      <c r="O228" s="125"/>
      <c r="P228" s="173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spans="1:26" ht="15.75" customHeight="1">
      <c r="A229" s="125"/>
      <c r="B229" s="125"/>
      <c r="C229" s="125"/>
      <c r="D229" s="125"/>
      <c r="E229" s="125"/>
      <c r="F229" s="126"/>
      <c r="G229" s="125"/>
      <c r="H229" s="125"/>
      <c r="I229" s="125"/>
      <c r="J229" s="125"/>
      <c r="K229" s="125"/>
      <c r="L229" s="125"/>
      <c r="M229" s="125"/>
      <c r="N229" s="129"/>
      <c r="O229" s="125"/>
      <c r="P229" s="173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spans="1:26" ht="15.75" customHeight="1">
      <c r="A230" s="125"/>
      <c r="B230" s="125"/>
      <c r="C230" s="125"/>
      <c r="D230" s="125"/>
      <c r="E230" s="125"/>
      <c r="F230" s="126"/>
      <c r="G230" s="125"/>
      <c r="H230" s="125"/>
      <c r="I230" s="125"/>
      <c r="J230" s="125"/>
      <c r="K230" s="125"/>
      <c r="L230" s="125"/>
      <c r="M230" s="125"/>
      <c r="N230" s="129"/>
      <c r="O230" s="125"/>
      <c r="P230" s="173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spans="1:26" ht="15.75" customHeight="1">
      <c r="A231" s="125"/>
      <c r="B231" s="125"/>
      <c r="C231" s="125"/>
      <c r="D231" s="125"/>
      <c r="E231" s="125"/>
      <c r="F231" s="126"/>
      <c r="G231" s="125"/>
      <c r="H231" s="125"/>
      <c r="I231" s="125"/>
      <c r="J231" s="125"/>
      <c r="K231" s="125"/>
      <c r="L231" s="125"/>
      <c r="M231" s="125"/>
      <c r="N231" s="129"/>
      <c r="O231" s="125"/>
      <c r="P231" s="173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spans="1:26" ht="15.75" customHeight="1">
      <c r="A232" s="125"/>
      <c r="B232" s="125"/>
      <c r="C232" s="125"/>
      <c r="D232" s="125"/>
      <c r="E232" s="125"/>
      <c r="F232" s="126"/>
      <c r="G232" s="125"/>
      <c r="H232" s="125"/>
      <c r="I232" s="125"/>
      <c r="J232" s="125"/>
      <c r="K232" s="125"/>
      <c r="L232" s="125"/>
      <c r="M232" s="125"/>
      <c r="N232" s="129"/>
      <c r="O232" s="125"/>
      <c r="P232" s="173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spans="1:26" ht="15.75" customHeight="1">
      <c r="A233" s="125"/>
      <c r="B233" s="125"/>
      <c r="C233" s="125"/>
      <c r="D233" s="125"/>
      <c r="E233" s="125"/>
      <c r="F233" s="126"/>
      <c r="G233" s="125"/>
      <c r="H233" s="125"/>
      <c r="I233" s="125"/>
      <c r="J233" s="125"/>
      <c r="K233" s="125"/>
      <c r="L233" s="125"/>
      <c r="M233" s="125"/>
      <c r="N233" s="129"/>
      <c r="O233" s="125"/>
      <c r="P233" s="173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spans="1:26" ht="15.75" customHeight="1">
      <c r="A234" s="125"/>
      <c r="B234" s="125"/>
      <c r="C234" s="125"/>
      <c r="D234" s="125"/>
      <c r="E234" s="125"/>
      <c r="F234" s="126"/>
      <c r="G234" s="125"/>
      <c r="H234" s="125"/>
      <c r="I234" s="125"/>
      <c r="J234" s="125"/>
      <c r="K234" s="125"/>
      <c r="L234" s="125"/>
      <c r="M234" s="125"/>
      <c r="N234" s="129"/>
      <c r="O234" s="125"/>
      <c r="P234" s="173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spans="1:26" ht="15.75" customHeight="1">
      <c r="A235" s="125"/>
      <c r="B235" s="125"/>
      <c r="C235" s="125"/>
      <c r="D235" s="125"/>
      <c r="E235" s="125"/>
      <c r="F235" s="126"/>
      <c r="G235" s="125"/>
      <c r="H235" s="125"/>
      <c r="I235" s="125"/>
      <c r="J235" s="125"/>
      <c r="K235" s="125"/>
      <c r="L235" s="125"/>
      <c r="M235" s="125"/>
      <c r="N235" s="129"/>
      <c r="O235" s="125"/>
      <c r="P235" s="173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spans="1:26" ht="15.75" customHeight="1">
      <c r="A236" s="125"/>
      <c r="B236" s="125"/>
      <c r="C236" s="125"/>
      <c r="D236" s="125"/>
      <c r="E236" s="125"/>
      <c r="F236" s="126"/>
      <c r="G236" s="125"/>
      <c r="H236" s="125"/>
      <c r="I236" s="125"/>
      <c r="J236" s="125"/>
      <c r="K236" s="125"/>
      <c r="L236" s="125"/>
      <c r="M236" s="125"/>
      <c r="N236" s="129"/>
      <c r="O236" s="125"/>
      <c r="P236" s="173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spans="1:26" ht="15.75" customHeight="1">
      <c r="A237" s="125"/>
      <c r="B237" s="125"/>
      <c r="C237" s="125"/>
      <c r="D237" s="125"/>
      <c r="E237" s="125"/>
      <c r="F237" s="126"/>
      <c r="G237" s="125"/>
      <c r="H237" s="125"/>
      <c r="I237" s="125"/>
      <c r="J237" s="125"/>
      <c r="K237" s="125"/>
      <c r="L237" s="125"/>
      <c r="M237" s="125"/>
      <c r="N237" s="129"/>
      <c r="O237" s="125"/>
      <c r="P237" s="173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spans="1:26" ht="15.75" customHeight="1">
      <c r="A238" s="125"/>
      <c r="B238" s="125"/>
      <c r="C238" s="125"/>
      <c r="D238" s="125"/>
      <c r="E238" s="125"/>
      <c r="F238" s="126"/>
      <c r="G238" s="125"/>
      <c r="H238" s="125"/>
      <c r="I238" s="125"/>
      <c r="J238" s="125"/>
      <c r="K238" s="125"/>
      <c r="L238" s="125"/>
      <c r="M238" s="125"/>
      <c r="N238" s="129"/>
      <c r="O238" s="125"/>
      <c r="P238" s="173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spans="1:26" ht="15.75" customHeight="1">
      <c r="A239" s="125"/>
      <c r="B239" s="125"/>
      <c r="C239" s="125"/>
      <c r="D239" s="125"/>
      <c r="E239" s="125"/>
      <c r="F239" s="126"/>
      <c r="G239" s="125"/>
      <c r="H239" s="125"/>
      <c r="I239" s="125"/>
      <c r="J239" s="125"/>
      <c r="K239" s="125"/>
      <c r="L239" s="125"/>
      <c r="M239" s="125"/>
      <c r="N239" s="129"/>
      <c r="O239" s="125"/>
      <c r="P239" s="173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spans="1:26" ht="15.75" customHeight="1">
      <c r="A240" s="125"/>
      <c r="B240" s="125"/>
      <c r="C240" s="125"/>
      <c r="D240" s="125"/>
      <c r="E240" s="125"/>
      <c r="F240" s="126"/>
      <c r="G240" s="125"/>
      <c r="H240" s="125"/>
      <c r="I240" s="125"/>
      <c r="J240" s="125"/>
      <c r="K240" s="125"/>
      <c r="L240" s="125"/>
      <c r="M240" s="125"/>
      <c r="N240" s="129"/>
      <c r="O240" s="125"/>
      <c r="P240" s="173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spans="1:26" ht="15.75" customHeight="1">
      <c r="A241" s="125"/>
      <c r="B241" s="125"/>
      <c r="C241" s="125"/>
      <c r="D241" s="125"/>
      <c r="E241" s="125"/>
      <c r="F241" s="126"/>
      <c r="G241" s="125"/>
      <c r="H241" s="125"/>
      <c r="I241" s="125"/>
      <c r="J241" s="125"/>
      <c r="K241" s="125"/>
      <c r="L241" s="125"/>
      <c r="M241" s="125"/>
      <c r="N241" s="129"/>
      <c r="O241" s="125"/>
      <c r="P241" s="173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spans="1:26" ht="15.75" customHeight="1">
      <c r="A242" s="125"/>
      <c r="B242" s="125"/>
      <c r="C242" s="125"/>
      <c r="D242" s="125"/>
      <c r="E242" s="125"/>
      <c r="F242" s="126"/>
      <c r="G242" s="125"/>
      <c r="H242" s="125"/>
      <c r="I242" s="125"/>
      <c r="J242" s="125"/>
      <c r="K242" s="125"/>
      <c r="L242" s="125"/>
      <c r="M242" s="125"/>
      <c r="N242" s="129"/>
      <c r="O242" s="125"/>
      <c r="P242" s="173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spans="1:26" ht="15.75" customHeight="1">
      <c r="A243" s="125"/>
      <c r="B243" s="125"/>
      <c r="C243" s="125"/>
      <c r="D243" s="125"/>
      <c r="E243" s="125"/>
      <c r="F243" s="126"/>
      <c r="G243" s="125"/>
      <c r="H243" s="125"/>
      <c r="I243" s="125"/>
      <c r="J243" s="125"/>
      <c r="K243" s="125"/>
      <c r="L243" s="125"/>
      <c r="M243" s="125"/>
      <c r="N243" s="129"/>
      <c r="O243" s="125"/>
      <c r="P243" s="173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spans="1:26" ht="15.75" customHeight="1">
      <c r="A244" s="125"/>
      <c r="B244" s="125"/>
      <c r="C244" s="125"/>
      <c r="D244" s="125"/>
      <c r="E244" s="125"/>
      <c r="F244" s="126"/>
      <c r="G244" s="125"/>
      <c r="H244" s="125"/>
      <c r="I244" s="125"/>
      <c r="J244" s="125"/>
      <c r="K244" s="125"/>
      <c r="L244" s="125"/>
      <c r="M244" s="125"/>
      <c r="N244" s="129"/>
      <c r="O244" s="125"/>
      <c r="P244" s="173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spans="1:26" ht="15.75" customHeight="1">
      <c r="A245" s="125"/>
      <c r="B245" s="125"/>
      <c r="C245" s="125"/>
      <c r="D245" s="125"/>
      <c r="E245" s="125"/>
      <c r="F245" s="126"/>
      <c r="G245" s="125"/>
      <c r="H245" s="125"/>
      <c r="I245" s="125"/>
      <c r="J245" s="125"/>
      <c r="K245" s="125"/>
      <c r="L245" s="125"/>
      <c r="M245" s="125"/>
      <c r="N245" s="129"/>
      <c r="O245" s="125"/>
      <c r="P245" s="173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spans="1:26" ht="15.75" customHeight="1">
      <c r="A246" s="125"/>
      <c r="B246" s="125"/>
      <c r="C246" s="125"/>
      <c r="D246" s="125"/>
      <c r="E246" s="125"/>
      <c r="F246" s="126"/>
      <c r="G246" s="125"/>
      <c r="H246" s="125"/>
      <c r="I246" s="125"/>
      <c r="J246" s="125"/>
      <c r="K246" s="125"/>
      <c r="L246" s="125"/>
      <c r="M246" s="125"/>
      <c r="N246" s="129"/>
      <c r="O246" s="125"/>
      <c r="P246" s="173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spans="1:26" ht="15.75" customHeight="1">
      <c r="A247" s="125"/>
      <c r="B247" s="125"/>
      <c r="C247" s="125"/>
      <c r="D247" s="125"/>
      <c r="E247" s="125"/>
      <c r="F247" s="126"/>
      <c r="G247" s="125"/>
      <c r="H247" s="125"/>
      <c r="I247" s="125"/>
      <c r="J247" s="125"/>
      <c r="K247" s="125"/>
      <c r="L247" s="125"/>
      <c r="M247" s="125"/>
      <c r="N247" s="129"/>
      <c r="O247" s="125"/>
      <c r="P247" s="173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spans="1:26" ht="15.75" customHeight="1">
      <c r="A248" s="125"/>
      <c r="B248" s="125"/>
      <c r="C248" s="125"/>
      <c r="D248" s="125"/>
      <c r="E248" s="125"/>
      <c r="F248" s="126"/>
      <c r="G248" s="125"/>
      <c r="H248" s="125"/>
      <c r="I248" s="125"/>
      <c r="J248" s="125"/>
      <c r="K248" s="125"/>
      <c r="L248" s="125"/>
      <c r="M248" s="125"/>
      <c r="N248" s="129"/>
      <c r="O248" s="125"/>
      <c r="P248" s="173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spans="1:26" ht="15.75" customHeight="1">
      <c r="A249" s="125"/>
      <c r="B249" s="125"/>
      <c r="C249" s="125"/>
      <c r="D249" s="125"/>
      <c r="E249" s="125"/>
      <c r="F249" s="126"/>
      <c r="G249" s="125"/>
      <c r="H249" s="125"/>
      <c r="I249" s="125"/>
      <c r="J249" s="125"/>
      <c r="K249" s="125"/>
      <c r="L249" s="125"/>
      <c r="M249" s="125"/>
      <c r="N249" s="129"/>
      <c r="O249" s="125"/>
      <c r="P249" s="173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spans="1:26" ht="15.75" customHeight="1">
      <c r="A250" s="125"/>
      <c r="B250" s="125"/>
      <c r="C250" s="125"/>
      <c r="D250" s="125"/>
      <c r="E250" s="125"/>
      <c r="F250" s="126"/>
      <c r="G250" s="125"/>
      <c r="H250" s="125"/>
      <c r="I250" s="125"/>
      <c r="J250" s="125"/>
      <c r="K250" s="125"/>
      <c r="L250" s="125"/>
      <c r="M250" s="125"/>
      <c r="N250" s="129"/>
      <c r="O250" s="125"/>
      <c r="P250" s="173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spans="1:26" ht="15.75" customHeight="1">
      <c r="A251" s="125"/>
      <c r="B251" s="125"/>
      <c r="C251" s="125"/>
      <c r="D251" s="125"/>
      <c r="E251" s="125"/>
      <c r="F251" s="126"/>
      <c r="G251" s="125"/>
      <c r="H251" s="125"/>
      <c r="I251" s="125"/>
      <c r="J251" s="125"/>
      <c r="K251" s="125"/>
      <c r="L251" s="125"/>
      <c r="M251" s="125"/>
      <c r="N251" s="129"/>
      <c r="O251" s="125"/>
      <c r="P251" s="173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spans="1:26" ht="15.75" customHeight="1">
      <c r="A252" s="125"/>
      <c r="B252" s="125"/>
      <c r="C252" s="125"/>
      <c r="D252" s="125"/>
      <c r="E252" s="125"/>
      <c r="F252" s="126"/>
      <c r="G252" s="125"/>
      <c r="H252" s="125"/>
      <c r="I252" s="125"/>
      <c r="J252" s="125"/>
      <c r="K252" s="125"/>
      <c r="L252" s="125"/>
      <c r="M252" s="125"/>
      <c r="N252" s="129"/>
      <c r="O252" s="125"/>
      <c r="P252" s="173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spans="1:26" ht="15.75" customHeight="1">
      <c r="A253" s="125"/>
      <c r="B253" s="125"/>
      <c r="C253" s="125"/>
      <c r="D253" s="125"/>
      <c r="E253" s="125"/>
      <c r="F253" s="126"/>
      <c r="G253" s="125"/>
      <c r="H253" s="125"/>
      <c r="I253" s="125"/>
      <c r="J253" s="125"/>
      <c r="K253" s="125"/>
      <c r="L253" s="125"/>
      <c r="M253" s="125"/>
      <c r="N253" s="129"/>
      <c r="O253" s="125"/>
      <c r="P253" s="173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spans="1:26" ht="15.75" customHeight="1">
      <c r="A254" s="125"/>
      <c r="B254" s="125"/>
      <c r="C254" s="125"/>
      <c r="D254" s="125"/>
      <c r="E254" s="125"/>
      <c r="F254" s="126"/>
      <c r="G254" s="125"/>
      <c r="H254" s="125"/>
      <c r="I254" s="125"/>
      <c r="J254" s="125"/>
      <c r="K254" s="125"/>
      <c r="L254" s="125"/>
      <c r="M254" s="125"/>
      <c r="N254" s="129"/>
      <c r="O254" s="125"/>
      <c r="P254" s="173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spans="1:26" ht="15.75" customHeight="1">
      <c r="A255" s="125"/>
      <c r="B255" s="125"/>
      <c r="C255" s="125"/>
      <c r="D255" s="125"/>
      <c r="E255" s="125"/>
      <c r="F255" s="126"/>
      <c r="G255" s="125"/>
      <c r="H255" s="125"/>
      <c r="I255" s="125"/>
      <c r="J255" s="125"/>
      <c r="K255" s="125"/>
      <c r="L255" s="125"/>
      <c r="M255" s="125"/>
      <c r="N255" s="129"/>
      <c r="O255" s="125"/>
      <c r="P255" s="173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spans="1:26" ht="15.75" customHeight="1">
      <c r="A256" s="125"/>
      <c r="B256" s="125"/>
      <c r="C256" s="125"/>
      <c r="D256" s="125"/>
      <c r="E256" s="125"/>
      <c r="F256" s="126"/>
      <c r="G256" s="125"/>
      <c r="H256" s="125"/>
      <c r="I256" s="125"/>
      <c r="J256" s="125"/>
      <c r="K256" s="125"/>
      <c r="L256" s="125"/>
      <c r="M256" s="125"/>
      <c r="N256" s="129"/>
      <c r="O256" s="125"/>
      <c r="P256" s="173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spans="1:26" ht="15.75" customHeight="1">
      <c r="A257" s="125"/>
      <c r="B257" s="125"/>
      <c r="C257" s="125"/>
      <c r="D257" s="125"/>
      <c r="E257" s="125"/>
      <c r="F257" s="126"/>
      <c r="G257" s="125"/>
      <c r="H257" s="125"/>
      <c r="I257" s="125"/>
      <c r="J257" s="125"/>
      <c r="K257" s="125"/>
      <c r="L257" s="125"/>
      <c r="M257" s="125"/>
      <c r="N257" s="129"/>
      <c r="O257" s="125"/>
      <c r="P257" s="173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spans="1:26" ht="15.75" customHeight="1">
      <c r="A258" s="125"/>
      <c r="B258" s="125"/>
      <c r="C258" s="125"/>
      <c r="D258" s="125"/>
      <c r="E258" s="125"/>
      <c r="F258" s="126"/>
      <c r="G258" s="125"/>
      <c r="H258" s="125"/>
      <c r="I258" s="125"/>
      <c r="J258" s="125"/>
      <c r="K258" s="125"/>
      <c r="L258" s="125"/>
      <c r="M258" s="125"/>
      <c r="N258" s="129"/>
      <c r="O258" s="125"/>
      <c r="P258" s="173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spans="1:26" ht="15.75" customHeight="1">
      <c r="A259" s="125"/>
      <c r="B259" s="125"/>
      <c r="C259" s="125"/>
      <c r="D259" s="125"/>
      <c r="E259" s="125"/>
      <c r="F259" s="126"/>
      <c r="G259" s="125"/>
      <c r="H259" s="125"/>
      <c r="I259" s="125"/>
      <c r="J259" s="125"/>
      <c r="K259" s="125"/>
      <c r="L259" s="125"/>
      <c r="M259" s="125"/>
      <c r="N259" s="129"/>
      <c r="O259" s="125"/>
      <c r="P259" s="173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spans="1:26" ht="15.75" customHeight="1">
      <c r="A260" s="125"/>
      <c r="B260" s="125"/>
      <c r="C260" s="125"/>
      <c r="D260" s="125"/>
      <c r="E260" s="125"/>
      <c r="F260" s="126"/>
      <c r="G260" s="125"/>
      <c r="H260" s="125"/>
      <c r="I260" s="125"/>
      <c r="J260" s="125"/>
      <c r="K260" s="125"/>
      <c r="L260" s="125"/>
      <c r="M260" s="125"/>
      <c r="N260" s="129"/>
      <c r="O260" s="125"/>
      <c r="P260" s="173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spans="1:26" ht="15.75" customHeight="1">
      <c r="A261" s="125"/>
      <c r="B261" s="125"/>
      <c r="C261" s="125"/>
      <c r="D261" s="125"/>
      <c r="E261" s="125"/>
      <c r="F261" s="126"/>
      <c r="G261" s="125"/>
      <c r="H261" s="125"/>
      <c r="I261" s="125"/>
      <c r="J261" s="125"/>
      <c r="K261" s="125"/>
      <c r="L261" s="125"/>
      <c r="M261" s="125"/>
      <c r="N261" s="129"/>
      <c r="O261" s="125"/>
      <c r="P261" s="173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spans="1:26" ht="15.75" customHeight="1">
      <c r="A262" s="125"/>
      <c r="B262" s="125"/>
      <c r="C262" s="125"/>
      <c r="D262" s="125"/>
      <c r="E262" s="125"/>
      <c r="F262" s="126"/>
      <c r="G262" s="125"/>
      <c r="H262" s="125"/>
      <c r="I262" s="125"/>
      <c r="J262" s="125"/>
      <c r="K262" s="125"/>
      <c r="L262" s="125"/>
      <c r="M262" s="125"/>
      <c r="N262" s="129"/>
      <c r="O262" s="125"/>
      <c r="P262" s="173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spans="1:26" ht="15.75" customHeight="1">
      <c r="A263" s="125"/>
      <c r="B263" s="125"/>
      <c r="C263" s="125"/>
      <c r="D263" s="125"/>
      <c r="E263" s="125"/>
      <c r="F263" s="126"/>
      <c r="G263" s="125"/>
      <c r="H263" s="125"/>
      <c r="I263" s="125"/>
      <c r="J263" s="125"/>
      <c r="K263" s="125"/>
      <c r="L263" s="125"/>
      <c r="M263" s="125"/>
      <c r="N263" s="129"/>
      <c r="O263" s="125"/>
      <c r="P263" s="173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spans="1:26" ht="15.75" customHeight="1">
      <c r="A264" s="125"/>
      <c r="B264" s="125"/>
      <c r="C264" s="125"/>
      <c r="D264" s="125"/>
      <c r="E264" s="125"/>
      <c r="F264" s="126"/>
      <c r="G264" s="125"/>
      <c r="H264" s="125"/>
      <c r="I264" s="125"/>
      <c r="J264" s="125"/>
      <c r="K264" s="125"/>
      <c r="L264" s="125"/>
      <c r="M264" s="125"/>
      <c r="N264" s="129"/>
      <c r="O264" s="125"/>
      <c r="P264" s="173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spans="1:26" ht="15.75" customHeight="1">
      <c r="A265" s="125"/>
      <c r="B265" s="125"/>
      <c r="C265" s="125"/>
      <c r="D265" s="125"/>
      <c r="E265" s="125"/>
      <c r="F265" s="126"/>
      <c r="G265" s="125"/>
      <c r="H265" s="125"/>
      <c r="I265" s="125"/>
      <c r="J265" s="125"/>
      <c r="K265" s="125"/>
      <c r="L265" s="125"/>
      <c r="M265" s="125"/>
      <c r="N265" s="129"/>
      <c r="O265" s="125"/>
      <c r="P265" s="173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spans="1:26" ht="15.75" customHeight="1">
      <c r="A266" s="125"/>
      <c r="B266" s="125"/>
      <c r="C266" s="125"/>
      <c r="D266" s="125"/>
      <c r="E266" s="125"/>
      <c r="F266" s="126"/>
      <c r="G266" s="125"/>
      <c r="H266" s="125"/>
      <c r="I266" s="125"/>
      <c r="J266" s="125"/>
      <c r="K266" s="125"/>
      <c r="L266" s="125"/>
      <c r="M266" s="125"/>
      <c r="N266" s="129"/>
      <c r="O266" s="125"/>
      <c r="P266" s="173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spans="1:26" ht="15.75" customHeight="1">
      <c r="A267" s="125"/>
      <c r="B267" s="125"/>
      <c r="C267" s="125"/>
      <c r="D267" s="125"/>
      <c r="E267" s="125"/>
      <c r="F267" s="126"/>
      <c r="G267" s="125"/>
      <c r="H267" s="125"/>
      <c r="I267" s="125"/>
      <c r="J267" s="125"/>
      <c r="K267" s="125"/>
      <c r="L267" s="125"/>
      <c r="M267" s="125"/>
      <c r="N267" s="129"/>
      <c r="O267" s="125"/>
      <c r="P267" s="173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spans="1:26" ht="15.75" customHeight="1">
      <c r="A268" s="125"/>
      <c r="B268" s="125"/>
      <c r="C268" s="125"/>
      <c r="D268" s="125"/>
      <c r="E268" s="125"/>
      <c r="F268" s="126"/>
      <c r="G268" s="125"/>
      <c r="H268" s="125"/>
      <c r="I268" s="125"/>
      <c r="J268" s="125"/>
      <c r="K268" s="125"/>
      <c r="L268" s="125"/>
      <c r="M268" s="125"/>
      <c r="N268" s="129"/>
      <c r="O268" s="125"/>
      <c r="P268" s="173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spans="1:26" ht="15.75" customHeight="1">
      <c r="A269" s="125"/>
      <c r="B269" s="125"/>
      <c r="C269" s="125"/>
      <c r="D269" s="125"/>
      <c r="E269" s="125"/>
      <c r="F269" s="126"/>
      <c r="G269" s="125"/>
      <c r="H269" s="125"/>
      <c r="I269" s="125"/>
      <c r="J269" s="125"/>
      <c r="K269" s="125"/>
      <c r="L269" s="125"/>
      <c r="M269" s="125"/>
      <c r="N269" s="129"/>
      <c r="O269" s="125"/>
      <c r="P269" s="173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spans="1:26" ht="15.75" customHeight="1">
      <c r="A270" s="125"/>
      <c r="B270" s="125"/>
      <c r="C270" s="125"/>
      <c r="D270" s="125"/>
      <c r="E270" s="125"/>
      <c r="F270" s="126"/>
      <c r="G270" s="125"/>
      <c r="H270" s="125"/>
      <c r="I270" s="125"/>
      <c r="J270" s="125"/>
      <c r="K270" s="125"/>
      <c r="L270" s="125"/>
      <c r="M270" s="125"/>
      <c r="N270" s="129"/>
      <c r="O270" s="125"/>
      <c r="P270" s="173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spans="1:26" ht="15.75" customHeight="1">
      <c r="A271" s="125"/>
      <c r="B271" s="125"/>
      <c r="C271" s="125"/>
      <c r="D271" s="125"/>
      <c r="E271" s="125"/>
      <c r="F271" s="126"/>
      <c r="G271" s="125"/>
      <c r="H271" s="125"/>
      <c r="I271" s="125"/>
      <c r="J271" s="125"/>
      <c r="K271" s="125"/>
      <c r="L271" s="125"/>
      <c r="M271" s="125"/>
      <c r="N271" s="129"/>
      <c r="O271" s="125"/>
      <c r="P271" s="173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spans="1:26" ht="15.75" customHeight="1">
      <c r="A272" s="125"/>
      <c r="B272" s="125"/>
      <c r="C272" s="125"/>
      <c r="D272" s="125"/>
      <c r="E272" s="125"/>
      <c r="F272" s="126"/>
      <c r="G272" s="125"/>
      <c r="H272" s="125"/>
      <c r="I272" s="125"/>
      <c r="J272" s="125"/>
      <c r="K272" s="125"/>
      <c r="L272" s="125"/>
      <c r="M272" s="125"/>
      <c r="N272" s="129"/>
      <c r="O272" s="125"/>
      <c r="P272" s="173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spans="1:26" ht="15.75" customHeight="1">
      <c r="A273" s="125"/>
      <c r="B273" s="125"/>
      <c r="C273" s="125"/>
      <c r="D273" s="125"/>
      <c r="E273" s="125"/>
      <c r="F273" s="126"/>
      <c r="G273" s="125"/>
      <c r="H273" s="125"/>
      <c r="I273" s="125"/>
      <c r="J273" s="125"/>
      <c r="K273" s="125"/>
      <c r="L273" s="125"/>
      <c r="M273" s="125"/>
      <c r="N273" s="129"/>
      <c r="O273" s="125"/>
      <c r="P273" s="173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ht="15.75" customHeight="1">
      <c r="A274" s="125"/>
      <c r="B274" s="125"/>
      <c r="C274" s="125"/>
      <c r="D274" s="125"/>
      <c r="E274" s="125"/>
      <c r="F274" s="126"/>
      <c r="G274" s="125"/>
      <c r="H274" s="125"/>
      <c r="I274" s="125"/>
      <c r="J274" s="125"/>
      <c r="K274" s="125"/>
      <c r="L274" s="125"/>
      <c r="M274" s="125"/>
      <c r="N274" s="129"/>
      <c r="O274" s="125"/>
      <c r="P274" s="173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spans="1:26" ht="15.75" customHeight="1">
      <c r="A275" s="125"/>
      <c r="B275" s="125"/>
      <c r="C275" s="125"/>
      <c r="D275" s="125"/>
      <c r="E275" s="125"/>
      <c r="F275" s="126"/>
      <c r="G275" s="125"/>
      <c r="H275" s="125"/>
      <c r="I275" s="125"/>
      <c r="J275" s="125"/>
      <c r="K275" s="125"/>
      <c r="L275" s="125"/>
      <c r="M275" s="125"/>
      <c r="N275" s="129"/>
      <c r="O275" s="125"/>
      <c r="P275" s="173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spans="1:26" ht="15.75" customHeight="1">
      <c r="A276" s="125"/>
      <c r="B276" s="125"/>
      <c r="C276" s="125"/>
      <c r="D276" s="125"/>
      <c r="E276" s="125"/>
      <c r="F276" s="126"/>
      <c r="G276" s="125"/>
      <c r="H276" s="125"/>
      <c r="I276" s="125"/>
      <c r="J276" s="125"/>
      <c r="K276" s="125"/>
      <c r="L276" s="125"/>
      <c r="M276" s="125"/>
      <c r="N276" s="129"/>
      <c r="O276" s="125"/>
      <c r="P276" s="173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spans="1:26" ht="15.75" customHeight="1">
      <c r="A277" s="125"/>
      <c r="B277" s="125"/>
      <c r="C277" s="125"/>
      <c r="D277" s="125"/>
      <c r="E277" s="125"/>
      <c r="F277" s="126"/>
      <c r="G277" s="125"/>
      <c r="H277" s="125"/>
      <c r="I277" s="125"/>
      <c r="J277" s="125"/>
      <c r="K277" s="125"/>
      <c r="L277" s="125"/>
      <c r="M277" s="125"/>
      <c r="N277" s="129"/>
      <c r="O277" s="125"/>
      <c r="P277" s="173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spans="1:26" ht="15.75" customHeight="1">
      <c r="A278" s="125"/>
      <c r="B278" s="125"/>
      <c r="C278" s="125"/>
      <c r="D278" s="125"/>
      <c r="E278" s="125"/>
      <c r="F278" s="126"/>
      <c r="G278" s="125"/>
      <c r="H278" s="125"/>
      <c r="I278" s="125"/>
      <c r="J278" s="125"/>
      <c r="K278" s="125"/>
      <c r="L278" s="125"/>
      <c r="M278" s="125"/>
      <c r="N278" s="129"/>
      <c r="O278" s="125"/>
      <c r="P278" s="173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spans="1:26" ht="15.75" customHeight="1">
      <c r="A279" s="125"/>
      <c r="B279" s="125"/>
      <c r="C279" s="125"/>
      <c r="D279" s="125"/>
      <c r="E279" s="125"/>
      <c r="F279" s="126"/>
      <c r="G279" s="125"/>
      <c r="H279" s="125"/>
      <c r="I279" s="125"/>
      <c r="J279" s="125"/>
      <c r="K279" s="125"/>
      <c r="L279" s="125"/>
      <c r="M279" s="125"/>
      <c r="N279" s="129"/>
      <c r="O279" s="125"/>
      <c r="P279" s="173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spans="1:26" ht="15.75" customHeight="1">
      <c r="A280" s="125"/>
      <c r="B280" s="125"/>
      <c r="C280" s="125"/>
      <c r="D280" s="125"/>
      <c r="E280" s="125"/>
      <c r="F280" s="126"/>
      <c r="G280" s="125"/>
      <c r="H280" s="125"/>
      <c r="I280" s="125"/>
      <c r="J280" s="125"/>
      <c r="K280" s="125"/>
      <c r="L280" s="125"/>
      <c r="M280" s="125"/>
      <c r="N280" s="129"/>
      <c r="O280" s="125"/>
      <c r="P280" s="173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spans="1:26" ht="15.75" customHeight="1">
      <c r="A281" s="125"/>
      <c r="B281" s="125"/>
      <c r="C281" s="125"/>
      <c r="D281" s="125"/>
      <c r="E281" s="125"/>
      <c r="F281" s="126"/>
      <c r="G281" s="125"/>
      <c r="H281" s="125"/>
      <c r="I281" s="125"/>
      <c r="J281" s="125"/>
      <c r="K281" s="125"/>
      <c r="L281" s="125"/>
      <c r="M281" s="125"/>
      <c r="N281" s="129"/>
      <c r="O281" s="125"/>
      <c r="P281" s="173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spans="1:26" ht="15.75" customHeight="1">
      <c r="A282" s="125"/>
      <c r="B282" s="125"/>
      <c r="C282" s="125"/>
      <c r="D282" s="125"/>
      <c r="E282" s="125"/>
      <c r="F282" s="126"/>
      <c r="G282" s="125"/>
      <c r="H282" s="125"/>
      <c r="I282" s="125"/>
      <c r="J282" s="125"/>
      <c r="K282" s="125"/>
      <c r="L282" s="125"/>
      <c r="M282" s="125"/>
      <c r="N282" s="129"/>
      <c r="O282" s="125"/>
      <c r="P282" s="173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spans="1:26" ht="15.75" customHeight="1">
      <c r="A283" s="125"/>
      <c r="B283" s="125"/>
      <c r="C283" s="125"/>
      <c r="D283" s="125"/>
      <c r="E283" s="125"/>
      <c r="F283" s="126"/>
      <c r="G283" s="125"/>
      <c r="H283" s="125"/>
      <c r="I283" s="125"/>
      <c r="J283" s="125"/>
      <c r="K283" s="125"/>
      <c r="L283" s="125"/>
      <c r="M283" s="125"/>
      <c r="N283" s="129"/>
      <c r="O283" s="125"/>
      <c r="P283" s="173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spans="1:26" ht="15.75" customHeight="1">
      <c r="A284" s="125"/>
      <c r="B284" s="125"/>
      <c r="C284" s="125"/>
      <c r="D284" s="125"/>
      <c r="E284" s="125"/>
      <c r="F284" s="126"/>
      <c r="G284" s="125"/>
      <c r="H284" s="125"/>
      <c r="I284" s="125"/>
      <c r="J284" s="125"/>
      <c r="K284" s="125"/>
      <c r="L284" s="125"/>
      <c r="M284" s="125"/>
      <c r="N284" s="129"/>
      <c r="O284" s="125"/>
      <c r="P284" s="173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spans="1:26" ht="15.75" customHeight="1">
      <c r="A285" s="125"/>
      <c r="B285" s="125"/>
      <c r="C285" s="125"/>
      <c r="D285" s="125"/>
      <c r="E285" s="125"/>
      <c r="F285" s="126"/>
      <c r="G285" s="125"/>
      <c r="H285" s="125"/>
      <c r="I285" s="125"/>
      <c r="J285" s="125"/>
      <c r="K285" s="125"/>
      <c r="L285" s="125"/>
      <c r="M285" s="125"/>
      <c r="N285" s="129"/>
      <c r="O285" s="125"/>
      <c r="P285" s="173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spans="1:26" ht="15.75" customHeight="1">
      <c r="A286" s="125"/>
      <c r="B286" s="125"/>
      <c r="C286" s="125"/>
      <c r="D286" s="125"/>
      <c r="E286" s="125"/>
      <c r="F286" s="126"/>
      <c r="G286" s="125"/>
      <c r="H286" s="125"/>
      <c r="I286" s="125"/>
      <c r="J286" s="125"/>
      <c r="K286" s="125"/>
      <c r="L286" s="125"/>
      <c r="M286" s="125"/>
      <c r="N286" s="129"/>
      <c r="O286" s="125"/>
      <c r="P286" s="173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spans="1:26" ht="15.75" customHeight="1">
      <c r="A287" s="125"/>
      <c r="B287" s="125"/>
      <c r="C287" s="125"/>
      <c r="D287" s="125"/>
      <c r="E287" s="125"/>
      <c r="F287" s="126"/>
      <c r="G287" s="125"/>
      <c r="H287" s="125"/>
      <c r="I287" s="125"/>
      <c r="J287" s="125"/>
      <c r="K287" s="125"/>
      <c r="L287" s="125"/>
      <c r="M287" s="125"/>
      <c r="N287" s="129"/>
      <c r="O287" s="125"/>
      <c r="P287" s="173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spans="1:26" ht="15.75" customHeight="1">
      <c r="A288" s="125"/>
      <c r="B288" s="125"/>
      <c r="C288" s="125"/>
      <c r="D288" s="125"/>
      <c r="E288" s="125"/>
      <c r="F288" s="126"/>
      <c r="G288" s="125"/>
      <c r="H288" s="125"/>
      <c r="I288" s="125"/>
      <c r="J288" s="125"/>
      <c r="K288" s="125"/>
      <c r="L288" s="125"/>
      <c r="M288" s="125"/>
      <c r="N288" s="129"/>
      <c r="O288" s="125"/>
      <c r="P288" s="173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spans="1:26" ht="15.75" customHeight="1">
      <c r="A289" s="125"/>
      <c r="B289" s="125"/>
      <c r="C289" s="125"/>
      <c r="D289" s="125"/>
      <c r="E289" s="125"/>
      <c r="F289" s="126"/>
      <c r="G289" s="125"/>
      <c r="H289" s="125"/>
      <c r="I289" s="125"/>
      <c r="J289" s="125"/>
      <c r="K289" s="125"/>
      <c r="L289" s="125"/>
      <c r="M289" s="125"/>
      <c r="N289" s="129"/>
      <c r="O289" s="125"/>
      <c r="P289" s="173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spans="1:26" ht="15.75" customHeight="1">
      <c r="A290" s="125"/>
      <c r="B290" s="125"/>
      <c r="C290" s="125"/>
      <c r="D290" s="125"/>
      <c r="E290" s="125"/>
      <c r="F290" s="126"/>
      <c r="G290" s="125"/>
      <c r="H290" s="125"/>
      <c r="I290" s="125"/>
      <c r="J290" s="125"/>
      <c r="K290" s="125"/>
      <c r="L290" s="125"/>
      <c r="M290" s="125"/>
      <c r="N290" s="129"/>
      <c r="O290" s="125"/>
      <c r="P290" s="173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spans="1:26" ht="15.75" customHeight="1">
      <c r="A291" s="125"/>
      <c r="B291" s="125"/>
      <c r="C291" s="125"/>
      <c r="D291" s="125"/>
      <c r="E291" s="125"/>
      <c r="F291" s="126"/>
      <c r="G291" s="125"/>
      <c r="H291" s="125"/>
      <c r="I291" s="125"/>
      <c r="J291" s="125"/>
      <c r="K291" s="125"/>
      <c r="L291" s="125"/>
      <c r="M291" s="125"/>
      <c r="N291" s="129"/>
      <c r="O291" s="125"/>
      <c r="P291" s="173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spans="1:26" ht="15.75" customHeight="1">
      <c r="A292" s="125"/>
      <c r="B292" s="125"/>
      <c r="C292" s="125"/>
      <c r="D292" s="125"/>
      <c r="E292" s="125"/>
      <c r="F292" s="126"/>
      <c r="G292" s="125"/>
      <c r="H292" s="125"/>
      <c r="I292" s="125"/>
      <c r="J292" s="125"/>
      <c r="K292" s="125"/>
      <c r="L292" s="125"/>
      <c r="M292" s="125"/>
      <c r="N292" s="129"/>
      <c r="O292" s="125"/>
      <c r="P292" s="173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spans="1:26" ht="15.75" customHeight="1">
      <c r="A293" s="125"/>
      <c r="B293" s="125"/>
      <c r="C293" s="125"/>
      <c r="D293" s="125"/>
      <c r="E293" s="125"/>
      <c r="F293" s="126"/>
      <c r="G293" s="125"/>
      <c r="H293" s="125"/>
      <c r="I293" s="125"/>
      <c r="J293" s="125"/>
      <c r="K293" s="125"/>
      <c r="L293" s="125"/>
      <c r="M293" s="125"/>
      <c r="N293" s="129"/>
      <c r="O293" s="125"/>
      <c r="P293" s="173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spans="1:26" ht="15.75" customHeight="1">
      <c r="A294" s="125"/>
      <c r="B294" s="125"/>
      <c r="C294" s="125"/>
      <c r="D294" s="125"/>
      <c r="E294" s="125"/>
      <c r="F294" s="126"/>
      <c r="G294" s="125"/>
      <c r="H294" s="125"/>
      <c r="I294" s="125"/>
      <c r="J294" s="125"/>
      <c r="K294" s="125"/>
      <c r="L294" s="125"/>
      <c r="M294" s="125"/>
      <c r="N294" s="129"/>
      <c r="O294" s="125"/>
      <c r="P294" s="173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spans="1:26" ht="15.75" customHeight="1">
      <c r="A295" s="125"/>
      <c r="B295" s="125"/>
      <c r="C295" s="125"/>
      <c r="D295" s="125"/>
      <c r="E295" s="125"/>
      <c r="F295" s="126"/>
      <c r="G295" s="125"/>
      <c r="H295" s="125"/>
      <c r="I295" s="125"/>
      <c r="J295" s="125"/>
      <c r="K295" s="125"/>
      <c r="L295" s="125"/>
      <c r="M295" s="125"/>
      <c r="N295" s="129"/>
      <c r="O295" s="125"/>
      <c r="P295" s="173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spans="1:26" ht="15.75" customHeight="1">
      <c r="A296" s="125"/>
      <c r="B296" s="125"/>
      <c r="C296" s="125"/>
      <c r="D296" s="125"/>
      <c r="E296" s="125"/>
      <c r="F296" s="126"/>
      <c r="G296" s="125"/>
      <c r="H296" s="125"/>
      <c r="I296" s="125"/>
      <c r="J296" s="125"/>
      <c r="K296" s="125"/>
      <c r="L296" s="125"/>
      <c r="M296" s="125"/>
      <c r="N296" s="129"/>
      <c r="O296" s="125"/>
      <c r="P296" s="173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spans="1:26" ht="15.75" customHeight="1">
      <c r="A297" s="125"/>
      <c r="B297" s="125"/>
      <c r="C297" s="125"/>
      <c r="D297" s="125"/>
      <c r="E297" s="125"/>
      <c r="F297" s="126"/>
      <c r="G297" s="125"/>
      <c r="H297" s="125"/>
      <c r="I297" s="125"/>
      <c r="J297" s="125"/>
      <c r="K297" s="125"/>
      <c r="L297" s="125"/>
      <c r="M297" s="125"/>
      <c r="N297" s="129"/>
      <c r="O297" s="125"/>
      <c r="P297" s="173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spans="1:26" ht="15.75" customHeight="1">
      <c r="A298" s="125"/>
      <c r="B298" s="125"/>
      <c r="C298" s="125"/>
      <c r="D298" s="125"/>
      <c r="E298" s="125"/>
      <c r="F298" s="126"/>
      <c r="G298" s="125"/>
      <c r="H298" s="125"/>
      <c r="I298" s="125"/>
      <c r="J298" s="125"/>
      <c r="K298" s="125"/>
      <c r="L298" s="125"/>
      <c r="M298" s="125"/>
      <c r="N298" s="129"/>
      <c r="O298" s="125"/>
      <c r="P298" s="173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spans="1:26" ht="15.75" customHeight="1">
      <c r="A299" s="125"/>
      <c r="B299" s="125"/>
      <c r="C299" s="125"/>
      <c r="D299" s="125"/>
      <c r="E299" s="125"/>
      <c r="F299" s="126"/>
      <c r="G299" s="125"/>
      <c r="H299" s="125"/>
      <c r="I299" s="125"/>
      <c r="J299" s="125"/>
      <c r="K299" s="125"/>
      <c r="L299" s="125"/>
      <c r="M299" s="125"/>
      <c r="N299" s="129"/>
      <c r="O299" s="125"/>
      <c r="P299" s="173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spans="1:26" ht="15.75" customHeight="1">
      <c r="A300" s="125"/>
      <c r="B300" s="125"/>
      <c r="C300" s="125"/>
      <c r="D300" s="125"/>
      <c r="E300" s="125"/>
      <c r="F300" s="126"/>
      <c r="G300" s="125"/>
      <c r="H300" s="125"/>
      <c r="I300" s="125"/>
      <c r="J300" s="125"/>
      <c r="K300" s="125"/>
      <c r="L300" s="125"/>
      <c r="M300" s="125"/>
      <c r="N300" s="129"/>
      <c r="O300" s="125"/>
      <c r="P300" s="173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spans="1:26" ht="15.75" customHeight="1">
      <c r="A301" s="125"/>
      <c r="B301" s="125"/>
      <c r="C301" s="125"/>
      <c r="D301" s="125"/>
      <c r="E301" s="125"/>
      <c r="F301" s="126"/>
      <c r="G301" s="125"/>
      <c r="H301" s="125"/>
      <c r="I301" s="125"/>
      <c r="J301" s="125"/>
      <c r="K301" s="125"/>
      <c r="L301" s="125"/>
      <c r="M301" s="125"/>
      <c r="N301" s="129"/>
      <c r="O301" s="125"/>
      <c r="P301" s="173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spans="1:26" ht="15.75" customHeight="1">
      <c r="A302" s="125"/>
      <c r="B302" s="125"/>
      <c r="C302" s="125"/>
      <c r="D302" s="125"/>
      <c r="E302" s="125"/>
      <c r="F302" s="126"/>
      <c r="G302" s="125"/>
      <c r="H302" s="125"/>
      <c r="I302" s="125"/>
      <c r="J302" s="125"/>
      <c r="K302" s="125"/>
      <c r="L302" s="125"/>
      <c r="M302" s="125"/>
      <c r="N302" s="129"/>
      <c r="O302" s="125"/>
      <c r="P302" s="173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spans="1:26" ht="15.75" customHeight="1">
      <c r="A303" s="125"/>
      <c r="B303" s="125"/>
      <c r="C303" s="125"/>
      <c r="D303" s="125"/>
      <c r="E303" s="125"/>
      <c r="F303" s="126"/>
      <c r="G303" s="125"/>
      <c r="H303" s="125"/>
      <c r="I303" s="125"/>
      <c r="J303" s="125"/>
      <c r="K303" s="125"/>
      <c r="L303" s="125"/>
      <c r="M303" s="125"/>
      <c r="N303" s="129"/>
      <c r="O303" s="125"/>
      <c r="P303" s="173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spans="1:26" ht="15.75" customHeight="1">
      <c r="A304" s="125"/>
      <c r="B304" s="125"/>
      <c r="C304" s="125"/>
      <c r="D304" s="125"/>
      <c r="E304" s="125"/>
      <c r="F304" s="126"/>
      <c r="G304" s="125"/>
      <c r="H304" s="125"/>
      <c r="I304" s="125"/>
      <c r="J304" s="125"/>
      <c r="K304" s="125"/>
      <c r="L304" s="125"/>
      <c r="M304" s="125"/>
      <c r="N304" s="129"/>
      <c r="O304" s="125"/>
      <c r="P304" s="173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spans="1:26" ht="15.75" customHeight="1">
      <c r="A305" s="125"/>
      <c r="B305" s="125"/>
      <c r="C305" s="125"/>
      <c r="D305" s="125"/>
      <c r="E305" s="125"/>
      <c r="F305" s="126"/>
      <c r="G305" s="125"/>
      <c r="H305" s="125"/>
      <c r="I305" s="125"/>
      <c r="J305" s="125"/>
      <c r="K305" s="125"/>
      <c r="L305" s="125"/>
      <c r="M305" s="125"/>
      <c r="N305" s="129"/>
      <c r="O305" s="125"/>
      <c r="P305" s="173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spans="1:26" ht="15.75" customHeight="1">
      <c r="A306" s="125"/>
      <c r="B306" s="125"/>
      <c r="C306" s="125"/>
      <c r="D306" s="125"/>
      <c r="E306" s="125"/>
      <c r="F306" s="126"/>
      <c r="G306" s="125"/>
      <c r="H306" s="125"/>
      <c r="I306" s="125"/>
      <c r="J306" s="125"/>
      <c r="K306" s="125"/>
      <c r="L306" s="125"/>
      <c r="M306" s="125"/>
      <c r="N306" s="129"/>
      <c r="O306" s="125"/>
      <c r="P306" s="173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spans="1:26" ht="15.75" customHeight="1">
      <c r="A307" s="125"/>
      <c r="B307" s="125"/>
      <c r="C307" s="125"/>
      <c r="D307" s="125"/>
      <c r="E307" s="125"/>
      <c r="F307" s="126"/>
      <c r="G307" s="125"/>
      <c r="H307" s="125"/>
      <c r="I307" s="125"/>
      <c r="J307" s="125"/>
      <c r="K307" s="125"/>
      <c r="L307" s="125"/>
      <c r="M307" s="125"/>
      <c r="N307" s="129"/>
      <c r="O307" s="125"/>
      <c r="P307" s="173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spans="1:26" ht="15.75" customHeight="1">
      <c r="A308" s="125"/>
      <c r="B308" s="125"/>
      <c r="C308" s="125"/>
      <c r="D308" s="125"/>
      <c r="E308" s="125"/>
      <c r="F308" s="126"/>
      <c r="G308" s="125"/>
      <c r="H308" s="125"/>
      <c r="I308" s="125"/>
      <c r="J308" s="125"/>
      <c r="K308" s="125"/>
      <c r="L308" s="125"/>
      <c r="M308" s="125"/>
      <c r="N308" s="129"/>
      <c r="O308" s="125"/>
      <c r="P308" s="173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spans="1:26" ht="15.75" customHeight="1">
      <c r="A309" s="125"/>
      <c r="B309" s="125"/>
      <c r="C309" s="125"/>
      <c r="D309" s="125"/>
      <c r="E309" s="125"/>
      <c r="F309" s="126"/>
      <c r="G309" s="125"/>
      <c r="H309" s="125"/>
      <c r="I309" s="125"/>
      <c r="J309" s="125"/>
      <c r="K309" s="125"/>
      <c r="L309" s="125"/>
      <c r="M309" s="125"/>
      <c r="N309" s="129"/>
      <c r="O309" s="125"/>
      <c r="P309" s="173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spans="1:26" ht="15.75" customHeight="1">
      <c r="A310" s="125"/>
      <c r="B310" s="125"/>
      <c r="C310" s="125"/>
      <c r="D310" s="125"/>
      <c r="E310" s="125"/>
      <c r="F310" s="126"/>
      <c r="G310" s="125"/>
      <c r="H310" s="125"/>
      <c r="I310" s="125"/>
      <c r="J310" s="125"/>
      <c r="K310" s="125"/>
      <c r="L310" s="125"/>
      <c r="M310" s="125"/>
      <c r="N310" s="129"/>
      <c r="O310" s="125"/>
      <c r="P310" s="173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spans="1:26" ht="15.75" customHeight="1">
      <c r="A311" s="125"/>
      <c r="B311" s="125"/>
      <c r="C311" s="125"/>
      <c r="D311" s="125"/>
      <c r="E311" s="125"/>
      <c r="F311" s="126"/>
      <c r="G311" s="125"/>
      <c r="H311" s="125"/>
      <c r="I311" s="125"/>
      <c r="J311" s="125"/>
      <c r="K311" s="125"/>
      <c r="L311" s="125"/>
      <c r="M311" s="125"/>
      <c r="N311" s="129"/>
      <c r="O311" s="125"/>
      <c r="P311" s="173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spans="1:26" ht="15.75" customHeight="1">
      <c r="A312" s="125"/>
      <c r="B312" s="125"/>
      <c r="C312" s="125"/>
      <c r="D312" s="125"/>
      <c r="E312" s="125"/>
      <c r="F312" s="126"/>
      <c r="G312" s="125"/>
      <c r="H312" s="125"/>
      <c r="I312" s="125"/>
      <c r="J312" s="125"/>
      <c r="K312" s="125"/>
      <c r="L312" s="125"/>
      <c r="M312" s="125"/>
      <c r="N312" s="129"/>
      <c r="O312" s="125"/>
      <c r="P312" s="173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spans="1:26" ht="15.75" customHeight="1">
      <c r="A313" s="125"/>
      <c r="B313" s="125"/>
      <c r="C313" s="125"/>
      <c r="D313" s="125"/>
      <c r="E313" s="125"/>
      <c r="F313" s="126"/>
      <c r="G313" s="125"/>
      <c r="H313" s="125"/>
      <c r="I313" s="125"/>
      <c r="J313" s="125"/>
      <c r="K313" s="125"/>
      <c r="L313" s="125"/>
      <c r="M313" s="125"/>
      <c r="N313" s="129"/>
      <c r="O313" s="125"/>
      <c r="P313" s="173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spans="1:26" ht="15.75" customHeight="1">
      <c r="A314" s="125"/>
      <c r="B314" s="125"/>
      <c r="C314" s="125"/>
      <c r="D314" s="125"/>
      <c r="E314" s="125"/>
      <c r="F314" s="126"/>
      <c r="G314" s="125"/>
      <c r="H314" s="125"/>
      <c r="I314" s="125"/>
      <c r="J314" s="125"/>
      <c r="K314" s="125"/>
      <c r="L314" s="125"/>
      <c r="M314" s="125"/>
      <c r="N314" s="129"/>
      <c r="O314" s="125"/>
      <c r="P314" s="173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spans="1:26" ht="15.75" customHeight="1">
      <c r="A315" s="125"/>
      <c r="B315" s="125"/>
      <c r="C315" s="125"/>
      <c r="D315" s="125"/>
      <c r="E315" s="125"/>
      <c r="F315" s="126"/>
      <c r="G315" s="125"/>
      <c r="H315" s="125"/>
      <c r="I315" s="125"/>
      <c r="J315" s="125"/>
      <c r="K315" s="125"/>
      <c r="L315" s="125"/>
      <c r="M315" s="125"/>
      <c r="N315" s="129"/>
      <c r="O315" s="125"/>
      <c r="P315" s="173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spans="1:26" ht="15.75" customHeight="1">
      <c r="A316" s="125"/>
      <c r="B316" s="125"/>
      <c r="C316" s="125"/>
      <c r="D316" s="125"/>
      <c r="E316" s="125"/>
      <c r="F316" s="126"/>
      <c r="G316" s="125"/>
      <c r="H316" s="125"/>
      <c r="I316" s="125"/>
      <c r="J316" s="125"/>
      <c r="K316" s="125"/>
      <c r="L316" s="125"/>
      <c r="M316" s="125"/>
      <c r="N316" s="129"/>
      <c r="O316" s="125"/>
      <c r="P316" s="173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spans="1:26" ht="15.75" customHeight="1">
      <c r="A317" s="125"/>
      <c r="B317" s="125"/>
      <c r="C317" s="125"/>
      <c r="D317" s="125"/>
      <c r="E317" s="125"/>
      <c r="F317" s="126"/>
      <c r="G317" s="125"/>
      <c r="H317" s="125"/>
      <c r="I317" s="125"/>
      <c r="J317" s="125"/>
      <c r="K317" s="125"/>
      <c r="L317" s="125"/>
      <c r="M317" s="125"/>
      <c r="N317" s="129"/>
      <c r="O317" s="125"/>
      <c r="P317" s="173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spans="1:26" ht="15.75" customHeight="1">
      <c r="A318" s="125"/>
      <c r="B318" s="125"/>
      <c r="C318" s="125"/>
      <c r="D318" s="125"/>
      <c r="E318" s="125"/>
      <c r="F318" s="126"/>
      <c r="G318" s="125"/>
      <c r="H318" s="125"/>
      <c r="I318" s="125"/>
      <c r="J318" s="125"/>
      <c r="K318" s="125"/>
      <c r="L318" s="125"/>
      <c r="M318" s="125"/>
      <c r="N318" s="129"/>
      <c r="O318" s="125"/>
      <c r="P318" s="173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spans="1:26" ht="15.75" customHeight="1">
      <c r="A319" s="125"/>
      <c r="B319" s="125"/>
      <c r="C319" s="125"/>
      <c r="D319" s="125"/>
      <c r="E319" s="125"/>
      <c r="F319" s="126"/>
      <c r="G319" s="125"/>
      <c r="H319" s="125"/>
      <c r="I319" s="125"/>
      <c r="J319" s="125"/>
      <c r="K319" s="125"/>
      <c r="L319" s="125"/>
      <c r="M319" s="125"/>
      <c r="N319" s="129"/>
      <c r="O319" s="125"/>
      <c r="P319" s="173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spans="1:26" ht="15.75" customHeight="1">
      <c r="A320" s="125"/>
      <c r="B320" s="125"/>
      <c r="C320" s="125"/>
      <c r="D320" s="125"/>
      <c r="E320" s="125"/>
      <c r="F320" s="126"/>
      <c r="G320" s="125"/>
      <c r="H320" s="125"/>
      <c r="I320" s="125"/>
      <c r="J320" s="125"/>
      <c r="K320" s="125"/>
      <c r="L320" s="125"/>
      <c r="M320" s="125"/>
      <c r="N320" s="129"/>
      <c r="O320" s="125"/>
      <c r="P320" s="173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spans="1:26" ht="15.75" customHeight="1">
      <c r="A321" s="125"/>
      <c r="B321" s="125"/>
      <c r="C321" s="125"/>
      <c r="D321" s="125"/>
      <c r="E321" s="125"/>
      <c r="F321" s="126"/>
      <c r="G321" s="125"/>
      <c r="H321" s="125"/>
      <c r="I321" s="125"/>
      <c r="J321" s="125"/>
      <c r="K321" s="125"/>
      <c r="L321" s="125"/>
      <c r="M321" s="125"/>
      <c r="N321" s="129"/>
      <c r="O321" s="125"/>
      <c r="P321" s="173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spans="1:26" ht="15.75" customHeight="1">
      <c r="A322" s="125"/>
      <c r="B322" s="125"/>
      <c r="C322" s="125"/>
      <c r="D322" s="125"/>
      <c r="E322" s="125"/>
      <c r="F322" s="126"/>
      <c r="G322" s="125"/>
      <c r="H322" s="125"/>
      <c r="I322" s="125"/>
      <c r="J322" s="125"/>
      <c r="K322" s="125"/>
      <c r="L322" s="125"/>
      <c r="M322" s="125"/>
      <c r="N322" s="129"/>
      <c r="O322" s="125"/>
      <c r="P322" s="173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spans="1:26" ht="15.75" customHeight="1">
      <c r="A323" s="125"/>
      <c r="B323" s="125"/>
      <c r="C323" s="125"/>
      <c r="D323" s="125"/>
      <c r="E323" s="125"/>
      <c r="F323" s="126"/>
      <c r="G323" s="125"/>
      <c r="H323" s="125"/>
      <c r="I323" s="125"/>
      <c r="J323" s="125"/>
      <c r="K323" s="125"/>
      <c r="L323" s="125"/>
      <c r="M323" s="125"/>
      <c r="N323" s="129"/>
      <c r="O323" s="125"/>
      <c r="P323" s="173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spans="1:26" ht="15.75" customHeight="1">
      <c r="A324" s="125"/>
      <c r="B324" s="125"/>
      <c r="C324" s="125"/>
      <c r="D324" s="125"/>
      <c r="E324" s="125"/>
      <c r="F324" s="126"/>
      <c r="G324" s="125"/>
      <c r="H324" s="125"/>
      <c r="I324" s="125"/>
      <c r="J324" s="125"/>
      <c r="K324" s="125"/>
      <c r="L324" s="125"/>
      <c r="M324" s="125"/>
      <c r="N324" s="129"/>
      <c r="O324" s="125"/>
      <c r="P324" s="173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spans="1:26" ht="15.75" customHeight="1">
      <c r="A325" s="125"/>
      <c r="B325" s="125"/>
      <c r="C325" s="125"/>
      <c r="D325" s="125"/>
      <c r="E325" s="125"/>
      <c r="F325" s="126"/>
      <c r="G325" s="125"/>
      <c r="H325" s="125"/>
      <c r="I325" s="125"/>
      <c r="J325" s="125"/>
      <c r="K325" s="125"/>
      <c r="L325" s="125"/>
      <c r="M325" s="125"/>
      <c r="N325" s="129"/>
      <c r="O325" s="125"/>
      <c r="P325" s="173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spans="1:26" ht="15.75" customHeight="1">
      <c r="A326" s="125"/>
      <c r="B326" s="125"/>
      <c r="C326" s="125"/>
      <c r="D326" s="125"/>
      <c r="E326" s="125"/>
      <c r="F326" s="126"/>
      <c r="G326" s="125"/>
      <c r="H326" s="125"/>
      <c r="I326" s="125"/>
      <c r="J326" s="125"/>
      <c r="K326" s="125"/>
      <c r="L326" s="125"/>
      <c r="M326" s="125"/>
      <c r="N326" s="129"/>
      <c r="O326" s="125"/>
      <c r="P326" s="173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spans="1:26" ht="15.75" customHeight="1">
      <c r="A327" s="125"/>
      <c r="B327" s="125"/>
      <c r="C327" s="125"/>
      <c r="D327" s="125"/>
      <c r="E327" s="125"/>
      <c r="F327" s="126"/>
      <c r="G327" s="125"/>
      <c r="H327" s="125"/>
      <c r="I327" s="125"/>
      <c r="J327" s="125"/>
      <c r="K327" s="125"/>
      <c r="L327" s="125"/>
      <c r="M327" s="125"/>
      <c r="N327" s="129"/>
      <c r="O327" s="125"/>
      <c r="P327" s="173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spans="1:26" ht="15.75" customHeight="1">
      <c r="A328" s="125"/>
      <c r="B328" s="125"/>
      <c r="C328" s="125"/>
      <c r="D328" s="125"/>
      <c r="E328" s="125"/>
      <c r="F328" s="126"/>
      <c r="G328" s="125"/>
      <c r="H328" s="125"/>
      <c r="I328" s="125"/>
      <c r="J328" s="125"/>
      <c r="K328" s="125"/>
      <c r="L328" s="125"/>
      <c r="M328" s="125"/>
      <c r="N328" s="129"/>
      <c r="O328" s="125"/>
      <c r="P328" s="173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spans="1:26" ht="15.75" customHeight="1">
      <c r="A329" s="125"/>
      <c r="B329" s="125"/>
      <c r="C329" s="125"/>
      <c r="D329" s="125"/>
      <c r="E329" s="125"/>
      <c r="F329" s="126"/>
      <c r="G329" s="125"/>
      <c r="H329" s="125"/>
      <c r="I329" s="125"/>
      <c r="J329" s="125"/>
      <c r="K329" s="125"/>
      <c r="L329" s="125"/>
      <c r="M329" s="125"/>
      <c r="N329" s="129"/>
      <c r="O329" s="125"/>
      <c r="P329" s="173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spans="1:26" ht="15.75" customHeight="1">
      <c r="A330" s="125"/>
      <c r="B330" s="125"/>
      <c r="C330" s="125"/>
      <c r="D330" s="125"/>
      <c r="E330" s="125"/>
      <c r="F330" s="126"/>
      <c r="G330" s="125"/>
      <c r="H330" s="125"/>
      <c r="I330" s="125"/>
      <c r="J330" s="125"/>
      <c r="K330" s="125"/>
      <c r="L330" s="125"/>
      <c r="M330" s="125"/>
      <c r="N330" s="129"/>
      <c r="O330" s="125"/>
      <c r="P330" s="173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spans="1:26" ht="15.75" customHeight="1">
      <c r="A331" s="125"/>
      <c r="B331" s="125"/>
      <c r="C331" s="125"/>
      <c r="D331" s="125"/>
      <c r="E331" s="125"/>
      <c r="F331" s="126"/>
      <c r="G331" s="125"/>
      <c r="H331" s="125"/>
      <c r="I331" s="125"/>
      <c r="J331" s="125"/>
      <c r="K331" s="125"/>
      <c r="L331" s="125"/>
      <c r="M331" s="125"/>
      <c r="N331" s="129"/>
      <c r="O331" s="125"/>
      <c r="P331" s="173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spans="1:26" ht="15.75" customHeight="1">
      <c r="A332" s="125"/>
      <c r="B332" s="125"/>
      <c r="C332" s="125"/>
      <c r="D332" s="125"/>
      <c r="E332" s="125"/>
      <c r="F332" s="126"/>
      <c r="G332" s="125"/>
      <c r="H332" s="125"/>
      <c r="I332" s="125"/>
      <c r="J332" s="125"/>
      <c r="K332" s="125"/>
      <c r="L332" s="125"/>
      <c r="M332" s="125"/>
      <c r="N332" s="129"/>
      <c r="O332" s="125"/>
      <c r="P332" s="173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spans="1:26" ht="15.75" customHeight="1">
      <c r="A333" s="125"/>
      <c r="B333" s="125"/>
      <c r="C333" s="125"/>
      <c r="D333" s="125"/>
      <c r="E333" s="125"/>
      <c r="F333" s="126"/>
      <c r="G333" s="125"/>
      <c r="H333" s="125"/>
      <c r="I333" s="125"/>
      <c r="J333" s="125"/>
      <c r="K333" s="125"/>
      <c r="L333" s="125"/>
      <c r="M333" s="125"/>
      <c r="N333" s="129"/>
      <c r="O333" s="125"/>
      <c r="P333" s="173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spans="1:26" ht="15.75" customHeight="1">
      <c r="A334" s="125"/>
      <c r="B334" s="125"/>
      <c r="C334" s="125"/>
      <c r="D334" s="125"/>
      <c r="E334" s="125"/>
      <c r="F334" s="126"/>
      <c r="G334" s="125"/>
      <c r="H334" s="125"/>
      <c r="I334" s="125"/>
      <c r="J334" s="125"/>
      <c r="K334" s="125"/>
      <c r="L334" s="125"/>
      <c r="M334" s="125"/>
      <c r="N334" s="129"/>
      <c r="O334" s="125"/>
      <c r="P334" s="173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spans="1:26" ht="15.75" customHeight="1">
      <c r="A335" s="125"/>
      <c r="B335" s="125"/>
      <c r="C335" s="125"/>
      <c r="D335" s="125"/>
      <c r="E335" s="125"/>
      <c r="F335" s="126"/>
      <c r="G335" s="125"/>
      <c r="H335" s="125"/>
      <c r="I335" s="125"/>
      <c r="J335" s="125"/>
      <c r="K335" s="125"/>
      <c r="L335" s="125"/>
      <c r="M335" s="125"/>
      <c r="N335" s="129"/>
      <c r="O335" s="125"/>
      <c r="P335" s="173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spans="1:26" ht="15.75" customHeight="1">
      <c r="A336" s="125"/>
      <c r="B336" s="125"/>
      <c r="C336" s="125"/>
      <c r="D336" s="125"/>
      <c r="E336" s="125"/>
      <c r="F336" s="126"/>
      <c r="G336" s="125"/>
      <c r="H336" s="125"/>
      <c r="I336" s="125"/>
      <c r="J336" s="125"/>
      <c r="K336" s="125"/>
      <c r="L336" s="125"/>
      <c r="M336" s="125"/>
      <c r="N336" s="129"/>
      <c r="O336" s="125"/>
      <c r="P336" s="173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spans="1:26" ht="15.75" customHeight="1">
      <c r="A337" s="125"/>
      <c r="B337" s="125"/>
      <c r="C337" s="125"/>
      <c r="D337" s="125"/>
      <c r="E337" s="125"/>
      <c r="F337" s="126"/>
      <c r="G337" s="125"/>
      <c r="H337" s="125"/>
      <c r="I337" s="125"/>
      <c r="J337" s="125"/>
      <c r="K337" s="125"/>
      <c r="L337" s="125"/>
      <c r="M337" s="125"/>
      <c r="N337" s="129"/>
      <c r="O337" s="125"/>
      <c r="P337" s="173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spans="1:26" ht="15.75" customHeight="1">
      <c r="A338" s="125"/>
      <c r="B338" s="125"/>
      <c r="C338" s="125"/>
      <c r="D338" s="125"/>
      <c r="E338" s="125"/>
      <c r="F338" s="126"/>
      <c r="G338" s="125"/>
      <c r="H338" s="125"/>
      <c r="I338" s="125"/>
      <c r="J338" s="125"/>
      <c r="K338" s="125"/>
      <c r="L338" s="125"/>
      <c r="M338" s="125"/>
      <c r="N338" s="129"/>
      <c r="O338" s="125"/>
      <c r="P338" s="173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spans="1:26" ht="15.75" customHeight="1">
      <c r="A339" s="125"/>
      <c r="B339" s="125"/>
      <c r="C339" s="125"/>
      <c r="D339" s="125"/>
      <c r="E339" s="125"/>
      <c r="F339" s="126"/>
      <c r="G339" s="125"/>
      <c r="H339" s="125"/>
      <c r="I339" s="125"/>
      <c r="J339" s="125"/>
      <c r="K339" s="125"/>
      <c r="L339" s="125"/>
      <c r="M339" s="125"/>
      <c r="N339" s="129"/>
      <c r="O339" s="125"/>
      <c r="P339" s="173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spans="1:26" ht="15.75" customHeight="1">
      <c r="A340" s="125"/>
      <c r="B340" s="125"/>
      <c r="C340" s="125"/>
      <c r="D340" s="125"/>
      <c r="E340" s="125"/>
      <c r="F340" s="126"/>
      <c r="G340" s="125"/>
      <c r="H340" s="125"/>
      <c r="I340" s="125"/>
      <c r="J340" s="125"/>
      <c r="K340" s="125"/>
      <c r="L340" s="125"/>
      <c r="M340" s="125"/>
      <c r="N340" s="129"/>
      <c r="O340" s="125"/>
      <c r="P340" s="173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spans="1:26" ht="15.75" customHeight="1">
      <c r="A341" s="125"/>
      <c r="B341" s="125"/>
      <c r="C341" s="125"/>
      <c r="D341" s="125"/>
      <c r="E341" s="125"/>
      <c r="F341" s="126"/>
      <c r="G341" s="125"/>
      <c r="H341" s="125"/>
      <c r="I341" s="125"/>
      <c r="J341" s="125"/>
      <c r="K341" s="125"/>
      <c r="L341" s="125"/>
      <c r="M341" s="125"/>
      <c r="N341" s="129"/>
      <c r="O341" s="125"/>
      <c r="P341" s="173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spans="1:26" ht="15.75" customHeight="1">
      <c r="A342" s="125"/>
      <c r="B342" s="125"/>
      <c r="C342" s="125"/>
      <c r="D342" s="125"/>
      <c r="E342" s="125"/>
      <c r="F342" s="126"/>
      <c r="G342" s="125"/>
      <c r="H342" s="125"/>
      <c r="I342" s="125"/>
      <c r="J342" s="125"/>
      <c r="K342" s="125"/>
      <c r="L342" s="125"/>
      <c r="M342" s="125"/>
      <c r="N342" s="129"/>
      <c r="O342" s="125"/>
      <c r="P342" s="173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spans="1:26" ht="15.75" customHeight="1">
      <c r="A343" s="125"/>
      <c r="B343" s="125"/>
      <c r="C343" s="125"/>
      <c r="D343" s="125"/>
      <c r="E343" s="125"/>
      <c r="F343" s="126"/>
      <c r="G343" s="125"/>
      <c r="H343" s="125"/>
      <c r="I343" s="125"/>
      <c r="J343" s="125"/>
      <c r="K343" s="125"/>
      <c r="L343" s="125"/>
      <c r="M343" s="125"/>
      <c r="N343" s="129"/>
      <c r="O343" s="125"/>
      <c r="P343" s="173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spans="1:26" ht="15.75" customHeight="1">
      <c r="A344" s="125"/>
      <c r="B344" s="125"/>
      <c r="C344" s="125"/>
      <c r="D344" s="125"/>
      <c r="E344" s="125"/>
      <c r="F344" s="126"/>
      <c r="G344" s="125"/>
      <c r="H344" s="125"/>
      <c r="I344" s="125"/>
      <c r="J344" s="125"/>
      <c r="K344" s="125"/>
      <c r="L344" s="125"/>
      <c r="M344" s="125"/>
      <c r="N344" s="129"/>
      <c r="O344" s="125"/>
      <c r="P344" s="173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spans="1:26" ht="15.75" customHeight="1">
      <c r="A345" s="125"/>
      <c r="B345" s="125"/>
      <c r="C345" s="125"/>
      <c r="D345" s="125"/>
      <c r="E345" s="125"/>
      <c r="F345" s="126"/>
      <c r="G345" s="125"/>
      <c r="H345" s="125"/>
      <c r="I345" s="125"/>
      <c r="J345" s="125"/>
      <c r="K345" s="125"/>
      <c r="L345" s="125"/>
      <c r="M345" s="125"/>
      <c r="N345" s="129"/>
      <c r="O345" s="125"/>
      <c r="P345" s="173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spans="1:26" ht="15.75" customHeight="1">
      <c r="A346" s="125"/>
      <c r="B346" s="125"/>
      <c r="C346" s="125"/>
      <c r="D346" s="125"/>
      <c r="E346" s="125"/>
      <c r="F346" s="126"/>
      <c r="G346" s="125"/>
      <c r="H346" s="125"/>
      <c r="I346" s="125"/>
      <c r="J346" s="125"/>
      <c r="K346" s="125"/>
      <c r="L346" s="125"/>
      <c r="M346" s="125"/>
      <c r="N346" s="129"/>
      <c r="O346" s="125"/>
      <c r="P346" s="173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spans="1:26" ht="15.75" customHeight="1">
      <c r="A347" s="125"/>
      <c r="B347" s="125"/>
      <c r="C347" s="125"/>
      <c r="D347" s="125"/>
      <c r="E347" s="125"/>
      <c r="F347" s="126"/>
      <c r="G347" s="125"/>
      <c r="H347" s="125"/>
      <c r="I347" s="125"/>
      <c r="J347" s="125"/>
      <c r="K347" s="125"/>
      <c r="L347" s="125"/>
      <c r="M347" s="125"/>
      <c r="N347" s="129"/>
      <c r="O347" s="125"/>
      <c r="P347" s="173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spans="1:26" ht="15.75" customHeight="1">
      <c r="A348" s="125"/>
      <c r="B348" s="125"/>
      <c r="C348" s="125"/>
      <c r="D348" s="125"/>
      <c r="E348" s="125"/>
      <c r="F348" s="126"/>
      <c r="G348" s="125"/>
      <c r="H348" s="125"/>
      <c r="I348" s="125"/>
      <c r="J348" s="125"/>
      <c r="K348" s="125"/>
      <c r="L348" s="125"/>
      <c r="M348" s="125"/>
      <c r="N348" s="129"/>
      <c r="O348" s="125"/>
      <c r="P348" s="173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spans="1:26" ht="15.75" customHeight="1">
      <c r="A349" s="125"/>
      <c r="B349" s="125"/>
      <c r="C349" s="125"/>
      <c r="D349" s="125"/>
      <c r="E349" s="125"/>
      <c r="F349" s="126"/>
      <c r="G349" s="125"/>
      <c r="H349" s="125"/>
      <c r="I349" s="125"/>
      <c r="J349" s="125"/>
      <c r="K349" s="125"/>
      <c r="L349" s="125"/>
      <c r="M349" s="125"/>
      <c r="N349" s="129"/>
      <c r="O349" s="125"/>
      <c r="P349" s="173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spans="1:26" ht="15.75" customHeight="1">
      <c r="A350" s="125"/>
      <c r="B350" s="125"/>
      <c r="C350" s="125"/>
      <c r="D350" s="125"/>
      <c r="E350" s="125"/>
      <c r="F350" s="126"/>
      <c r="G350" s="125"/>
      <c r="H350" s="125"/>
      <c r="I350" s="125"/>
      <c r="J350" s="125"/>
      <c r="K350" s="125"/>
      <c r="L350" s="125"/>
      <c r="M350" s="125"/>
      <c r="N350" s="129"/>
      <c r="O350" s="125"/>
      <c r="P350" s="173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spans="1:26" ht="15.75" customHeight="1">
      <c r="A351" s="125"/>
      <c r="B351" s="125"/>
      <c r="C351" s="125"/>
      <c r="D351" s="125"/>
      <c r="E351" s="125"/>
      <c r="F351" s="126"/>
      <c r="G351" s="125"/>
      <c r="H351" s="125"/>
      <c r="I351" s="125"/>
      <c r="J351" s="125"/>
      <c r="K351" s="125"/>
      <c r="L351" s="125"/>
      <c r="M351" s="125"/>
      <c r="N351" s="129"/>
      <c r="O351" s="125"/>
      <c r="P351" s="173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spans="1:26" ht="15.75" customHeight="1">
      <c r="A352" s="125"/>
      <c r="B352" s="125"/>
      <c r="C352" s="125"/>
      <c r="D352" s="125"/>
      <c r="E352" s="125"/>
      <c r="F352" s="126"/>
      <c r="G352" s="125"/>
      <c r="H352" s="125"/>
      <c r="I352" s="125"/>
      <c r="J352" s="125"/>
      <c r="K352" s="125"/>
      <c r="L352" s="125"/>
      <c r="M352" s="125"/>
      <c r="N352" s="129"/>
      <c r="O352" s="125"/>
      <c r="P352" s="173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spans="1:26" ht="15.75" customHeight="1">
      <c r="A353" s="125"/>
      <c r="B353" s="125"/>
      <c r="C353" s="125"/>
      <c r="D353" s="125"/>
      <c r="E353" s="125"/>
      <c r="F353" s="126"/>
      <c r="G353" s="125"/>
      <c r="H353" s="125"/>
      <c r="I353" s="125"/>
      <c r="J353" s="125"/>
      <c r="K353" s="125"/>
      <c r="L353" s="125"/>
      <c r="M353" s="125"/>
      <c r="N353" s="129"/>
      <c r="O353" s="125"/>
      <c r="P353" s="173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spans="1:26" ht="15.75" customHeight="1">
      <c r="A354" s="125"/>
      <c r="B354" s="125"/>
      <c r="C354" s="125"/>
      <c r="D354" s="125"/>
      <c r="E354" s="125"/>
      <c r="F354" s="126"/>
      <c r="G354" s="125"/>
      <c r="H354" s="125"/>
      <c r="I354" s="125"/>
      <c r="J354" s="125"/>
      <c r="K354" s="125"/>
      <c r="L354" s="125"/>
      <c r="M354" s="125"/>
      <c r="N354" s="129"/>
      <c r="O354" s="125"/>
      <c r="P354" s="173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spans="1:26" ht="15.75" customHeight="1">
      <c r="A355" s="125"/>
      <c r="B355" s="125"/>
      <c r="C355" s="125"/>
      <c r="D355" s="125"/>
      <c r="E355" s="125"/>
      <c r="F355" s="126"/>
      <c r="G355" s="125"/>
      <c r="H355" s="125"/>
      <c r="I355" s="125"/>
      <c r="J355" s="125"/>
      <c r="K355" s="125"/>
      <c r="L355" s="125"/>
      <c r="M355" s="125"/>
      <c r="N355" s="129"/>
      <c r="O355" s="125"/>
      <c r="P355" s="173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spans="1:26" ht="15.75" customHeight="1">
      <c r="A356" s="125"/>
      <c r="B356" s="125"/>
      <c r="C356" s="125"/>
      <c r="D356" s="125"/>
      <c r="E356" s="125"/>
      <c r="F356" s="126"/>
      <c r="G356" s="125"/>
      <c r="H356" s="125"/>
      <c r="I356" s="125"/>
      <c r="J356" s="125"/>
      <c r="K356" s="125"/>
      <c r="L356" s="125"/>
      <c r="M356" s="125"/>
      <c r="N356" s="129"/>
      <c r="O356" s="125"/>
      <c r="P356" s="173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spans="1:26" ht="15.75" customHeight="1">
      <c r="A357" s="125"/>
      <c r="B357" s="125"/>
      <c r="C357" s="125"/>
      <c r="D357" s="125"/>
      <c r="E357" s="125"/>
      <c r="F357" s="126"/>
      <c r="G357" s="125"/>
      <c r="H357" s="125"/>
      <c r="I357" s="125"/>
      <c r="J357" s="125"/>
      <c r="K357" s="125"/>
      <c r="L357" s="125"/>
      <c r="M357" s="125"/>
      <c r="N357" s="129"/>
      <c r="O357" s="125"/>
      <c r="P357" s="173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spans="1:26" ht="15.75" customHeight="1">
      <c r="A358" s="125"/>
      <c r="B358" s="125"/>
      <c r="C358" s="125"/>
      <c r="D358" s="125"/>
      <c r="E358" s="125"/>
      <c r="F358" s="126"/>
      <c r="G358" s="125"/>
      <c r="H358" s="125"/>
      <c r="I358" s="125"/>
      <c r="J358" s="125"/>
      <c r="K358" s="125"/>
      <c r="L358" s="125"/>
      <c r="M358" s="125"/>
      <c r="N358" s="129"/>
      <c r="O358" s="125"/>
      <c r="P358" s="173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spans="1:26" ht="15.75" customHeight="1">
      <c r="A359" s="125"/>
      <c r="B359" s="125"/>
      <c r="C359" s="125"/>
      <c r="D359" s="125"/>
      <c r="E359" s="125"/>
      <c r="F359" s="126"/>
      <c r="G359" s="125"/>
      <c r="H359" s="125"/>
      <c r="I359" s="125"/>
      <c r="J359" s="125"/>
      <c r="K359" s="125"/>
      <c r="L359" s="125"/>
      <c r="M359" s="125"/>
      <c r="N359" s="129"/>
      <c r="O359" s="125"/>
      <c r="P359" s="173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spans="1:26" ht="15.75" customHeight="1">
      <c r="A360" s="125"/>
      <c r="B360" s="125"/>
      <c r="C360" s="125"/>
      <c r="D360" s="125"/>
      <c r="E360" s="125"/>
      <c r="F360" s="126"/>
      <c r="G360" s="125"/>
      <c r="H360" s="125"/>
      <c r="I360" s="125"/>
      <c r="J360" s="125"/>
      <c r="K360" s="125"/>
      <c r="L360" s="125"/>
      <c r="M360" s="125"/>
      <c r="N360" s="129"/>
      <c r="O360" s="125"/>
      <c r="P360" s="173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spans="1:26" ht="15.75" customHeight="1">
      <c r="A361" s="125"/>
      <c r="B361" s="125"/>
      <c r="C361" s="125"/>
      <c r="D361" s="125"/>
      <c r="E361" s="125"/>
      <c r="F361" s="126"/>
      <c r="G361" s="125"/>
      <c r="H361" s="125"/>
      <c r="I361" s="125"/>
      <c r="J361" s="125"/>
      <c r="K361" s="125"/>
      <c r="L361" s="125"/>
      <c r="M361" s="125"/>
      <c r="N361" s="129"/>
      <c r="O361" s="125"/>
      <c r="P361" s="173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spans="1:26" ht="15.75" customHeight="1">
      <c r="A362" s="125"/>
      <c r="B362" s="125"/>
      <c r="C362" s="125"/>
      <c r="D362" s="125"/>
      <c r="E362" s="125"/>
      <c r="F362" s="126"/>
      <c r="G362" s="125"/>
      <c r="H362" s="125"/>
      <c r="I362" s="125"/>
      <c r="J362" s="125"/>
      <c r="K362" s="125"/>
      <c r="L362" s="125"/>
      <c r="M362" s="125"/>
      <c r="N362" s="129"/>
      <c r="O362" s="125"/>
      <c r="P362" s="173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spans="1:26" ht="15.75" customHeight="1">
      <c r="A363" s="125"/>
      <c r="B363" s="125"/>
      <c r="C363" s="125"/>
      <c r="D363" s="125"/>
      <c r="E363" s="125"/>
      <c r="F363" s="126"/>
      <c r="G363" s="125"/>
      <c r="H363" s="125"/>
      <c r="I363" s="125"/>
      <c r="J363" s="125"/>
      <c r="K363" s="125"/>
      <c r="L363" s="125"/>
      <c r="M363" s="125"/>
      <c r="N363" s="129"/>
      <c r="O363" s="125"/>
      <c r="P363" s="173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spans="1:26" ht="15.75" customHeight="1">
      <c r="A364" s="125"/>
      <c r="B364" s="125"/>
      <c r="C364" s="125"/>
      <c r="D364" s="125"/>
      <c r="E364" s="125"/>
      <c r="F364" s="126"/>
      <c r="G364" s="125"/>
      <c r="H364" s="125"/>
      <c r="I364" s="125"/>
      <c r="J364" s="125"/>
      <c r="K364" s="125"/>
      <c r="L364" s="125"/>
      <c r="M364" s="125"/>
      <c r="N364" s="129"/>
      <c r="O364" s="125"/>
      <c r="P364" s="173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spans="1:26" ht="15.75" customHeight="1">
      <c r="A365" s="125"/>
      <c r="B365" s="125"/>
      <c r="C365" s="125"/>
      <c r="D365" s="125"/>
      <c r="E365" s="125"/>
      <c r="F365" s="126"/>
      <c r="G365" s="125"/>
      <c r="H365" s="125"/>
      <c r="I365" s="125"/>
      <c r="J365" s="125"/>
      <c r="K365" s="125"/>
      <c r="L365" s="125"/>
      <c r="M365" s="125"/>
      <c r="N365" s="129"/>
      <c r="O365" s="125"/>
      <c r="P365" s="173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spans="1:26" ht="15.75" customHeight="1">
      <c r="A366" s="125"/>
      <c r="B366" s="125"/>
      <c r="C366" s="125"/>
      <c r="D366" s="125"/>
      <c r="E366" s="125"/>
      <c r="F366" s="126"/>
      <c r="G366" s="125"/>
      <c r="H366" s="125"/>
      <c r="I366" s="125"/>
      <c r="J366" s="125"/>
      <c r="K366" s="125"/>
      <c r="L366" s="125"/>
      <c r="M366" s="125"/>
      <c r="N366" s="129"/>
      <c r="O366" s="125"/>
      <c r="P366" s="173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6" ht="15.75" customHeight="1">
      <c r="A367" s="125"/>
      <c r="B367" s="125"/>
      <c r="C367" s="125"/>
      <c r="D367" s="125"/>
      <c r="E367" s="125"/>
      <c r="F367" s="126"/>
      <c r="G367" s="125"/>
      <c r="H367" s="125"/>
      <c r="I367" s="125"/>
      <c r="J367" s="125"/>
      <c r="K367" s="125"/>
      <c r="L367" s="125"/>
      <c r="M367" s="125"/>
      <c r="N367" s="129"/>
      <c r="O367" s="125"/>
      <c r="P367" s="173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spans="1:26" ht="15.75" customHeight="1">
      <c r="A368" s="125"/>
      <c r="B368" s="125"/>
      <c r="C368" s="125"/>
      <c r="D368" s="125"/>
      <c r="E368" s="125"/>
      <c r="F368" s="126"/>
      <c r="G368" s="125"/>
      <c r="H368" s="125"/>
      <c r="I368" s="125"/>
      <c r="J368" s="125"/>
      <c r="K368" s="125"/>
      <c r="L368" s="125"/>
      <c r="M368" s="125"/>
      <c r="N368" s="129"/>
      <c r="O368" s="125"/>
      <c r="P368" s="173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spans="1:26" ht="15.75" customHeight="1">
      <c r="A369" s="125"/>
      <c r="B369" s="125"/>
      <c r="C369" s="125"/>
      <c r="D369" s="125"/>
      <c r="E369" s="125"/>
      <c r="F369" s="126"/>
      <c r="G369" s="125"/>
      <c r="H369" s="125"/>
      <c r="I369" s="125"/>
      <c r="J369" s="125"/>
      <c r="K369" s="125"/>
      <c r="L369" s="125"/>
      <c r="M369" s="125"/>
      <c r="N369" s="129"/>
      <c r="O369" s="125"/>
      <c r="P369" s="173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spans="1:26" ht="15.75" customHeight="1">
      <c r="A370" s="125"/>
      <c r="B370" s="125"/>
      <c r="C370" s="125"/>
      <c r="D370" s="125"/>
      <c r="E370" s="125"/>
      <c r="F370" s="126"/>
      <c r="G370" s="125"/>
      <c r="H370" s="125"/>
      <c r="I370" s="125"/>
      <c r="J370" s="125"/>
      <c r="K370" s="125"/>
      <c r="L370" s="125"/>
      <c r="M370" s="125"/>
      <c r="N370" s="129"/>
      <c r="O370" s="125"/>
      <c r="P370" s="173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spans="1:26" ht="15.75" customHeight="1">
      <c r="A371" s="125"/>
      <c r="B371" s="125"/>
      <c r="C371" s="125"/>
      <c r="D371" s="125"/>
      <c r="E371" s="125"/>
      <c r="F371" s="126"/>
      <c r="G371" s="125"/>
      <c r="H371" s="125"/>
      <c r="I371" s="125"/>
      <c r="J371" s="125"/>
      <c r="K371" s="125"/>
      <c r="L371" s="125"/>
      <c r="M371" s="125"/>
      <c r="N371" s="129"/>
      <c r="O371" s="125"/>
      <c r="P371" s="173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spans="1:26" ht="15.75" customHeight="1">
      <c r="A372" s="125"/>
      <c r="B372" s="125"/>
      <c r="C372" s="125"/>
      <c r="D372" s="125"/>
      <c r="E372" s="125"/>
      <c r="F372" s="126"/>
      <c r="G372" s="125"/>
      <c r="H372" s="125"/>
      <c r="I372" s="125"/>
      <c r="J372" s="125"/>
      <c r="K372" s="125"/>
      <c r="L372" s="125"/>
      <c r="M372" s="125"/>
      <c r="N372" s="129"/>
      <c r="O372" s="125"/>
      <c r="P372" s="173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spans="1:26" ht="15.75" customHeight="1">
      <c r="A373" s="125"/>
      <c r="B373" s="125"/>
      <c r="C373" s="125"/>
      <c r="D373" s="125"/>
      <c r="E373" s="125"/>
      <c r="F373" s="126"/>
      <c r="G373" s="125"/>
      <c r="H373" s="125"/>
      <c r="I373" s="125"/>
      <c r="J373" s="125"/>
      <c r="K373" s="125"/>
      <c r="L373" s="125"/>
      <c r="M373" s="125"/>
      <c r="N373" s="129"/>
      <c r="O373" s="125"/>
      <c r="P373" s="173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spans="1:26" ht="15.75" customHeight="1">
      <c r="A374" s="125"/>
      <c r="B374" s="125"/>
      <c r="C374" s="125"/>
      <c r="D374" s="125"/>
      <c r="E374" s="125"/>
      <c r="F374" s="126"/>
      <c r="G374" s="125"/>
      <c r="H374" s="125"/>
      <c r="I374" s="125"/>
      <c r="J374" s="125"/>
      <c r="K374" s="125"/>
      <c r="L374" s="125"/>
      <c r="M374" s="125"/>
      <c r="N374" s="129"/>
      <c r="O374" s="125"/>
      <c r="P374" s="173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spans="1:26" ht="15.75" customHeight="1">
      <c r="A375" s="125"/>
      <c r="B375" s="125"/>
      <c r="C375" s="125"/>
      <c r="D375" s="125"/>
      <c r="E375" s="125"/>
      <c r="F375" s="126"/>
      <c r="G375" s="125"/>
      <c r="H375" s="125"/>
      <c r="I375" s="125"/>
      <c r="J375" s="125"/>
      <c r="K375" s="125"/>
      <c r="L375" s="125"/>
      <c r="M375" s="125"/>
      <c r="N375" s="129"/>
      <c r="O375" s="125"/>
      <c r="P375" s="173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spans="1:26" ht="15.75" customHeight="1">
      <c r="A376" s="125"/>
      <c r="B376" s="125"/>
      <c r="C376" s="125"/>
      <c r="D376" s="125"/>
      <c r="E376" s="125"/>
      <c r="F376" s="126"/>
      <c r="G376" s="125"/>
      <c r="H376" s="125"/>
      <c r="I376" s="125"/>
      <c r="J376" s="125"/>
      <c r="K376" s="125"/>
      <c r="L376" s="125"/>
      <c r="M376" s="125"/>
      <c r="N376" s="129"/>
      <c r="O376" s="125"/>
      <c r="P376" s="173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spans="1:26" ht="15.75" customHeight="1">
      <c r="A377" s="125"/>
      <c r="B377" s="125"/>
      <c r="C377" s="125"/>
      <c r="D377" s="125"/>
      <c r="E377" s="125"/>
      <c r="F377" s="126"/>
      <c r="G377" s="125"/>
      <c r="H377" s="125"/>
      <c r="I377" s="125"/>
      <c r="J377" s="125"/>
      <c r="K377" s="125"/>
      <c r="L377" s="125"/>
      <c r="M377" s="125"/>
      <c r="N377" s="129"/>
      <c r="O377" s="125"/>
      <c r="P377" s="173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spans="1:26" ht="15.75" customHeight="1">
      <c r="A378" s="125"/>
      <c r="B378" s="125"/>
      <c r="C378" s="125"/>
      <c r="D378" s="125"/>
      <c r="E378" s="125"/>
      <c r="F378" s="126"/>
      <c r="G378" s="125"/>
      <c r="H378" s="125"/>
      <c r="I378" s="125"/>
      <c r="J378" s="125"/>
      <c r="K378" s="125"/>
      <c r="L378" s="125"/>
      <c r="M378" s="125"/>
      <c r="N378" s="129"/>
      <c r="O378" s="125"/>
      <c r="P378" s="173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spans="1:26" ht="15.75" customHeight="1">
      <c r="A379" s="125"/>
      <c r="B379" s="125"/>
      <c r="C379" s="125"/>
      <c r="D379" s="125"/>
      <c r="E379" s="125"/>
      <c r="F379" s="126"/>
      <c r="G379" s="125"/>
      <c r="H379" s="125"/>
      <c r="I379" s="125"/>
      <c r="J379" s="125"/>
      <c r="K379" s="125"/>
      <c r="L379" s="125"/>
      <c r="M379" s="125"/>
      <c r="N379" s="129"/>
      <c r="O379" s="125"/>
      <c r="P379" s="173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spans="1:26" ht="15.75" customHeight="1">
      <c r="A380" s="125"/>
      <c r="B380" s="125"/>
      <c r="C380" s="125"/>
      <c r="D380" s="125"/>
      <c r="E380" s="125"/>
      <c r="F380" s="126"/>
      <c r="G380" s="125"/>
      <c r="H380" s="125"/>
      <c r="I380" s="125"/>
      <c r="J380" s="125"/>
      <c r="K380" s="125"/>
      <c r="L380" s="125"/>
      <c r="M380" s="125"/>
      <c r="N380" s="129"/>
      <c r="O380" s="125"/>
      <c r="P380" s="173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spans="1:26" ht="15.75" customHeight="1">
      <c r="A381" s="125"/>
      <c r="B381" s="125"/>
      <c r="C381" s="125"/>
      <c r="D381" s="125"/>
      <c r="E381" s="125"/>
      <c r="F381" s="126"/>
      <c r="G381" s="125"/>
      <c r="H381" s="125"/>
      <c r="I381" s="125"/>
      <c r="J381" s="125"/>
      <c r="K381" s="125"/>
      <c r="L381" s="125"/>
      <c r="M381" s="125"/>
      <c r="N381" s="129"/>
      <c r="O381" s="125"/>
      <c r="P381" s="173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spans="1:26" ht="15.75" customHeight="1">
      <c r="A382" s="125"/>
      <c r="B382" s="125"/>
      <c r="C382" s="125"/>
      <c r="D382" s="125"/>
      <c r="E382" s="125"/>
      <c r="F382" s="126"/>
      <c r="G382" s="125"/>
      <c r="H382" s="125"/>
      <c r="I382" s="125"/>
      <c r="J382" s="125"/>
      <c r="K382" s="125"/>
      <c r="L382" s="125"/>
      <c r="M382" s="125"/>
      <c r="N382" s="129"/>
      <c r="O382" s="125"/>
      <c r="P382" s="173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spans="1:26" ht="15.75" customHeight="1">
      <c r="A383" s="125"/>
      <c r="B383" s="125"/>
      <c r="C383" s="125"/>
      <c r="D383" s="125"/>
      <c r="E383" s="125"/>
      <c r="F383" s="126"/>
      <c r="G383" s="125"/>
      <c r="H383" s="125"/>
      <c r="I383" s="125"/>
      <c r="J383" s="125"/>
      <c r="K383" s="125"/>
      <c r="L383" s="125"/>
      <c r="M383" s="125"/>
      <c r="N383" s="129"/>
      <c r="O383" s="125"/>
      <c r="P383" s="173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spans="1:26" ht="15.75" customHeight="1">
      <c r="A384" s="125"/>
      <c r="B384" s="125"/>
      <c r="C384" s="125"/>
      <c r="D384" s="125"/>
      <c r="E384" s="125"/>
      <c r="F384" s="126"/>
      <c r="G384" s="125"/>
      <c r="H384" s="125"/>
      <c r="I384" s="125"/>
      <c r="J384" s="125"/>
      <c r="K384" s="125"/>
      <c r="L384" s="125"/>
      <c r="M384" s="125"/>
      <c r="N384" s="129"/>
      <c r="O384" s="125"/>
      <c r="P384" s="173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spans="1:26" ht="15.75" customHeight="1">
      <c r="A385" s="125"/>
      <c r="B385" s="125"/>
      <c r="C385" s="125"/>
      <c r="D385" s="125"/>
      <c r="E385" s="125"/>
      <c r="F385" s="126"/>
      <c r="G385" s="125"/>
      <c r="H385" s="125"/>
      <c r="I385" s="125"/>
      <c r="J385" s="125"/>
      <c r="K385" s="125"/>
      <c r="L385" s="125"/>
      <c r="M385" s="125"/>
      <c r="N385" s="129"/>
      <c r="O385" s="125"/>
      <c r="P385" s="173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spans="1:26" ht="15.75" customHeight="1">
      <c r="A386" s="125"/>
      <c r="B386" s="125"/>
      <c r="C386" s="125"/>
      <c r="D386" s="125"/>
      <c r="E386" s="125"/>
      <c r="F386" s="126"/>
      <c r="G386" s="125"/>
      <c r="H386" s="125"/>
      <c r="I386" s="125"/>
      <c r="J386" s="125"/>
      <c r="K386" s="125"/>
      <c r="L386" s="125"/>
      <c r="M386" s="125"/>
      <c r="N386" s="129"/>
      <c r="O386" s="125"/>
      <c r="P386" s="173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spans="1:26" ht="15.75" customHeight="1">
      <c r="A387" s="125"/>
      <c r="B387" s="125"/>
      <c r="C387" s="125"/>
      <c r="D387" s="125"/>
      <c r="E387" s="125"/>
      <c r="F387" s="126"/>
      <c r="G387" s="125"/>
      <c r="H387" s="125"/>
      <c r="I387" s="125"/>
      <c r="J387" s="125"/>
      <c r="K387" s="125"/>
      <c r="L387" s="125"/>
      <c r="M387" s="125"/>
      <c r="N387" s="129"/>
      <c r="O387" s="125"/>
      <c r="P387" s="173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spans="1:26" ht="15.75" customHeight="1">
      <c r="A388" s="125"/>
      <c r="B388" s="125"/>
      <c r="C388" s="125"/>
      <c r="D388" s="125"/>
      <c r="E388" s="125"/>
      <c r="F388" s="126"/>
      <c r="G388" s="125"/>
      <c r="H388" s="125"/>
      <c r="I388" s="125"/>
      <c r="J388" s="125"/>
      <c r="K388" s="125"/>
      <c r="L388" s="125"/>
      <c r="M388" s="125"/>
      <c r="N388" s="129"/>
      <c r="O388" s="125"/>
      <c r="P388" s="173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spans="1:26" ht="15.75" customHeight="1">
      <c r="A389" s="125"/>
      <c r="B389" s="125"/>
      <c r="C389" s="125"/>
      <c r="D389" s="125"/>
      <c r="E389" s="125"/>
      <c r="F389" s="126"/>
      <c r="G389" s="125"/>
      <c r="H389" s="125"/>
      <c r="I389" s="125"/>
      <c r="J389" s="125"/>
      <c r="K389" s="125"/>
      <c r="L389" s="125"/>
      <c r="M389" s="125"/>
      <c r="N389" s="129"/>
      <c r="O389" s="125"/>
      <c r="P389" s="173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spans="1:26" ht="15.75" customHeight="1">
      <c r="A390" s="125"/>
      <c r="B390" s="125"/>
      <c r="C390" s="125"/>
      <c r="D390" s="125"/>
      <c r="E390" s="125"/>
      <c r="F390" s="126"/>
      <c r="G390" s="125"/>
      <c r="H390" s="125"/>
      <c r="I390" s="125"/>
      <c r="J390" s="125"/>
      <c r="K390" s="125"/>
      <c r="L390" s="125"/>
      <c r="M390" s="125"/>
      <c r="N390" s="129"/>
      <c r="O390" s="125"/>
      <c r="P390" s="173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spans="1:26" ht="15.75" customHeight="1">
      <c r="A391" s="125"/>
      <c r="B391" s="125"/>
      <c r="C391" s="125"/>
      <c r="D391" s="125"/>
      <c r="E391" s="125"/>
      <c r="F391" s="126"/>
      <c r="G391" s="125"/>
      <c r="H391" s="125"/>
      <c r="I391" s="125"/>
      <c r="J391" s="125"/>
      <c r="K391" s="125"/>
      <c r="L391" s="125"/>
      <c r="M391" s="125"/>
      <c r="N391" s="129"/>
      <c r="O391" s="125"/>
      <c r="P391" s="173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spans="1:26" ht="15.75" customHeight="1">
      <c r="A392" s="125"/>
      <c r="B392" s="125"/>
      <c r="C392" s="125"/>
      <c r="D392" s="125"/>
      <c r="E392" s="125"/>
      <c r="F392" s="126"/>
      <c r="G392" s="125"/>
      <c r="H392" s="125"/>
      <c r="I392" s="125"/>
      <c r="J392" s="125"/>
      <c r="K392" s="125"/>
      <c r="L392" s="125"/>
      <c r="M392" s="125"/>
      <c r="N392" s="129"/>
      <c r="O392" s="125"/>
      <c r="P392" s="173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spans="1:26" ht="15.75" customHeight="1">
      <c r="A393" s="125"/>
      <c r="B393" s="125"/>
      <c r="C393" s="125"/>
      <c r="D393" s="125"/>
      <c r="E393" s="125"/>
      <c r="F393" s="126"/>
      <c r="G393" s="125"/>
      <c r="H393" s="125"/>
      <c r="I393" s="125"/>
      <c r="J393" s="125"/>
      <c r="K393" s="125"/>
      <c r="L393" s="125"/>
      <c r="M393" s="125"/>
      <c r="N393" s="129"/>
      <c r="O393" s="125"/>
      <c r="P393" s="173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spans="1:26" ht="15.75" customHeight="1">
      <c r="A394" s="125"/>
      <c r="B394" s="125"/>
      <c r="C394" s="125"/>
      <c r="D394" s="125"/>
      <c r="E394" s="125"/>
      <c r="F394" s="126"/>
      <c r="G394" s="125"/>
      <c r="H394" s="125"/>
      <c r="I394" s="125"/>
      <c r="J394" s="125"/>
      <c r="K394" s="125"/>
      <c r="L394" s="125"/>
      <c r="M394" s="125"/>
      <c r="N394" s="129"/>
      <c r="O394" s="125"/>
      <c r="P394" s="173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spans="1:26" ht="15.75" customHeight="1">
      <c r="A395" s="125"/>
      <c r="B395" s="125"/>
      <c r="C395" s="125"/>
      <c r="D395" s="125"/>
      <c r="E395" s="125"/>
      <c r="F395" s="126"/>
      <c r="G395" s="125"/>
      <c r="H395" s="125"/>
      <c r="I395" s="125"/>
      <c r="J395" s="125"/>
      <c r="K395" s="125"/>
      <c r="L395" s="125"/>
      <c r="M395" s="125"/>
      <c r="N395" s="129"/>
      <c r="O395" s="125"/>
      <c r="P395" s="173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spans="1:26" ht="15.75" customHeight="1">
      <c r="A396" s="125"/>
      <c r="B396" s="125"/>
      <c r="C396" s="125"/>
      <c r="D396" s="125"/>
      <c r="E396" s="125"/>
      <c r="F396" s="126"/>
      <c r="G396" s="125"/>
      <c r="H396" s="125"/>
      <c r="I396" s="125"/>
      <c r="J396" s="125"/>
      <c r="K396" s="125"/>
      <c r="L396" s="125"/>
      <c r="M396" s="125"/>
      <c r="N396" s="129"/>
      <c r="O396" s="125"/>
      <c r="P396" s="173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spans="1:26" ht="15.75" customHeight="1">
      <c r="A397" s="125"/>
      <c r="B397" s="125"/>
      <c r="C397" s="125"/>
      <c r="D397" s="125"/>
      <c r="E397" s="125"/>
      <c r="F397" s="126"/>
      <c r="G397" s="125"/>
      <c r="H397" s="125"/>
      <c r="I397" s="125"/>
      <c r="J397" s="125"/>
      <c r="K397" s="125"/>
      <c r="L397" s="125"/>
      <c r="M397" s="125"/>
      <c r="N397" s="129"/>
      <c r="O397" s="125"/>
      <c r="P397" s="173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spans="1:26" ht="15.75" customHeight="1">
      <c r="A398" s="125"/>
      <c r="B398" s="125"/>
      <c r="C398" s="125"/>
      <c r="D398" s="125"/>
      <c r="E398" s="125"/>
      <c r="F398" s="126"/>
      <c r="G398" s="125"/>
      <c r="H398" s="125"/>
      <c r="I398" s="125"/>
      <c r="J398" s="125"/>
      <c r="K398" s="125"/>
      <c r="L398" s="125"/>
      <c r="M398" s="125"/>
      <c r="N398" s="129"/>
      <c r="O398" s="125"/>
      <c r="P398" s="173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spans="1:26" ht="15.75" customHeight="1">
      <c r="A399" s="125"/>
      <c r="B399" s="125"/>
      <c r="C399" s="125"/>
      <c r="D399" s="125"/>
      <c r="E399" s="125"/>
      <c r="F399" s="126"/>
      <c r="G399" s="125"/>
      <c r="H399" s="125"/>
      <c r="I399" s="125"/>
      <c r="J399" s="125"/>
      <c r="K399" s="125"/>
      <c r="L399" s="125"/>
      <c r="M399" s="125"/>
      <c r="N399" s="129"/>
      <c r="O399" s="125"/>
      <c r="P399" s="173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spans="1:26" ht="15.75" customHeight="1">
      <c r="A400" s="125"/>
      <c r="B400" s="125"/>
      <c r="C400" s="125"/>
      <c r="D400" s="125"/>
      <c r="E400" s="125"/>
      <c r="F400" s="126"/>
      <c r="G400" s="125"/>
      <c r="H400" s="125"/>
      <c r="I400" s="125"/>
      <c r="J400" s="125"/>
      <c r="K400" s="125"/>
      <c r="L400" s="125"/>
      <c r="M400" s="125"/>
      <c r="N400" s="129"/>
      <c r="O400" s="125"/>
      <c r="P400" s="173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spans="1:26" ht="15.75" customHeight="1">
      <c r="A401" s="125"/>
      <c r="B401" s="125"/>
      <c r="C401" s="125"/>
      <c r="D401" s="125"/>
      <c r="E401" s="125"/>
      <c r="F401" s="126"/>
      <c r="G401" s="125"/>
      <c r="H401" s="125"/>
      <c r="I401" s="125"/>
      <c r="J401" s="125"/>
      <c r="K401" s="125"/>
      <c r="L401" s="125"/>
      <c r="M401" s="125"/>
      <c r="N401" s="129"/>
      <c r="O401" s="125"/>
      <c r="P401" s="173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spans="1:26" ht="15.75" customHeight="1">
      <c r="A402" s="125"/>
      <c r="B402" s="125"/>
      <c r="C402" s="125"/>
      <c r="D402" s="125"/>
      <c r="E402" s="125"/>
      <c r="F402" s="126"/>
      <c r="G402" s="125"/>
      <c r="H402" s="125"/>
      <c r="I402" s="125"/>
      <c r="J402" s="125"/>
      <c r="K402" s="125"/>
      <c r="L402" s="125"/>
      <c r="M402" s="125"/>
      <c r="N402" s="129"/>
      <c r="O402" s="125"/>
      <c r="P402" s="173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spans="1:26" ht="15.75" customHeight="1">
      <c r="A403" s="125"/>
      <c r="B403" s="125"/>
      <c r="C403" s="125"/>
      <c r="D403" s="125"/>
      <c r="E403" s="125"/>
      <c r="F403" s="126"/>
      <c r="G403" s="125"/>
      <c r="H403" s="125"/>
      <c r="I403" s="125"/>
      <c r="J403" s="125"/>
      <c r="K403" s="125"/>
      <c r="L403" s="125"/>
      <c r="M403" s="125"/>
      <c r="N403" s="129"/>
      <c r="O403" s="125"/>
      <c r="P403" s="173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spans="1:26" ht="15.75" customHeight="1">
      <c r="A404" s="125"/>
      <c r="B404" s="125"/>
      <c r="C404" s="125"/>
      <c r="D404" s="125"/>
      <c r="E404" s="125"/>
      <c r="F404" s="126"/>
      <c r="G404" s="125"/>
      <c r="H404" s="125"/>
      <c r="I404" s="125"/>
      <c r="J404" s="125"/>
      <c r="K404" s="125"/>
      <c r="L404" s="125"/>
      <c r="M404" s="125"/>
      <c r="N404" s="129"/>
      <c r="O404" s="125"/>
      <c r="P404" s="173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spans="1:26" ht="15.75" customHeight="1">
      <c r="A405" s="125"/>
      <c r="B405" s="125"/>
      <c r="C405" s="125"/>
      <c r="D405" s="125"/>
      <c r="E405" s="125"/>
      <c r="F405" s="126"/>
      <c r="G405" s="125"/>
      <c r="H405" s="125"/>
      <c r="I405" s="125"/>
      <c r="J405" s="125"/>
      <c r="K405" s="125"/>
      <c r="L405" s="125"/>
      <c r="M405" s="125"/>
      <c r="N405" s="129"/>
      <c r="O405" s="125"/>
      <c r="P405" s="173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spans="1:26" ht="15.75" customHeight="1">
      <c r="A406" s="125"/>
      <c r="B406" s="125"/>
      <c r="C406" s="125"/>
      <c r="D406" s="125"/>
      <c r="E406" s="125"/>
      <c r="F406" s="126"/>
      <c r="G406" s="125"/>
      <c r="H406" s="125"/>
      <c r="I406" s="125"/>
      <c r="J406" s="125"/>
      <c r="K406" s="125"/>
      <c r="L406" s="125"/>
      <c r="M406" s="125"/>
      <c r="N406" s="129"/>
      <c r="O406" s="125"/>
      <c r="P406" s="173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spans="1:26" ht="15.75" customHeight="1">
      <c r="A407" s="125"/>
      <c r="B407" s="125"/>
      <c r="C407" s="125"/>
      <c r="D407" s="125"/>
      <c r="E407" s="125"/>
      <c r="F407" s="126"/>
      <c r="G407" s="125"/>
      <c r="H407" s="125"/>
      <c r="I407" s="125"/>
      <c r="J407" s="125"/>
      <c r="K407" s="125"/>
      <c r="L407" s="125"/>
      <c r="M407" s="125"/>
      <c r="N407" s="129"/>
      <c r="O407" s="125"/>
      <c r="P407" s="173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spans="1:26" ht="15.75" customHeight="1">
      <c r="A408" s="125"/>
      <c r="B408" s="125"/>
      <c r="C408" s="125"/>
      <c r="D408" s="125"/>
      <c r="E408" s="125"/>
      <c r="F408" s="126"/>
      <c r="G408" s="125"/>
      <c r="H408" s="125"/>
      <c r="I408" s="125"/>
      <c r="J408" s="125"/>
      <c r="K408" s="125"/>
      <c r="L408" s="125"/>
      <c r="M408" s="125"/>
      <c r="N408" s="129"/>
      <c r="O408" s="125"/>
      <c r="P408" s="173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spans="1:26" ht="15.75" customHeight="1">
      <c r="A409" s="125"/>
      <c r="B409" s="125"/>
      <c r="C409" s="125"/>
      <c r="D409" s="125"/>
      <c r="E409" s="125"/>
      <c r="F409" s="126"/>
      <c r="G409" s="125"/>
      <c r="H409" s="125"/>
      <c r="I409" s="125"/>
      <c r="J409" s="125"/>
      <c r="K409" s="125"/>
      <c r="L409" s="125"/>
      <c r="M409" s="125"/>
      <c r="N409" s="129"/>
      <c r="O409" s="125"/>
      <c r="P409" s="173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spans="1:26" ht="15.75" customHeight="1">
      <c r="A410" s="125"/>
      <c r="B410" s="125"/>
      <c r="C410" s="125"/>
      <c r="D410" s="125"/>
      <c r="E410" s="125"/>
      <c r="F410" s="126"/>
      <c r="G410" s="125"/>
      <c r="H410" s="125"/>
      <c r="I410" s="125"/>
      <c r="J410" s="125"/>
      <c r="K410" s="125"/>
      <c r="L410" s="125"/>
      <c r="M410" s="125"/>
      <c r="N410" s="129"/>
      <c r="O410" s="125"/>
      <c r="P410" s="173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spans="1:26" ht="15.75" customHeight="1">
      <c r="A411" s="125"/>
      <c r="B411" s="125"/>
      <c r="C411" s="125"/>
      <c r="D411" s="125"/>
      <c r="E411" s="125"/>
      <c r="F411" s="126"/>
      <c r="G411" s="125"/>
      <c r="H411" s="125"/>
      <c r="I411" s="125"/>
      <c r="J411" s="125"/>
      <c r="K411" s="125"/>
      <c r="L411" s="125"/>
      <c r="M411" s="125"/>
      <c r="N411" s="129"/>
      <c r="O411" s="125"/>
      <c r="P411" s="173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spans="1:26" ht="15.75" customHeight="1">
      <c r="A412" s="125"/>
      <c r="B412" s="125"/>
      <c r="C412" s="125"/>
      <c r="D412" s="125"/>
      <c r="E412" s="125"/>
      <c r="F412" s="126"/>
      <c r="G412" s="125"/>
      <c r="H412" s="125"/>
      <c r="I412" s="125"/>
      <c r="J412" s="125"/>
      <c r="K412" s="125"/>
      <c r="L412" s="125"/>
      <c r="M412" s="125"/>
      <c r="N412" s="129"/>
      <c r="O412" s="125"/>
      <c r="P412" s="173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spans="1:26" ht="15.75" customHeight="1">
      <c r="A413" s="125"/>
      <c r="B413" s="125"/>
      <c r="C413" s="125"/>
      <c r="D413" s="125"/>
      <c r="E413" s="125"/>
      <c r="F413" s="126"/>
      <c r="G413" s="125"/>
      <c r="H413" s="125"/>
      <c r="I413" s="125"/>
      <c r="J413" s="125"/>
      <c r="K413" s="125"/>
      <c r="L413" s="125"/>
      <c r="M413" s="125"/>
      <c r="N413" s="129"/>
      <c r="O413" s="125"/>
      <c r="P413" s="173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spans="1:26" ht="15.75" customHeight="1">
      <c r="A414" s="125"/>
      <c r="B414" s="125"/>
      <c r="C414" s="125"/>
      <c r="D414" s="125"/>
      <c r="E414" s="125"/>
      <c r="F414" s="126"/>
      <c r="G414" s="125"/>
      <c r="H414" s="125"/>
      <c r="I414" s="125"/>
      <c r="J414" s="125"/>
      <c r="K414" s="125"/>
      <c r="L414" s="125"/>
      <c r="M414" s="125"/>
      <c r="N414" s="129"/>
      <c r="O414" s="125"/>
      <c r="P414" s="173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spans="1:26" ht="15.75" customHeight="1">
      <c r="A415" s="125"/>
      <c r="B415" s="125"/>
      <c r="C415" s="125"/>
      <c r="D415" s="125"/>
      <c r="E415" s="125"/>
      <c r="F415" s="126"/>
      <c r="G415" s="125"/>
      <c r="H415" s="125"/>
      <c r="I415" s="125"/>
      <c r="J415" s="125"/>
      <c r="K415" s="125"/>
      <c r="L415" s="125"/>
      <c r="M415" s="125"/>
      <c r="N415" s="129"/>
      <c r="O415" s="125"/>
      <c r="P415" s="173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spans="1:26" ht="15.75" customHeight="1">
      <c r="A416" s="125"/>
      <c r="B416" s="125"/>
      <c r="C416" s="125"/>
      <c r="D416" s="125"/>
      <c r="E416" s="125"/>
      <c r="F416" s="126"/>
      <c r="G416" s="125"/>
      <c r="H416" s="125"/>
      <c r="I416" s="125"/>
      <c r="J416" s="125"/>
      <c r="K416" s="125"/>
      <c r="L416" s="125"/>
      <c r="M416" s="125"/>
      <c r="N416" s="129"/>
      <c r="O416" s="125"/>
      <c r="P416" s="173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spans="1:26" ht="15.75" customHeight="1">
      <c r="A417" s="125"/>
      <c r="B417" s="125"/>
      <c r="C417" s="125"/>
      <c r="D417" s="125"/>
      <c r="E417" s="125"/>
      <c r="F417" s="126"/>
      <c r="G417" s="125"/>
      <c r="H417" s="125"/>
      <c r="I417" s="125"/>
      <c r="J417" s="125"/>
      <c r="K417" s="125"/>
      <c r="L417" s="125"/>
      <c r="M417" s="125"/>
      <c r="N417" s="129"/>
      <c r="O417" s="125"/>
      <c r="P417" s="173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spans="1:26" ht="15.75" customHeight="1">
      <c r="A418" s="125"/>
      <c r="B418" s="125"/>
      <c r="C418" s="125"/>
      <c r="D418" s="125"/>
      <c r="E418" s="125"/>
      <c r="F418" s="126"/>
      <c r="G418" s="125"/>
      <c r="H418" s="125"/>
      <c r="I418" s="125"/>
      <c r="J418" s="125"/>
      <c r="K418" s="125"/>
      <c r="L418" s="125"/>
      <c r="M418" s="125"/>
      <c r="N418" s="129"/>
      <c r="O418" s="125"/>
      <c r="P418" s="173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spans="1:26" ht="15.75" customHeight="1">
      <c r="A419" s="125"/>
      <c r="B419" s="125"/>
      <c r="C419" s="125"/>
      <c r="D419" s="125"/>
      <c r="E419" s="125"/>
      <c r="F419" s="126"/>
      <c r="G419" s="125"/>
      <c r="H419" s="125"/>
      <c r="I419" s="125"/>
      <c r="J419" s="125"/>
      <c r="K419" s="125"/>
      <c r="L419" s="125"/>
      <c r="M419" s="125"/>
      <c r="N419" s="129"/>
      <c r="O419" s="125"/>
      <c r="P419" s="173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spans="1:26" ht="15.75" customHeight="1">
      <c r="A420" s="125"/>
      <c r="B420" s="125"/>
      <c r="C420" s="125"/>
      <c r="D420" s="125"/>
      <c r="E420" s="125"/>
      <c r="F420" s="126"/>
      <c r="G420" s="125"/>
      <c r="H420" s="125"/>
      <c r="I420" s="125"/>
      <c r="J420" s="125"/>
      <c r="K420" s="125"/>
      <c r="L420" s="125"/>
      <c r="M420" s="125"/>
      <c r="N420" s="129"/>
      <c r="O420" s="125"/>
      <c r="P420" s="173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spans="1:26" ht="15.75" customHeight="1">
      <c r="A421" s="125"/>
      <c r="B421" s="125"/>
      <c r="C421" s="125"/>
      <c r="D421" s="125"/>
      <c r="E421" s="125"/>
      <c r="F421" s="126"/>
      <c r="G421" s="125"/>
      <c r="H421" s="125"/>
      <c r="I421" s="125"/>
      <c r="J421" s="125"/>
      <c r="K421" s="125"/>
      <c r="L421" s="125"/>
      <c r="M421" s="125"/>
      <c r="N421" s="129"/>
      <c r="O421" s="125"/>
      <c r="P421" s="173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spans="1:26" ht="15.75" customHeight="1">
      <c r="A422" s="125"/>
      <c r="B422" s="125"/>
      <c r="C422" s="125"/>
      <c r="D422" s="125"/>
      <c r="E422" s="125"/>
      <c r="F422" s="126"/>
      <c r="G422" s="125"/>
      <c r="H422" s="125"/>
      <c r="I422" s="125"/>
      <c r="J422" s="125"/>
      <c r="K422" s="125"/>
      <c r="L422" s="125"/>
      <c r="M422" s="125"/>
      <c r="N422" s="129"/>
      <c r="O422" s="125"/>
      <c r="P422" s="173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spans="1:26" ht="15.75" customHeight="1">
      <c r="A423" s="125"/>
      <c r="B423" s="125"/>
      <c r="C423" s="125"/>
      <c r="D423" s="125"/>
      <c r="E423" s="125"/>
      <c r="F423" s="126"/>
      <c r="G423" s="125"/>
      <c r="H423" s="125"/>
      <c r="I423" s="125"/>
      <c r="J423" s="125"/>
      <c r="K423" s="125"/>
      <c r="L423" s="125"/>
      <c r="M423" s="125"/>
      <c r="N423" s="129"/>
      <c r="O423" s="125"/>
      <c r="P423" s="173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spans="1:26" ht="15.75" customHeight="1">
      <c r="A424" s="125"/>
      <c r="B424" s="125"/>
      <c r="C424" s="125"/>
      <c r="D424" s="125"/>
      <c r="E424" s="125"/>
      <c r="F424" s="126"/>
      <c r="G424" s="125"/>
      <c r="H424" s="125"/>
      <c r="I424" s="125"/>
      <c r="J424" s="125"/>
      <c r="K424" s="125"/>
      <c r="L424" s="125"/>
      <c r="M424" s="125"/>
      <c r="N424" s="129"/>
      <c r="O424" s="125"/>
      <c r="P424" s="173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spans="1:26" ht="15.75" customHeight="1">
      <c r="A425" s="125"/>
      <c r="B425" s="125"/>
      <c r="C425" s="125"/>
      <c r="D425" s="125"/>
      <c r="E425" s="125"/>
      <c r="F425" s="126"/>
      <c r="G425" s="125"/>
      <c r="H425" s="125"/>
      <c r="I425" s="125"/>
      <c r="J425" s="125"/>
      <c r="K425" s="125"/>
      <c r="L425" s="125"/>
      <c r="M425" s="125"/>
      <c r="N425" s="129"/>
      <c r="O425" s="125"/>
      <c r="P425" s="173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spans="1:26" ht="15.75" customHeight="1">
      <c r="A426" s="125"/>
      <c r="B426" s="125"/>
      <c r="C426" s="125"/>
      <c r="D426" s="125"/>
      <c r="E426" s="125"/>
      <c r="F426" s="126"/>
      <c r="G426" s="125"/>
      <c r="H426" s="125"/>
      <c r="I426" s="125"/>
      <c r="J426" s="125"/>
      <c r="K426" s="125"/>
      <c r="L426" s="125"/>
      <c r="M426" s="125"/>
      <c r="N426" s="129"/>
      <c r="O426" s="125"/>
      <c r="P426" s="173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spans="1:26" ht="15.75" customHeight="1">
      <c r="A427" s="125"/>
      <c r="B427" s="125"/>
      <c r="C427" s="125"/>
      <c r="D427" s="125"/>
      <c r="E427" s="125"/>
      <c r="F427" s="126"/>
      <c r="G427" s="125"/>
      <c r="H427" s="125"/>
      <c r="I427" s="125"/>
      <c r="J427" s="125"/>
      <c r="K427" s="125"/>
      <c r="L427" s="125"/>
      <c r="M427" s="125"/>
      <c r="N427" s="129"/>
      <c r="O427" s="125"/>
      <c r="P427" s="173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spans="1:26" ht="15.75" customHeight="1">
      <c r="A428" s="125"/>
      <c r="B428" s="125"/>
      <c r="C428" s="125"/>
      <c r="D428" s="125"/>
      <c r="E428" s="125"/>
      <c r="F428" s="126"/>
      <c r="G428" s="125"/>
      <c r="H428" s="125"/>
      <c r="I428" s="125"/>
      <c r="J428" s="125"/>
      <c r="K428" s="125"/>
      <c r="L428" s="125"/>
      <c r="M428" s="125"/>
      <c r="N428" s="129"/>
      <c r="O428" s="125"/>
      <c r="P428" s="173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spans="1:26" ht="15.75" customHeight="1">
      <c r="A429" s="125"/>
      <c r="B429" s="125"/>
      <c r="C429" s="125"/>
      <c r="D429" s="125"/>
      <c r="E429" s="125"/>
      <c r="F429" s="126"/>
      <c r="G429" s="125"/>
      <c r="H429" s="125"/>
      <c r="I429" s="125"/>
      <c r="J429" s="125"/>
      <c r="K429" s="125"/>
      <c r="L429" s="125"/>
      <c r="M429" s="125"/>
      <c r="N429" s="129"/>
      <c r="O429" s="125"/>
      <c r="P429" s="173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spans="1:26" ht="15.75" customHeight="1">
      <c r="A430" s="125"/>
      <c r="B430" s="125"/>
      <c r="C430" s="125"/>
      <c r="D430" s="125"/>
      <c r="E430" s="125"/>
      <c r="F430" s="126"/>
      <c r="G430" s="125"/>
      <c r="H430" s="125"/>
      <c r="I430" s="125"/>
      <c r="J430" s="125"/>
      <c r="K430" s="125"/>
      <c r="L430" s="125"/>
      <c r="M430" s="125"/>
      <c r="N430" s="129"/>
      <c r="O430" s="125"/>
      <c r="P430" s="173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spans="1:26" ht="15.75" customHeight="1">
      <c r="A431" s="125"/>
      <c r="B431" s="125"/>
      <c r="C431" s="125"/>
      <c r="D431" s="125"/>
      <c r="E431" s="125"/>
      <c r="F431" s="126"/>
      <c r="G431" s="125"/>
      <c r="H431" s="125"/>
      <c r="I431" s="125"/>
      <c r="J431" s="125"/>
      <c r="K431" s="125"/>
      <c r="L431" s="125"/>
      <c r="M431" s="125"/>
      <c r="N431" s="129"/>
      <c r="O431" s="125"/>
      <c r="P431" s="173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spans="1:26" ht="15.75" customHeight="1">
      <c r="A432" s="125"/>
      <c r="B432" s="125"/>
      <c r="C432" s="125"/>
      <c r="D432" s="125"/>
      <c r="E432" s="125"/>
      <c r="F432" s="126"/>
      <c r="G432" s="125"/>
      <c r="H432" s="125"/>
      <c r="I432" s="125"/>
      <c r="J432" s="125"/>
      <c r="K432" s="125"/>
      <c r="L432" s="125"/>
      <c r="M432" s="125"/>
      <c r="N432" s="129"/>
      <c r="O432" s="125"/>
      <c r="P432" s="173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spans="1:26" ht="15.75" customHeight="1">
      <c r="A433" s="125"/>
      <c r="B433" s="125"/>
      <c r="C433" s="125"/>
      <c r="D433" s="125"/>
      <c r="E433" s="125"/>
      <c r="F433" s="126"/>
      <c r="G433" s="125"/>
      <c r="H433" s="125"/>
      <c r="I433" s="125"/>
      <c r="J433" s="125"/>
      <c r="K433" s="125"/>
      <c r="L433" s="125"/>
      <c r="M433" s="125"/>
      <c r="N433" s="129"/>
      <c r="O433" s="125"/>
      <c r="P433" s="173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spans="1:26" ht="15.75" customHeight="1">
      <c r="A434" s="125"/>
      <c r="B434" s="125"/>
      <c r="C434" s="125"/>
      <c r="D434" s="125"/>
      <c r="E434" s="125"/>
      <c r="F434" s="126"/>
      <c r="G434" s="125"/>
      <c r="H434" s="125"/>
      <c r="I434" s="125"/>
      <c r="J434" s="125"/>
      <c r="K434" s="125"/>
      <c r="L434" s="125"/>
      <c r="M434" s="125"/>
      <c r="N434" s="129"/>
      <c r="O434" s="125"/>
      <c r="P434" s="173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spans="1:26" ht="15.75" customHeight="1">
      <c r="A435" s="125"/>
      <c r="B435" s="125"/>
      <c r="C435" s="125"/>
      <c r="D435" s="125"/>
      <c r="E435" s="125"/>
      <c r="F435" s="126"/>
      <c r="G435" s="125"/>
      <c r="H435" s="125"/>
      <c r="I435" s="125"/>
      <c r="J435" s="125"/>
      <c r="K435" s="125"/>
      <c r="L435" s="125"/>
      <c r="M435" s="125"/>
      <c r="N435" s="129"/>
      <c r="O435" s="125"/>
      <c r="P435" s="173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spans="1:26" ht="15.75" customHeight="1">
      <c r="A436" s="125"/>
      <c r="B436" s="125"/>
      <c r="C436" s="125"/>
      <c r="D436" s="125"/>
      <c r="E436" s="125"/>
      <c r="F436" s="126"/>
      <c r="G436" s="125"/>
      <c r="H436" s="125"/>
      <c r="I436" s="125"/>
      <c r="J436" s="125"/>
      <c r="K436" s="125"/>
      <c r="L436" s="125"/>
      <c r="M436" s="125"/>
      <c r="N436" s="129"/>
      <c r="O436" s="125"/>
      <c r="P436" s="173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spans="1:26" ht="15.75" customHeight="1">
      <c r="A437" s="125"/>
      <c r="B437" s="125"/>
      <c r="C437" s="125"/>
      <c r="D437" s="125"/>
      <c r="E437" s="125"/>
      <c r="F437" s="126"/>
      <c r="G437" s="125"/>
      <c r="H437" s="125"/>
      <c r="I437" s="125"/>
      <c r="J437" s="125"/>
      <c r="K437" s="125"/>
      <c r="L437" s="125"/>
      <c r="M437" s="125"/>
      <c r="N437" s="129"/>
      <c r="O437" s="125"/>
      <c r="P437" s="173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spans="1:26" ht="15.75" customHeight="1">
      <c r="A438" s="125"/>
      <c r="B438" s="125"/>
      <c r="C438" s="125"/>
      <c r="D438" s="125"/>
      <c r="E438" s="125"/>
      <c r="F438" s="126"/>
      <c r="G438" s="125"/>
      <c r="H438" s="125"/>
      <c r="I438" s="125"/>
      <c r="J438" s="125"/>
      <c r="K438" s="125"/>
      <c r="L438" s="125"/>
      <c r="M438" s="125"/>
      <c r="N438" s="129"/>
      <c r="O438" s="125"/>
      <c r="P438" s="173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spans="1:26" ht="15.75" customHeight="1">
      <c r="A439" s="125"/>
      <c r="B439" s="125"/>
      <c r="C439" s="125"/>
      <c r="D439" s="125"/>
      <c r="E439" s="125"/>
      <c r="F439" s="126"/>
      <c r="G439" s="125"/>
      <c r="H439" s="125"/>
      <c r="I439" s="125"/>
      <c r="J439" s="125"/>
      <c r="K439" s="125"/>
      <c r="L439" s="125"/>
      <c r="M439" s="125"/>
      <c r="N439" s="129"/>
      <c r="O439" s="125"/>
      <c r="P439" s="173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spans="1:26" ht="15.75" customHeight="1">
      <c r="A440" s="125"/>
      <c r="B440" s="125"/>
      <c r="C440" s="125"/>
      <c r="D440" s="125"/>
      <c r="E440" s="125"/>
      <c r="F440" s="126"/>
      <c r="G440" s="125"/>
      <c r="H440" s="125"/>
      <c r="I440" s="125"/>
      <c r="J440" s="125"/>
      <c r="K440" s="125"/>
      <c r="L440" s="125"/>
      <c r="M440" s="125"/>
      <c r="N440" s="129"/>
      <c r="O440" s="125"/>
      <c r="P440" s="173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spans="1:26" ht="15.75" customHeight="1">
      <c r="A441" s="125"/>
      <c r="B441" s="125"/>
      <c r="C441" s="125"/>
      <c r="D441" s="125"/>
      <c r="E441" s="125"/>
      <c r="F441" s="126"/>
      <c r="G441" s="125"/>
      <c r="H441" s="125"/>
      <c r="I441" s="125"/>
      <c r="J441" s="125"/>
      <c r="K441" s="125"/>
      <c r="L441" s="125"/>
      <c r="M441" s="125"/>
      <c r="N441" s="129"/>
      <c r="O441" s="125"/>
      <c r="P441" s="173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spans="1:26" ht="15.75" customHeight="1">
      <c r="A442" s="125"/>
      <c r="B442" s="125"/>
      <c r="C442" s="125"/>
      <c r="D442" s="125"/>
      <c r="E442" s="125"/>
      <c r="F442" s="126"/>
      <c r="G442" s="125"/>
      <c r="H442" s="125"/>
      <c r="I442" s="125"/>
      <c r="J442" s="125"/>
      <c r="K442" s="125"/>
      <c r="L442" s="125"/>
      <c r="M442" s="125"/>
      <c r="N442" s="129"/>
      <c r="O442" s="125"/>
      <c r="P442" s="173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spans="1:26" ht="15.75" customHeight="1">
      <c r="A443" s="125"/>
      <c r="B443" s="125"/>
      <c r="C443" s="125"/>
      <c r="D443" s="125"/>
      <c r="E443" s="125"/>
      <c r="F443" s="126"/>
      <c r="G443" s="125"/>
      <c r="H443" s="125"/>
      <c r="I443" s="125"/>
      <c r="J443" s="125"/>
      <c r="K443" s="125"/>
      <c r="L443" s="125"/>
      <c r="M443" s="125"/>
      <c r="N443" s="129"/>
      <c r="O443" s="125"/>
      <c r="P443" s="173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spans="1:26" ht="15.75" customHeight="1">
      <c r="A444" s="125"/>
      <c r="B444" s="125"/>
      <c r="C444" s="125"/>
      <c r="D444" s="125"/>
      <c r="E444" s="125"/>
      <c r="F444" s="126"/>
      <c r="G444" s="125"/>
      <c r="H444" s="125"/>
      <c r="I444" s="125"/>
      <c r="J444" s="125"/>
      <c r="K444" s="125"/>
      <c r="L444" s="125"/>
      <c r="M444" s="125"/>
      <c r="N444" s="129"/>
      <c r="O444" s="125"/>
      <c r="P444" s="173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spans="1:26" ht="15.75" customHeight="1">
      <c r="A445" s="125"/>
      <c r="B445" s="125"/>
      <c r="C445" s="125"/>
      <c r="D445" s="125"/>
      <c r="E445" s="125"/>
      <c r="F445" s="126"/>
      <c r="G445" s="125"/>
      <c r="H445" s="125"/>
      <c r="I445" s="125"/>
      <c r="J445" s="125"/>
      <c r="K445" s="125"/>
      <c r="L445" s="125"/>
      <c r="M445" s="125"/>
      <c r="N445" s="129"/>
      <c r="O445" s="125"/>
      <c r="P445" s="173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spans="1:26" ht="15.75" customHeight="1">
      <c r="A446" s="125"/>
      <c r="B446" s="125"/>
      <c r="C446" s="125"/>
      <c r="D446" s="125"/>
      <c r="E446" s="125"/>
      <c r="F446" s="126"/>
      <c r="G446" s="125"/>
      <c r="H446" s="125"/>
      <c r="I446" s="125"/>
      <c r="J446" s="125"/>
      <c r="K446" s="125"/>
      <c r="L446" s="125"/>
      <c r="M446" s="125"/>
      <c r="N446" s="129"/>
      <c r="O446" s="125"/>
      <c r="P446" s="173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spans="1:26" ht="15.75" customHeight="1">
      <c r="A447" s="125"/>
      <c r="B447" s="125"/>
      <c r="C447" s="125"/>
      <c r="D447" s="125"/>
      <c r="E447" s="125"/>
      <c r="F447" s="126"/>
      <c r="G447" s="125"/>
      <c r="H447" s="125"/>
      <c r="I447" s="125"/>
      <c r="J447" s="125"/>
      <c r="K447" s="125"/>
      <c r="L447" s="125"/>
      <c r="M447" s="125"/>
      <c r="N447" s="129"/>
      <c r="O447" s="125"/>
      <c r="P447" s="173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spans="1:26" ht="15.75" customHeight="1">
      <c r="A448" s="125"/>
      <c r="B448" s="125"/>
      <c r="C448" s="125"/>
      <c r="D448" s="125"/>
      <c r="E448" s="125"/>
      <c r="F448" s="126"/>
      <c r="G448" s="125"/>
      <c r="H448" s="125"/>
      <c r="I448" s="125"/>
      <c r="J448" s="125"/>
      <c r="K448" s="125"/>
      <c r="L448" s="125"/>
      <c r="M448" s="125"/>
      <c r="N448" s="129"/>
      <c r="O448" s="125"/>
      <c r="P448" s="173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spans="1:26" ht="15.75" customHeight="1">
      <c r="A449" s="125"/>
      <c r="B449" s="125"/>
      <c r="C449" s="125"/>
      <c r="D449" s="125"/>
      <c r="E449" s="125"/>
      <c r="F449" s="126"/>
      <c r="G449" s="125"/>
      <c r="H449" s="125"/>
      <c r="I449" s="125"/>
      <c r="J449" s="125"/>
      <c r="K449" s="125"/>
      <c r="L449" s="125"/>
      <c r="M449" s="125"/>
      <c r="N449" s="129"/>
      <c r="O449" s="125"/>
      <c r="P449" s="173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spans="1:26" ht="15.75" customHeight="1">
      <c r="A450" s="125"/>
      <c r="B450" s="125"/>
      <c r="C450" s="125"/>
      <c r="D450" s="125"/>
      <c r="E450" s="125"/>
      <c r="F450" s="126"/>
      <c r="G450" s="125"/>
      <c r="H450" s="125"/>
      <c r="I450" s="125"/>
      <c r="J450" s="125"/>
      <c r="K450" s="125"/>
      <c r="L450" s="125"/>
      <c r="M450" s="125"/>
      <c r="N450" s="129"/>
      <c r="O450" s="125"/>
      <c r="P450" s="173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spans="1:26" ht="15.75" customHeight="1">
      <c r="A451" s="125"/>
      <c r="B451" s="125"/>
      <c r="C451" s="125"/>
      <c r="D451" s="125"/>
      <c r="E451" s="125"/>
      <c r="F451" s="126"/>
      <c r="G451" s="125"/>
      <c r="H451" s="125"/>
      <c r="I451" s="125"/>
      <c r="J451" s="125"/>
      <c r="K451" s="125"/>
      <c r="L451" s="125"/>
      <c r="M451" s="125"/>
      <c r="N451" s="129"/>
      <c r="O451" s="125"/>
      <c r="P451" s="173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spans="1:26" ht="15.75" customHeight="1">
      <c r="A452" s="125"/>
      <c r="B452" s="125"/>
      <c r="C452" s="125"/>
      <c r="D452" s="125"/>
      <c r="E452" s="125"/>
      <c r="F452" s="126"/>
      <c r="G452" s="125"/>
      <c r="H452" s="125"/>
      <c r="I452" s="125"/>
      <c r="J452" s="125"/>
      <c r="K452" s="125"/>
      <c r="L452" s="125"/>
      <c r="M452" s="125"/>
      <c r="N452" s="129"/>
      <c r="O452" s="125"/>
      <c r="P452" s="173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spans="1:26" ht="15.75" customHeight="1">
      <c r="A453" s="125"/>
      <c r="B453" s="125"/>
      <c r="C453" s="125"/>
      <c r="D453" s="125"/>
      <c r="E453" s="125"/>
      <c r="F453" s="126"/>
      <c r="G453" s="125"/>
      <c r="H453" s="125"/>
      <c r="I453" s="125"/>
      <c r="J453" s="125"/>
      <c r="K453" s="125"/>
      <c r="L453" s="125"/>
      <c r="M453" s="125"/>
      <c r="N453" s="129"/>
      <c r="O453" s="125"/>
      <c r="P453" s="173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spans="1:26" ht="15.75" customHeight="1">
      <c r="A454" s="125"/>
      <c r="B454" s="125"/>
      <c r="C454" s="125"/>
      <c r="D454" s="125"/>
      <c r="E454" s="125"/>
      <c r="F454" s="126"/>
      <c r="G454" s="125"/>
      <c r="H454" s="125"/>
      <c r="I454" s="125"/>
      <c r="J454" s="125"/>
      <c r="K454" s="125"/>
      <c r="L454" s="125"/>
      <c r="M454" s="125"/>
      <c r="N454" s="129"/>
      <c r="O454" s="125"/>
      <c r="P454" s="173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spans="1:26" ht="15.75" customHeight="1">
      <c r="A455" s="125"/>
      <c r="B455" s="125"/>
      <c r="C455" s="125"/>
      <c r="D455" s="125"/>
      <c r="E455" s="125"/>
      <c r="F455" s="126"/>
      <c r="G455" s="125"/>
      <c r="H455" s="125"/>
      <c r="I455" s="125"/>
      <c r="J455" s="125"/>
      <c r="K455" s="125"/>
      <c r="L455" s="125"/>
      <c r="M455" s="125"/>
      <c r="N455" s="129"/>
      <c r="O455" s="125"/>
      <c r="P455" s="173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spans="1:26" ht="15.75" customHeight="1">
      <c r="A456" s="125"/>
      <c r="B456" s="125"/>
      <c r="C456" s="125"/>
      <c r="D456" s="125"/>
      <c r="E456" s="125"/>
      <c r="F456" s="126"/>
      <c r="G456" s="125"/>
      <c r="H456" s="125"/>
      <c r="I456" s="125"/>
      <c r="J456" s="125"/>
      <c r="K456" s="125"/>
      <c r="L456" s="125"/>
      <c r="M456" s="125"/>
      <c r="N456" s="129"/>
      <c r="O456" s="125"/>
      <c r="P456" s="173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spans="1:26" ht="15.75" customHeight="1">
      <c r="A457" s="125"/>
      <c r="B457" s="125"/>
      <c r="C457" s="125"/>
      <c r="D457" s="125"/>
      <c r="E457" s="125"/>
      <c r="F457" s="126"/>
      <c r="G457" s="125"/>
      <c r="H457" s="125"/>
      <c r="I457" s="125"/>
      <c r="J457" s="125"/>
      <c r="K457" s="125"/>
      <c r="L457" s="125"/>
      <c r="M457" s="125"/>
      <c r="N457" s="129"/>
      <c r="O457" s="125"/>
      <c r="P457" s="173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spans="1:26" ht="15.75" customHeight="1">
      <c r="A458" s="125"/>
      <c r="B458" s="125"/>
      <c r="C458" s="125"/>
      <c r="D458" s="125"/>
      <c r="E458" s="125"/>
      <c r="F458" s="126"/>
      <c r="G458" s="125"/>
      <c r="H458" s="125"/>
      <c r="I458" s="125"/>
      <c r="J458" s="125"/>
      <c r="K458" s="125"/>
      <c r="L458" s="125"/>
      <c r="M458" s="125"/>
      <c r="N458" s="129"/>
      <c r="O458" s="125"/>
      <c r="P458" s="173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spans="1:26" ht="15.75" customHeight="1">
      <c r="A459" s="125"/>
      <c r="B459" s="125"/>
      <c r="C459" s="125"/>
      <c r="D459" s="125"/>
      <c r="E459" s="125"/>
      <c r="F459" s="126"/>
      <c r="G459" s="125"/>
      <c r="H459" s="125"/>
      <c r="I459" s="125"/>
      <c r="J459" s="125"/>
      <c r="K459" s="125"/>
      <c r="L459" s="125"/>
      <c r="M459" s="125"/>
      <c r="N459" s="129"/>
      <c r="O459" s="125"/>
      <c r="P459" s="173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6" ht="15.75" customHeight="1">
      <c r="A460" s="125"/>
      <c r="B460" s="125"/>
      <c r="C460" s="125"/>
      <c r="D460" s="125"/>
      <c r="E460" s="125"/>
      <c r="F460" s="126"/>
      <c r="G460" s="125"/>
      <c r="H460" s="125"/>
      <c r="I460" s="125"/>
      <c r="J460" s="125"/>
      <c r="K460" s="125"/>
      <c r="L460" s="125"/>
      <c r="M460" s="125"/>
      <c r="N460" s="129"/>
      <c r="O460" s="125"/>
      <c r="P460" s="173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spans="1:26" ht="15.75" customHeight="1">
      <c r="A461" s="125"/>
      <c r="B461" s="125"/>
      <c r="C461" s="125"/>
      <c r="D461" s="125"/>
      <c r="E461" s="125"/>
      <c r="F461" s="126"/>
      <c r="G461" s="125"/>
      <c r="H461" s="125"/>
      <c r="I461" s="125"/>
      <c r="J461" s="125"/>
      <c r="K461" s="125"/>
      <c r="L461" s="125"/>
      <c r="M461" s="125"/>
      <c r="N461" s="129"/>
      <c r="O461" s="125"/>
      <c r="P461" s="173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spans="1:26" ht="15.75" customHeight="1">
      <c r="A462" s="125"/>
      <c r="B462" s="125"/>
      <c r="C462" s="125"/>
      <c r="D462" s="125"/>
      <c r="E462" s="125"/>
      <c r="F462" s="126"/>
      <c r="G462" s="125"/>
      <c r="H462" s="125"/>
      <c r="I462" s="125"/>
      <c r="J462" s="125"/>
      <c r="K462" s="125"/>
      <c r="L462" s="125"/>
      <c r="M462" s="125"/>
      <c r="N462" s="129"/>
      <c r="O462" s="125"/>
      <c r="P462" s="173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spans="1:26" ht="15.75" customHeight="1">
      <c r="A463" s="125"/>
      <c r="B463" s="125"/>
      <c r="C463" s="125"/>
      <c r="D463" s="125"/>
      <c r="E463" s="125"/>
      <c r="F463" s="126"/>
      <c r="G463" s="125"/>
      <c r="H463" s="125"/>
      <c r="I463" s="125"/>
      <c r="J463" s="125"/>
      <c r="K463" s="125"/>
      <c r="L463" s="125"/>
      <c r="M463" s="125"/>
      <c r="N463" s="129"/>
      <c r="O463" s="125"/>
      <c r="P463" s="173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spans="1:26" ht="15.75" customHeight="1">
      <c r="A464" s="125"/>
      <c r="B464" s="125"/>
      <c r="C464" s="125"/>
      <c r="D464" s="125"/>
      <c r="E464" s="125"/>
      <c r="F464" s="126"/>
      <c r="G464" s="125"/>
      <c r="H464" s="125"/>
      <c r="I464" s="125"/>
      <c r="J464" s="125"/>
      <c r="K464" s="125"/>
      <c r="L464" s="125"/>
      <c r="M464" s="125"/>
      <c r="N464" s="129"/>
      <c r="O464" s="125"/>
      <c r="P464" s="173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spans="1:26" ht="15.75" customHeight="1">
      <c r="A465" s="125"/>
      <c r="B465" s="125"/>
      <c r="C465" s="125"/>
      <c r="D465" s="125"/>
      <c r="E465" s="125"/>
      <c r="F465" s="126"/>
      <c r="G465" s="125"/>
      <c r="H465" s="125"/>
      <c r="I465" s="125"/>
      <c r="J465" s="125"/>
      <c r="K465" s="125"/>
      <c r="L465" s="125"/>
      <c r="M465" s="125"/>
      <c r="N465" s="129"/>
      <c r="O465" s="125"/>
      <c r="P465" s="173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spans="1:26" ht="15.75" customHeight="1">
      <c r="A466" s="125"/>
      <c r="B466" s="125"/>
      <c r="C466" s="125"/>
      <c r="D466" s="125"/>
      <c r="E466" s="125"/>
      <c r="F466" s="126"/>
      <c r="G466" s="125"/>
      <c r="H466" s="125"/>
      <c r="I466" s="125"/>
      <c r="J466" s="125"/>
      <c r="K466" s="125"/>
      <c r="L466" s="125"/>
      <c r="M466" s="125"/>
      <c r="N466" s="129"/>
      <c r="O466" s="125"/>
      <c r="P466" s="173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spans="1:26" ht="15.75" customHeight="1">
      <c r="A467" s="125"/>
      <c r="B467" s="125"/>
      <c r="C467" s="125"/>
      <c r="D467" s="125"/>
      <c r="E467" s="125"/>
      <c r="F467" s="126"/>
      <c r="G467" s="125"/>
      <c r="H467" s="125"/>
      <c r="I467" s="125"/>
      <c r="J467" s="125"/>
      <c r="K467" s="125"/>
      <c r="L467" s="125"/>
      <c r="M467" s="125"/>
      <c r="N467" s="129"/>
      <c r="O467" s="125"/>
      <c r="P467" s="173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spans="1:26" ht="15.75" customHeight="1">
      <c r="A468" s="125"/>
      <c r="B468" s="125"/>
      <c r="C468" s="125"/>
      <c r="D468" s="125"/>
      <c r="E468" s="125"/>
      <c r="F468" s="126"/>
      <c r="G468" s="125"/>
      <c r="H468" s="125"/>
      <c r="I468" s="125"/>
      <c r="J468" s="125"/>
      <c r="K468" s="125"/>
      <c r="L468" s="125"/>
      <c r="M468" s="125"/>
      <c r="N468" s="129"/>
      <c r="O468" s="125"/>
      <c r="P468" s="173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spans="1:26" ht="15.75" customHeight="1">
      <c r="A469" s="125"/>
      <c r="B469" s="125"/>
      <c r="C469" s="125"/>
      <c r="D469" s="125"/>
      <c r="E469" s="125"/>
      <c r="F469" s="126"/>
      <c r="G469" s="125"/>
      <c r="H469" s="125"/>
      <c r="I469" s="125"/>
      <c r="J469" s="125"/>
      <c r="K469" s="125"/>
      <c r="L469" s="125"/>
      <c r="M469" s="125"/>
      <c r="N469" s="129"/>
      <c r="O469" s="125"/>
      <c r="P469" s="173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spans="1:26" ht="15.75" customHeight="1">
      <c r="A470" s="125"/>
      <c r="B470" s="125"/>
      <c r="C470" s="125"/>
      <c r="D470" s="125"/>
      <c r="E470" s="125"/>
      <c r="F470" s="126"/>
      <c r="G470" s="125"/>
      <c r="H470" s="125"/>
      <c r="I470" s="125"/>
      <c r="J470" s="125"/>
      <c r="K470" s="125"/>
      <c r="L470" s="125"/>
      <c r="M470" s="125"/>
      <c r="N470" s="129"/>
      <c r="O470" s="125"/>
      <c r="P470" s="173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spans="1:26" ht="15.75" customHeight="1">
      <c r="A471" s="125"/>
      <c r="B471" s="125"/>
      <c r="C471" s="125"/>
      <c r="D471" s="125"/>
      <c r="E471" s="125"/>
      <c r="F471" s="126"/>
      <c r="G471" s="125"/>
      <c r="H471" s="125"/>
      <c r="I471" s="125"/>
      <c r="J471" s="125"/>
      <c r="K471" s="125"/>
      <c r="L471" s="125"/>
      <c r="M471" s="125"/>
      <c r="N471" s="129"/>
      <c r="O471" s="125"/>
      <c r="P471" s="173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spans="1:26" ht="15.75" customHeight="1">
      <c r="A472" s="125"/>
      <c r="B472" s="125"/>
      <c r="C472" s="125"/>
      <c r="D472" s="125"/>
      <c r="E472" s="125"/>
      <c r="F472" s="126"/>
      <c r="G472" s="125"/>
      <c r="H472" s="125"/>
      <c r="I472" s="125"/>
      <c r="J472" s="125"/>
      <c r="K472" s="125"/>
      <c r="L472" s="125"/>
      <c r="M472" s="125"/>
      <c r="N472" s="129"/>
      <c r="O472" s="125"/>
      <c r="P472" s="173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spans="1:26" ht="15.75" customHeight="1">
      <c r="A473" s="125"/>
      <c r="B473" s="125"/>
      <c r="C473" s="125"/>
      <c r="D473" s="125"/>
      <c r="E473" s="125"/>
      <c r="F473" s="126"/>
      <c r="G473" s="125"/>
      <c r="H473" s="125"/>
      <c r="I473" s="125"/>
      <c r="J473" s="125"/>
      <c r="K473" s="125"/>
      <c r="L473" s="125"/>
      <c r="M473" s="125"/>
      <c r="N473" s="129"/>
      <c r="O473" s="125"/>
      <c r="P473" s="173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spans="1:26" ht="15.75" customHeight="1">
      <c r="A474" s="125"/>
      <c r="B474" s="125"/>
      <c r="C474" s="125"/>
      <c r="D474" s="125"/>
      <c r="E474" s="125"/>
      <c r="F474" s="126"/>
      <c r="G474" s="125"/>
      <c r="H474" s="125"/>
      <c r="I474" s="125"/>
      <c r="J474" s="125"/>
      <c r="K474" s="125"/>
      <c r="L474" s="125"/>
      <c r="M474" s="125"/>
      <c r="N474" s="129"/>
      <c r="O474" s="125"/>
      <c r="P474" s="173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spans="1:26" ht="15.75" customHeight="1">
      <c r="A475" s="125"/>
      <c r="B475" s="125"/>
      <c r="C475" s="125"/>
      <c r="D475" s="125"/>
      <c r="E475" s="125"/>
      <c r="F475" s="126"/>
      <c r="G475" s="125"/>
      <c r="H475" s="125"/>
      <c r="I475" s="125"/>
      <c r="J475" s="125"/>
      <c r="K475" s="125"/>
      <c r="L475" s="125"/>
      <c r="M475" s="125"/>
      <c r="N475" s="129"/>
      <c r="O475" s="125"/>
      <c r="P475" s="173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spans="1:26" ht="15.75" customHeight="1">
      <c r="A476" s="125"/>
      <c r="B476" s="125"/>
      <c r="C476" s="125"/>
      <c r="D476" s="125"/>
      <c r="E476" s="125"/>
      <c r="F476" s="126"/>
      <c r="G476" s="125"/>
      <c r="H476" s="125"/>
      <c r="I476" s="125"/>
      <c r="J476" s="125"/>
      <c r="K476" s="125"/>
      <c r="L476" s="125"/>
      <c r="M476" s="125"/>
      <c r="N476" s="129"/>
      <c r="O476" s="125"/>
      <c r="P476" s="173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spans="1:26" ht="15.75" customHeight="1">
      <c r="A477" s="125"/>
      <c r="B477" s="125"/>
      <c r="C477" s="125"/>
      <c r="D477" s="125"/>
      <c r="E477" s="125"/>
      <c r="F477" s="126"/>
      <c r="G477" s="125"/>
      <c r="H477" s="125"/>
      <c r="I477" s="125"/>
      <c r="J477" s="125"/>
      <c r="K477" s="125"/>
      <c r="L477" s="125"/>
      <c r="M477" s="125"/>
      <c r="N477" s="129"/>
      <c r="O477" s="125"/>
      <c r="P477" s="173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spans="1:26" ht="15.75" customHeight="1">
      <c r="A478" s="125"/>
      <c r="B478" s="125"/>
      <c r="C478" s="125"/>
      <c r="D478" s="125"/>
      <c r="E478" s="125"/>
      <c r="F478" s="126"/>
      <c r="G478" s="125"/>
      <c r="H478" s="125"/>
      <c r="I478" s="125"/>
      <c r="J478" s="125"/>
      <c r="K478" s="125"/>
      <c r="L478" s="125"/>
      <c r="M478" s="125"/>
      <c r="N478" s="129"/>
      <c r="O478" s="125"/>
      <c r="P478" s="173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spans="1:26" ht="15.75" customHeight="1">
      <c r="A479" s="125"/>
      <c r="B479" s="125"/>
      <c r="C479" s="125"/>
      <c r="D479" s="125"/>
      <c r="E479" s="125"/>
      <c r="F479" s="126"/>
      <c r="G479" s="125"/>
      <c r="H479" s="125"/>
      <c r="I479" s="125"/>
      <c r="J479" s="125"/>
      <c r="K479" s="125"/>
      <c r="L479" s="125"/>
      <c r="M479" s="125"/>
      <c r="N479" s="129"/>
      <c r="O479" s="125"/>
      <c r="P479" s="173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spans="1:26" ht="15.75" customHeight="1">
      <c r="A480" s="125"/>
      <c r="B480" s="125"/>
      <c r="C480" s="125"/>
      <c r="D480" s="125"/>
      <c r="E480" s="125"/>
      <c r="F480" s="126"/>
      <c r="G480" s="125"/>
      <c r="H480" s="125"/>
      <c r="I480" s="125"/>
      <c r="J480" s="125"/>
      <c r="K480" s="125"/>
      <c r="L480" s="125"/>
      <c r="M480" s="125"/>
      <c r="N480" s="129"/>
      <c r="O480" s="125"/>
      <c r="P480" s="173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spans="1:26" ht="15.75" customHeight="1">
      <c r="A481" s="125"/>
      <c r="B481" s="125"/>
      <c r="C481" s="125"/>
      <c r="D481" s="125"/>
      <c r="E481" s="125"/>
      <c r="F481" s="126"/>
      <c r="G481" s="125"/>
      <c r="H481" s="125"/>
      <c r="I481" s="125"/>
      <c r="J481" s="125"/>
      <c r="K481" s="125"/>
      <c r="L481" s="125"/>
      <c r="M481" s="125"/>
      <c r="N481" s="129"/>
      <c r="O481" s="125"/>
      <c r="P481" s="173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spans="1:26" ht="15.75" customHeight="1">
      <c r="A482" s="125"/>
      <c r="B482" s="125"/>
      <c r="C482" s="125"/>
      <c r="D482" s="125"/>
      <c r="E482" s="125"/>
      <c r="F482" s="126"/>
      <c r="G482" s="125"/>
      <c r="H482" s="125"/>
      <c r="I482" s="125"/>
      <c r="J482" s="125"/>
      <c r="K482" s="125"/>
      <c r="L482" s="125"/>
      <c r="M482" s="125"/>
      <c r="N482" s="129"/>
      <c r="O482" s="125"/>
      <c r="P482" s="173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spans="1:26" ht="15.75" customHeight="1">
      <c r="A483" s="125"/>
      <c r="B483" s="125"/>
      <c r="C483" s="125"/>
      <c r="D483" s="125"/>
      <c r="E483" s="125"/>
      <c r="F483" s="126"/>
      <c r="G483" s="125"/>
      <c r="H483" s="125"/>
      <c r="I483" s="125"/>
      <c r="J483" s="125"/>
      <c r="K483" s="125"/>
      <c r="L483" s="125"/>
      <c r="M483" s="125"/>
      <c r="N483" s="129"/>
      <c r="O483" s="125"/>
      <c r="P483" s="173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spans="1:26" ht="15.75" customHeight="1">
      <c r="A484" s="125"/>
      <c r="B484" s="125"/>
      <c r="C484" s="125"/>
      <c r="D484" s="125"/>
      <c r="E484" s="125"/>
      <c r="F484" s="126"/>
      <c r="G484" s="125"/>
      <c r="H484" s="125"/>
      <c r="I484" s="125"/>
      <c r="J484" s="125"/>
      <c r="K484" s="125"/>
      <c r="L484" s="125"/>
      <c r="M484" s="125"/>
      <c r="N484" s="129"/>
      <c r="O484" s="125"/>
      <c r="P484" s="173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spans="1:26" ht="15.75" customHeight="1">
      <c r="A485" s="125"/>
      <c r="B485" s="125"/>
      <c r="C485" s="125"/>
      <c r="D485" s="125"/>
      <c r="E485" s="125"/>
      <c r="F485" s="126"/>
      <c r="G485" s="125"/>
      <c r="H485" s="125"/>
      <c r="I485" s="125"/>
      <c r="J485" s="125"/>
      <c r="K485" s="125"/>
      <c r="L485" s="125"/>
      <c r="M485" s="125"/>
      <c r="N485" s="129"/>
      <c r="O485" s="125"/>
      <c r="P485" s="173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spans="1:26" ht="15.75" customHeight="1">
      <c r="A486" s="125"/>
      <c r="B486" s="125"/>
      <c r="C486" s="125"/>
      <c r="D486" s="125"/>
      <c r="E486" s="125"/>
      <c r="F486" s="126"/>
      <c r="G486" s="125"/>
      <c r="H486" s="125"/>
      <c r="I486" s="125"/>
      <c r="J486" s="125"/>
      <c r="K486" s="125"/>
      <c r="L486" s="125"/>
      <c r="M486" s="125"/>
      <c r="N486" s="129"/>
      <c r="O486" s="125"/>
      <c r="P486" s="173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spans="1:26" ht="15.75" customHeight="1">
      <c r="A487" s="125"/>
      <c r="B487" s="125"/>
      <c r="C487" s="125"/>
      <c r="D487" s="125"/>
      <c r="E487" s="125"/>
      <c r="F487" s="126"/>
      <c r="G487" s="125"/>
      <c r="H487" s="125"/>
      <c r="I487" s="125"/>
      <c r="J487" s="125"/>
      <c r="K487" s="125"/>
      <c r="L487" s="125"/>
      <c r="M487" s="125"/>
      <c r="N487" s="129"/>
      <c r="O487" s="125"/>
      <c r="P487" s="173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spans="1:26" ht="15.75" customHeight="1">
      <c r="A488" s="125"/>
      <c r="B488" s="125"/>
      <c r="C488" s="125"/>
      <c r="D488" s="125"/>
      <c r="E488" s="125"/>
      <c r="F488" s="126"/>
      <c r="G488" s="125"/>
      <c r="H488" s="125"/>
      <c r="I488" s="125"/>
      <c r="J488" s="125"/>
      <c r="K488" s="125"/>
      <c r="L488" s="125"/>
      <c r="M488" s="125"/>
      <c r="N488" s="129"/>
      <c r="O488" s="125"/>
      <c r="P488" s="173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spans="1:26" ht="15.75" customHeight="1">
      <c r="A489" s="125"/>
      <c r="B489" s="125"/>
      <c r="C489" s="125"/>
      <c r="D489" s="125"/>
      <c r="E489" s="125"/>
      <c r="F489" s="126"/>
      <c r="G489" s="125"/>
      <c r="H489" s="125"/>
      <c r="I489" s="125"/>
      <c r="J489" s="125"/>
      <c r="K489" s="125"/>
      <c r="L489" s="125"/>
      <c r="M489" s="125"/>
      <c r="N489" s="129"/>
      <c r="O489" s="125"/>
      <c r="P489" s="173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spans="1:26" ht="15.75" customHeight="1">
      <c r="A490" s="125"/>
      <c r="B490" s="125"/>
      <c r="C490" s="125"/>
      <c r="D490" s="125"/>
      <c r="E490" s="125"/>
      <c r="F490" s="126"/>
      <c r="G490" s="125"/>
      <c r="H490" s="125"/>
      <c r="I490" s="125"/>
      <c r="J490" s="125"/>
      <c r="K490" s="125"/>
      <c r="L490" s="125"/>
      <c r="M490" s="125"/>
      <c r="N490" s="129"/>
      <c r="O490" s="125"/>
      <c r="P490" s="173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spans="1:26" ht="15.75" customHeight="1">
      <c r="A491" s="125"/>
      <c r="B491" s="125"/>
      <c r="C491" s="125"/>
      <c r="D491" s="125"/>
      <c r="E491" s="125"/>
      <c r="F491" s="126"/>
      <c r="G491" s="125"/>
      <c r="H491" s="125"/>
      <c r="I491" s="125"/>
      <c r="J491" s="125"/>
      <c r="K491" s="125"/>
      <c r="L491" s="125"/>
      <c r="M491" s="125"/>
      <c r="N491" s="129"/>
      <c r="O491" s="125"/>
      <c r="P491" s="173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spans="1:26" ht="15.75" customHeight="1">
      <c r="A492" s="125"/>
      <c r="B492" s="125"/>
      <c r="C492" s="125"/>
      <c r="D492" s="125"/>
      <c r="E492" s="125"/>
      <c r="F492" s="126"/>
      <c r="G492" s="125"/>
      <c r="H492" s="125"/>
      <c r="I492" s="125"/>
      <c r="J492" s="125"/>
      <c r="K492" s="125"/>
      <c r="L492" s="125"/>
      <c r="M492" s="125"/>
      <c r="N492" s="129"/>
      <c r="O492" s="125"/>
      <c r="P492" s="173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spans="1:26" ht="15.75" customHeight="1">
      <c r="A493" s="125"/>
      <c r="B493" s="125"/>
      <c r="C493" s="125"/>
      <c r="D493" s="125"/>
      <c r="E493" s="125"/>
      <c r="F493" s="126"/>
      <c r="G493" s="125"/>
      <c r="H493" s="125"/>
      <c r="I493" s="125"/>
      <c r="J493" s="125"/>
      <c r="K493" s="125"/>
      <c r="L493" s="125"/>
      <c r="M493" s="125"/>
      <c r="N493" s="129"/>
      <c r="O493" s="125"/>
      <c r="P493" s="173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spans="1:26" ht="15.75" customHeight="1">
      <c r="A494" s="125"/>
      <c r="B494" s="125"/>
      <c r="C494" s="125"/>
      <c r="D494" s="125"/>
      <c r="E494" s="125"/>
      <c r="F494" s="126"/>
      <c r="G494" s="125"/>
      <c r="H494" s="125"/>
      <c r="I494" s="125"/>
      <c r="J494" s="125"/>
      <c r="K494" s="125"/>
      <c r="L494" s="125"/>
      <c r="M494" s="125"/>
      <c r="N494" s="129"/>
      <c r="O494" s="125"/>
      <c r="P494" s="173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spans="1:26" ht="15.75" customHeight="1">
      <c r="A495" s="125"/>
      <c r="B495" s="125"/>
      <c r="C495" s="125"/>
      <c r="D495" s="125"/>
      <c r="E495" s="125"/>
      <c r="F495" s="126"/>
      <c r="G495" s="125"/>
      <c r="H495" s="125"/>
      <c r="I495" s="125"/>
      <c r="J495" s="125"/>
      <c r="K495" s="125"/>
      <c r="L495" s="125"/>
      <c r="M495" s="125"/>
      <c r="N495" s="129"/>
      <c r="O495" s="125"/>
      <c r="P495" s="173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spans="1:26" ht="15.75" customHeight="1">
      <c r="A496" s="125"/>
      <c r="B496" s="125"/>
      <c r="C496" s="125"/>
      <c r="D496" s="125"/>
      <c r="E496" s="125"/>
      <c r="F496" s="126"/>
      <c r="G496" s="125"/>
      <c r="H496" s="125"/>
      <c r="I496" s="125"/>
      <c r="J496" s="125"/>
      <c r="K496" s="125"/>
      <c r="L496" s="125"/>
      <c r="M496" s="125"/>
      <c r="N496" s="129"/>
      <c r="O496" s="125"/>
      <c r="P496" s="173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spans="1:26" ht="15.75" customHeight="1">
      <c r="A497" s="125"/>
      <c r="B497" s="125"/>
      <c r="C497" s="125"/>
      <c r="D497" s="125"/>
      <c r="E497" s="125"/>
      <c r="F497" s="126"/>
      <c r="G497" s="125"/>
      <c r="H497" s="125"/>
      <c r="I497" s="125"/>
      <c r="J497" s="125"/>
      <c r="K497" s="125"/>
      <c r="L497" s="125"/>
      <c r="M497" s="125"/>
      <c r="N497" s="129"/>
      <c r="O497" s="125"/>
      <c r="P497" s="173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spans="1:26" ht="15.75" customHeight="1">
      <c r="A498" s="125"/>
      <c r="B498" s="125"/>
      <c r="C498" s="125"/>
      <c r="D498" s="125"/>
      <c r="E498" s="125"/>
      <c r="F498" s="126"/>
      <c r="G498" s="125"/>
      <c r="H498" s="125"/>
      <c r="I498" s="125"/>
      <c r="J498" s="125"/>
      <c r="K498" s="125"/>
      <c r="L498" s="125"/>
      <c r="M498" s="125"/>
      <c r="N498" s="129"/>
      <c r="O498" s="125"/>
      <c r="P498" s="173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spans="1:26" ht="15.75" customHeight="1">
      <c r="A499" s="125"/>
      <c r="B499" s="125"/>
      <c r="C499" s="125"/>
      <c r="D499" s="125"/>
      <c r="E499" s="125"/>
      <c r="F499" s="126"/>
      <c r="G499" s="125"/>
      <c r="H499" s="125"/>
      <c r="I499" s="125"/>
      <c r="J499" s="125"/>
      <c r="K499" s="125"/>
      <c r="L499" s="125"/>
      <c r="M499" s="125"/>
      <c r="N499" s="129"/>
      <c r="O499" s="125"/>
      <c r="P499" s="173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spans="1:26" ht="15.75" customHeight="1">
      <c r="A500" s="125"/>
      <c r="B500" s="125"/>
      <c r="C500" s="125"/>
      <c r="D500" s="125"/>
      <c r="E500" s="125"/>
      <c r="F500" s="126"/>
      <c r="G500" s="125"/>
      <c r="H500" s="125"/>
      <c r="I500" s="125"/>
      <c r="J500" s="125"/>
      <c r="K500" s="125"/>
      <c r="L500" s="125"/>
      <c r="M500" s="125"/>
      <c r="N500" s="129"/>
      <c r="O500" s="125"/>
      <c r="P500" s="173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spans="1:26" ht="15.75" customHeight="1">
      <c r="A501" s="125"/>
      <c r="B501" s="125"/>
      <c r="C501" s="125"/>
      <c r="D501" s="125"/>
      <c r="E501" s="125"/>
      <c r="F501" s="126"/>
      <c r="G501" s="125"/>
      <c r="H501" s="125"/>
      <c r="I501" s="125"/>
      <c r="J501" s="125"/>
      <c r="K501" s="125"/>
      <c r="L501" s="125"/>
      <c r="M501" s="125"/>
      <c r="N501" s="129"/>
      <c r="O501" s="125"/>
      <c r="P501" s="173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spans="1:26" ht="15.75" customHeight="1">
      <c r="A502" s="125"/>
      <c r="B502" s="125"/>
      <c r="C502" s="125"/>
      <c r="D502" s="125"/>
      <c r="E502" s="125"/>
      <c r="F502" s="126"/>
      <c r="G502" s="125"/>
      <c r="H502" s="125"/>
      <c r="I502" s="125"/>
      <c r="J502" s="125"/>
      <c r="K502" s="125"/>
      <c r="L502" s="125"/>
      <c r="M502" s="125"/>
      <c r="N502" s="129"/>
      <c r="O502" s="125"/>
      <c r="P502" s="173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spans="1:26" ht="15.75" customHeight="1">
      <c r="A503" s="125"/>
      <c r="B503" s="125"/>
      <c r="C503" s="125"/>
      <c r="D503" s="125"/>
      <c r="E503" s="125"/>
      <c r="F503" s="126"/>
      <c r="G503" s="125"/>
      <c r="H503" s="125"/>
      <c r="I503" s="125"/>
      <c r="J503" s="125"/>
      <c r="K503" s="125"/>
      <c r="L503" s="125"/>
      <c r="M503" s="125"/>
      <c r="N503" s="129"/>
      <c r="O503" s="125"/>
      <c r="P503" s="173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spans="1:26" ht="15.75" customHeight="1">
      <c r="A504" s="125"/>
      <c r="B504" s="125"/>
      <c r="C504" s="125"/>
      <c r="D504" s="125"/>
      <c r="E504" s="125"/>
      <c r="F504" s="126"/>
      <c r="G504" s="125"/>
      <c r="H504" s="125"/>
      <c r="I504" s="125"/>
      <c r="J504" s="125"/>
      <c r="K504" s="125"/>
      <c r="L504" s="125"/>
      <c r="M504" s="125"/>
      <c r="N504" s="129"/>
      <c r="O504" s="125"/>
      <c r="P504" s="173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spans="1:26" ht="15.75" customHeight="1">
      <c r="A505" s="125"/>
      <c r="B505" s="125"/>
      <c r="C505" s="125"/>
      <c r="D505" s="125"/>
      <c r="E505" s="125"/>
      <c r="F505" s="126"/>
      <c r="G505" s="125"/>
      <c r="H505" s="125"/>
      <c r="I505" s="125"/>
      <c r="J505" s="125"/>
      <c r="K505" s="125"/>
      <c r="L505" s="125"/>
      <c r="M505" s="125"/>
      <c r="N505" s="129"/>
      <c r="O505" s="125"/>
      <c r="P505" s="173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spans="1:26" ht="15.75" customHeight="1">
      <c r="A506" s="125"/>
      <c r="B506" s="125"/>
      <c r="C506" s="125"/>
      <c r="D506" s="125"/>
      <c r="E506" s="125"/>
      <c r="F506" s="126"/>
      <c r="G506" s="125"/>
      <c r="H506" s="125"/>
      <c r="I506" s="125"/>
      <c r="J506" s="125"/>
      <c r="K506" s="125"/>
      <c r="L506" s="125"/>
      <c r="M506" s="125"/>
      <c r="N506" s="129"/>
      <c r="O506" s="125"/>
      <c r="P506" s="173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spans="1:26" ht="15.75" customHeight="1">
      <c r="A507" s="125"/>
      <c r="B507" s="125"/>
      <c r="C507" s="125"/>
      <c r="D507" s="125"/>
      <c r="E507" s="125"/>
      <c r="F507" s="126"/>
      <c r="G507" s="125"/>
      <c r="H507" s="125"/>
      <c r="I507" s="125"/>
      <c r="J507" s="125"/>
      <c r="K507" s="125"/>
      <c r="L507" s="125"/>
      <c r="M507" s="125"/>
      <c r="N507" s="129"/>
      <c r="O507" s="125"/>
      <c r="P507" s="173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spans="1:26" ht="15.75" customHeight="1">
      <c r="A508" s="125"/>
      <c r="B508" s="125"/>
      <c r="C508" s="125"/>
      <c r="D508" s="125"/>
      <c r="E508" s="125"/>
      <c r="F508" s="126"/>
      <c r="G508" s="125"/>
      <c r="H508" s="125"/>
      <c r="I508" s="125"/>
      <c r="J508" s="125"/>
      <c r="K508" s="125"/>
      <c r="L508" s="125"/>
      <c r="M508" s="125"/>
      <c r="N508" s="129"/>
      <c r="O508" s="125"/>
      <c r="P508" s="173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spans="1:26" ht="15.75" customHeight="1">
      <c r="A509" s="125"/>
      <c r="B509" s="125"/>
      <c r="C509" s="125"/>
      <c r="D509" s="125"/>
      <c r="E509" s="125"/>
      <c r="F509" s="126"/>
      <c r="G509" s="125"/>
      <c r="H509" s="125"/>
      <c r="I509" s="125"/>
      <c r="J509" s="125"/>
      <c r="K509" s="125"/>
      <c r="L509" s="125"/>
      <c r="M509" s="125"/>
      <c r="N509" s="129"/>
      <c r="O509" s="125"/>
      <c r="P509" s="173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spans="1:26" ht="15.75" customHeight="1">
      <c r="A510" s="125"/>
      <c r="B510" s="125"/>
      <c r="C510" s="125"/>
      <c r="D510" s="125"/>
      <c r="E510" s="125"/>
      <c r="F510" s="126"/>
      <c r="G510" s="125"/>
      <c r="H510" s="125"/>
      <c r="I510" s="125"/>
      <c r="J510" s="125"/>
      <c r="K510" s="125"/>
      <c r="L510" s="125"/>
      <c r="M510" s="125"/>
      <c r="N510" s="129"/>
      <c r="O510" s="125"/>
      <c r="P510" s="173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spans="1:26" ht="15.75" customHeight="1">
      <c r="A511" s="125"/>
      <c r="B511" s="125"/>
      <c r="C511" s="125"/>
      <c r="D511" s="125"/>
      <c r="E511" s="125"/>
      <c r="F511" s="126"/>
      <c r="G511" s="125"/>
      <c r="H511" s="125"/>
      <c r="I511" s="125"/>
      <c r="J511" s="125"/>
      <c r="K511" s="125"/>
      <c r="L511" s="125"/>
      <c r="M511" s="125"/>
      <c r="N511" s="129"/>
      <c r="O511" s="125"/>
      <c r="P511" s="173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spans="1:26" ht="15.75" customHeight="1">
      <c r="A512" s="125"/>
      <c r="B512" s="125"/>
      <c r="C512" s="125"/>
      <c r="D512" s="125"/>
      <c r="E512" s="125"/>
      <c r="F512" s="126"/>
      <c r="G512" s="125"/>
      <c r="H512" s="125"/>
      <c r="I512" s="125"/>
      <c r="J512" s="125"/>
      <c r="K512" s="125"/>
      <c r="L512" s="125"/>
      <c r="M512" s="125"/>
      <c r="N512" s="129"/>
      <c r="O512" s="125"/>
      <c r="P512" s="173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spans="1:26" ht="15.75" customHeight="1">
      <c r="A513" s="125"/>
      <c r="B513" s="125"/>
      <c r="C513" s="125"/>
      <c r="D513" s="125"/>
      <c r="E513" s="125"/>
      <c r="F513" s="126"/>
      <c r="G513" s="125"/>
      <c r="H513" s="125"/>
      <c r="I513" s="125"/>
      <c r="J513" s="125"/>
      <c r="K513" s="125"/>
      <c r="L513" s="125"/>
      <c r="M513" s="125"/>
      <c r="N513" s="129"/>
      <c r="O513" s="125"/>
      <c r="P513" s="173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spans="1:26" ht="15.75" customHeight="1">
      <c r="A514" s="125"/>
      <c r="B514" s="125"/>
      <c r="C514" s="125"/>
      <c r="D514" s="125"/>
      <c r="E514" s="125"/>
      <c r="F514" s="126"/>
      <c r="G514" s="125"/>
      <c r="H514" s="125"/>
      <c r="I514" s="125"/>
      <c r="J514" s="125"/>
      <c r="K514" s="125"/>
      <c r="L514" s="125"/>
      <c r="M514" s="125"/>
      <c r="N514" s="129"/>
      <c r="O514" s="125"/>
      <c r="P514" s="173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spans="1:26" ht="15.75" customHeight="1">
      <c r="A515" s="125"/>
      <c r="B515" s="125"/>
      <c r="C515" s="125"/>
      <c r="D515" s="125"/>
      <c r="E515" s="125"/>
      <c r="F515" s="126"/>
      <c r="G515" s="125"/>
      <c r="H515" s="125"/>
      <c r="I515" s="125"/>
      <c r="J515" s="125"/>
      <c r="K515" s="125"/>
      <c r="L515" s="125"/>
      <c r="M515" s="125"/>
      <c r="N515" s="129"/>
      <c r="O515" s="125"/>
      <c r="P515" s="173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spans="1:26" ht="15.75" customHeight="1">
      <c r="A516" s="125"/>
      <c r="B516" s="125"/>
      <c r="C516" s="125"/>
      <c r="D516" s="125"/>
      <c r="E516" s="125"/>
      <c r="F516" s="126"/>
      <c r="G516" s="125"/>
      <c r="H516" s="125"/>
      <c r="I516" s="125"/>
      <c r="J516" s="125"/>
      <c r="K516" s="125"/>
      <c r="L516" s="125"/>
      <c r="M516" s="125"/>
      <c r="N516" s="129"/>
      <c r="O516" s="125"/>
      <c r="P516" s="173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spans="1:26" ht="15.75" customHeight="1">
      <c r="A517" s="125"/>
      <c r="B517" s="125"/>
      <c r="C517" s="125"/>
      <c r="D517" s="125"/>
      <c r="E517" s="125"/>
      <c r="F517" s="126"/>
      <c r="G517" s="125"/>
      <c r="H517" s="125"/>
      <c r="I517" s="125"/>
      <c r="J517" s="125"/>
      <c r="K517" s="125"/>
      <c r="L517" s="125"/>
      <c r="M517" s="125"/>
      <c r="N517" s="129"/>
      <c r="O517" s="125"/>
      <c r="P517" s="173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spans="1:26" ht="15.75" customHeight="1">
      <c r="A518" s="125"/>
      <c r="B518" s="125"/>
      <c r="C518" s="125"/>
      <c r="D518" s="125"/>
      <c r="E518" s="125"/>
      <c r="F518" s="126"/>
      <c r="G518" s="125"/>
      <c r="H518" s="125"/>
      <c r="I518" s="125"/>
      <c r="J518" s="125"/>
      <c r="K518" s="125"/>
      <c r="L518" s="125"/>
      <c r="M518" s="125"/>
      <c r="N518" s="129"/>
      <c r="O518" s="125"/>
      <c r="P518" s="173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spans="1:26" ht="15.75" customHeight="1">
      <c r="A519" s="125"/>
      <c r="B519" s="125"/>
      <c r="C519" s="125"/>
      <c r="D519" s="125"/>
      <c r="E519" s="125"/>
      <c r="F519" s="126"/>
      <c r="G519" s="125"/>
      <c r="H519" s="125"/>
      <c r="I519" s="125"/>
      <c r="J519" s="125"/>
      <c r="K519" s="125"/>
      <c r="L519" s="125"/>
      <c r="M519" s="125"/>
      <c r="N519" s="129"/>
      <c r="O519" s="125"/>
      <c r="P519" s="173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spans="1:26" ht="15.75" customHeight="1">
      <c r="A520" s="125"/>
      <c r="B520" s="125"/>
      <c r="C520" s="125"/>
      <c r="D520" s="125"/>
      <c r="E520" s="125"/>
      <c r="F520" s="126"/>
      <c r="G520" s="125"/>
      <c r="H520" s="125"/>
      <c r="I520" s="125"/>
      <c r="J520" s="125"/>
      <c r="K520" s="125"/>
      <c r="L520" s="125"/>
      <c r="M520" s="125"/>
      <c r="N520" s="129"/>
      <c r="O520" s="125"/>
      <c r="P520" s="173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spans="1:26" ht="15.75" customHeight="1">
      <c r="A521" s="125"/>
      <c r="B521" s="125"/>
      <c r="C521" s="125"/>
      <c r="D521" s="125"/>
      <c r="E521" s="125"/>
      <c r="F521" s="126"/>
      <c r="G521" s="125"/>
      <c r="H521" s="125"/>
      <c r="I521" s="125"/>
      <c r="J521" s="125"/>
      <c r="K521" s="125"/>
      <c r="L521" s="125"/>
      <c r="M521" s="125"/>
      <c r="N521" s="129"/>
      <c r="O521" s="125"/>
      <c r="P521" s="173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spans="1:26" ht="15.75" customHeight="1">
      <c r="A522" s="125"/>
      <c r="B522" s="125"/>
      <c r="C522" s="125"/>
      <c r="D522" s="125"/>
      <c r="E522" s="125"/>
      <c r="F522" s="126"/>
      <c r="G522" s="125"/>
      <c r="H522" s="125"/>
      <c r="I522" s="125"/>
      <c r="J522" s="125"/>
      <c r="K522" s="125"/>
      <c r="L522" s="125"/>
      <c r="M522" s="125"/>
      <c r="N522" s="129"/>
      <c r="O522" s="125"/>
      <c r="P522" s="173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spans="1:26" ht="15.75" customHeight="1">
      <c r="A523" s="125"/>
      <c r="B523" s="125"/>
      <c r="C523" s="125"/>
      <c r="D523" s="125"/>
      <c r="E523" s="125"/>
      <c r="F523" s="126"/>
      <c r="G523" s="125"/>
      <c r="H523" s="125"/>
      <c r="I523" s="125"/>
      <c r="J523" s="125"/>
      <c r="K523" s="125"/>
      <c r="L523" s="125"/>
      <c r="M523" s="125"/>
      <c r="N523" s="129"/>
      <c r="O523" s="125"/>
      <c r="P523" s="173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spans="1:26" ht="15.75" customHeight="1">
      <c r="A524" s="125"/>
      <c r="B524" s="125"/>
      <c r="C524" s="125"/>
      <c r="D524" s="125"/>
      <c r="E524" s="125"/>
      <c r="F524" s="126"/>
      <c r="G524" s="125"/>
      <c r="H524" s="125"/>
      <c r="I524" s="125"/>
      <c r="J524" s="125"/>
      <c r="K524" s="125"/>
      <c r="L524" s="125"/>
      <c r="M524" s="125"/>
      <c r="N524" s="129"/>
      <c r="O524" s="125"/>
      <c r="P524" s="173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spans="1:26" ht="15.75" customHeight="1">
      <c r="A525" s="125"/>
      <c r="B525" s="125"/>
      <c r="C525" s="125"/>
      <c r="D525" s="125"/>
      <c r="E525" s="125"/>
      <c r="F525" s="126"/>
      <c r="G525" s="125"/>
      <c r="H525" s="125"/>
      <c r="I525" s="125"/>
      <c r="J525" s="125"/>
      <c r="K525" s="125"/>
      <c r="L525" s="125"/>
      <c r="M525" s="125"/>
      <c r="N525" s="129"/>
      <c r="O525" s="125"/>
      <c r="P525" s="173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spans="1:26" ht="15.75" customHeight="1">
      <c r="A526" s="125"/>
      <c r="B526" s="125"/>
      <c r="C526" s="125"/>
      <c r="D526" s="125"/>
      <c r="E526" s="125"/>
      <c r="F526" s="126"/>
      <c r="G526" s="125"/>
      <c r="H526" s="125"/>
      <c r="I526" s="125"/>
      <c r="J526" s="125"/>
      <c r="K526" s="125"/>
      <c r="L526" s="125"/>
      <c r="M526" s="125"/>
      <c r="N526" s="129"/>
      <c r="O526" s="125"/>
      <c r="P526" s="173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spans="1:26" ht="15.75" customHeight="1">
      <c r="A527" s="125"/>
      <c r="B527" s="125"/>
      <c r="C527" s="125"/>
      <c r="D527" s="125"/>
      <c r="E527" s="125"/>
      <c r="F527" s="126"/>
      <c r="G527" s="125"/>
      <c r="H527" s="125"/>
      <c r="I527" s="125"/>
      <c r="J527" s="125"/>
      <c r="K527" s="125"/>
      <c r="L527" s="125"/>
      <c r="M527" s="125"/>
      <c r="N527" s="129"/>
      <c r="O527" s="125"/>
      <c r="P527" s="173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spans="1:26" ht="15.75" customHeight="1">
      <c r="A528" s="125"/>
      <c r="B528" s="125"/>
      <c r="C528" s="125"/>
      <c r="D528" s="125"/>
      <c r="E528" s="125"/>
      <c r="F528" s="126"/>
      <c r="G528" s="125"/>
      <c r="H528" s="125"/>
      <c r="I528" s="125"/>
      <c r="J528" s="125"/>
      <c r="K528" s="125"/>
      <c r="L528" s="125"/>
      <c r="M528" s="125"/>
      <c r="N528" s="129"/>
      <c r="O528" s="125"/>
      <c r="P528" s="173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spans="1:26" ht="15.75" customHeight="1">
      <c r="A529" s="125"/>
      <c r="B529" s="125"/>
      <c r="C529" s="125"/>
      <c r="D529" s="125"/>
      <c r="E529" s="125"/>
      <c r="F529" s="126"/>
      <c r="G529" s="125"/>
      <c r="H529" s="125"/>
      <c r="I529" s="125"/>
      <c r="J529" s="125"/>
      <c r="K529" s="125"/>
      <c r="L529" s="125"/>
      <c r="M529" s="125"/>
      <c r="N529" s="129"/>
      <c r="O529" s="125"/>
      <c r="P529" s="173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spans="1:26" ht="15.75" customHeight="1">
      <c r="A530" s="125"/>
      <c r="B530" s="125"/>
      <c r="C530" s="125"/>
      <c r="D530" s="125"/>
      <c r="E530" s="125"/>
      <c r="F530" s="126"/>
      <c r="G530" s="125"/>
      <c r="H530" s="125"/>
      <c r="I530" s="125"/>
      <c r="J530" s="125"/>
      <c r="K530" s="125"/>
      <c r="L530" s="125"/>
      <c r="M530" s="125"/>
      <c r="N530" s="129"/>
      <c r="O530" s="125"/>
      <c r="P530" s="173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spans="1:26" ht="15.75" customHeight="1">
      <c r="A531" s="125"/>
      <c r="B531" s="125"/>
      <c r="C531" s="125"/>
      <c r="D531" s="125"/>
      <c r="E531" s="125"/>
      <c r="F531" s="126"/>
      <c r="G531" s="125"/>
      <c r="H531" s="125"/>
      <c r="I531" s="125"/>
      <c r="J531" s="125"/>
      <c r="K531" s="125"/>
      <c r="L531" s="125"/>
      <c r="M531" s="125"/>
      <c r="N531" s="129"/>
      <c r="O531" s="125"/>
      <c r="P531" s="173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spans="1:26" ht="15.75" customHeight="1">
      <c r="A532" s="125"/>
      <c r="B532" s="125"/>
      <c r="C532" s="125"/>
      <c r="D532" s="125"/>
      <c r="E532" s="125"/>
      <c r="F532" s="126"/>
      <c r="G532" s="125"/>
      <c r="H532" s="125"/>
      <c r="I532" s="125"/>
      <c r="J532" s="125"/>
      <c r="K532" s="125"/>
      <c r="L532" s="125"/>
      <c r="M532" s="125"/>
      <c r="N532" s="129"/>
      <c r="O532" s="125"/>
      <c r="P532" s="173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spans="1:26" ht="15.75" customHeight="1">
      <c r="A533" s="125"/>
      <c r="B533" s="125"/>
      <c r="C533" s="125"/>
      <c r="D533" s="125"/>
      <c r="E533" s="125"/>
      <c r="F533" s="126"/>
      <c r="G533" s="125"/>
      <c r="H533" s="125"/>
      <c r="I533" s="125"/>
      <c r="J533" s="125"/>
      <c r="K533" s="125"/>
      <c r="L533" s="125"/>
      <c r="M533" s="125"/>
      <c r="N533" s="129"/>
      <c r="O533" s="125"/>
      <c r="P533" s="173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spans="1:26" ht="15.75" customHeight="1">
      <c r="A534" s="125"/>
      <c r="B534" s="125"/>
      <c r="C534" s="125"/>
      <c r="D534" s="125"/>
      <c r="E534" s="125"/>
      <c r="F534" s="126"/>
      <c r="G534" s="125"/>
      <c r="H534" s="125"/>
      <c r="I534" s="125"/>
      <c r="J534" s="125"/>
      <c r="K534" s="125"/>
      <c r="L534" s="125"/>
      <c r="M534" s="125"/>
      <c r="N534" s="129"/>
      <c r="O534" s="125"/>
      <c r="P534" s="173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spans="1:26" ht="15.75" customHeight="1">
      <c r="A535" s="125"/>
      <c r="B535" s="125"/>
      <c r="C535" s="125"/>
      <c r="D535" s="125"/>
      <c r="E535" s="125"/>
      <c r="F535" s="126"/>
      <c r="G535" s="125"/>
      <c r="H535" s="125"/>
      <c r="I535" s="125"/>
      <c r="J535" s="125"/>
      <c r="K535" s="125"/>
      <c r="L535" s="125"/>
      <c r="M535" s="125"/>
      <c r="N535" s="129"/>
      <c r="O535" s="125"/>
      <c r="P535" s="173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spans="1:26" ht="15.75" customHeight="1">
      <c r="A536" s="125"/>
      <c r="B536" s="125"/>
      <c r="C536" s="125"/>
      <c r="D536" s="125"/>
      <c r="E536" s="125"/>
      <c r="F536" s="126"/>
      <c r="G536" s="125"/>
      <c r="H536" s="125"/>
      <c r="I536" s="125"/>
      <c r="J536" s="125"/>
      <c r="K536" s="125"/>
      <c r="L536" s="125"/>
      <c r="M536" s="125"/>
      <c r="N536" s="129"/>
      <c r="O536" s="125"/>
      <c r="P536" s="173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spans="1:26" ht="15.75" customHeight="1">
      <c r="A537" s="125"/>
      <c r="B537" s="125"/>
      <c r="C537" s="125"/>
      <c r="D537" s="125"/>
      <c r="E537" s="125"/>
      <c r="F537" s="126"/>
      <c r="G537" s="125"/>
      <c r="H537" s="125"/>
      <c r="I537" s="125"/>
      <c r="J537" s="125"/>
      <c r="K537" s="125"/>
      <c r="L537" s="125"/>
      <c r="M537" s="125"/>
      <c r="N537" s="129"/>
      <c r="O537" s="125"/>
      <c r="P537" s="173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spans="1:26" ht="15.75" customHeight="1">
      <c r="A538" s="125"/>
      <c r="B538" s="125"/>
      <c r="C538" s="125"/>
      <c r="D538" s="125"/>
      <c r="E538" s="125"/>
      <c r="F538" s="126"/>
      <c r="G538" s="125"/>
      <c r="H538" s="125"/>
      <c r="I538" s="125"/>
      <c r="J538" s="125"/>
      <c r="K538" s="125"/>
      <c r="L538" s="125"/>
      <c r="M538" s="125"/>
      <c r="N538" s="129"/>
      <c r="O538" s="125"/>
      <c r="P538" s="173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spans="1:26" ht="15.75" customHeight="1">
      <c r="A539" s="125"/>
      <c r="B539" s="125"/>
      <c r="C539" s="125"/>
      <c r="D539" s="125"/>
      <c r="E539" s="125"/>
      <c r="F539" s="126"/>
      <c r="G539" s="125"/>
      <c r="H539" s="125"/>
      <c r="I539" s="125"/>
      <c r="J539" s="125"/>
      <c r="K539" s="125"/>
      <c r="L539" s="125"/>
      <c r="M539" s="125"/>
      <c r="N539" s="129"/>
      <c r="O539" s="125"/>
      <c r="P539" s="173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spans="1:26" ht="15.75" customHeight="1">
      <c r="A540" s="125"/>
      <c r="B540" s="125"/>
      <c r="C540" s="125"/>
      <c r="D540" s="125"/>
      <c r="E540" s="125"/>
      <c r="F540" s="126"/>
      <c r="G540" s="125"/>
      <c r="H540" s="125"/>
      <c r="I540" s="125"/>
      <c r="J540" s="125"/>
      <c r="K540" s="125"/>
      <c r="L540" s="125"/>
      <c r="M540" s="125"/>
      <c r="N540" s="129"/>
      <c r="O540" s="125"/>
      <c r="P540" s="173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spans="1:26" ht="15.75" customHeight="1">
      <c r="A541" s="125"/>
      <c r="B541" s="125"/>
      <c r="C541" s="125"/>
      <c r="D541" s="125"/>
      <c r="E541" s="125"/>
      <c r="F541" s="126"/>
      <c r="G541" s="125"/>
      <c r="H541" s="125"/>
      <c r="I541" s="125"/>
      <c r="J541" s="125"/>
      <c r="K541" s="125"/>
      <c r="L541" s="125"/>
      <c r="M541" s="125"/>
      <c r="N541" s="129"/>
      <c r="O541" s="125"/>
      <c r="P541" s="173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spans="1:26" ht="15.75" customHeight="1">
      <c r="A542" s="125"/>
      <c r="B542" s="125"/>
      <c r="C542" s="125"/>
      <c r="D542" s="125"/>
      <c r="E542" s="125"/>
      <c r="F542" s="126"/>
      <c r="G542" s="125"/>
      <c r="H542" s="125"/>
      <c r="I542" s="125"/>
      <c r="J542" s="125"/>
      <c r="K542" s="125"/>
      <c r="L542" s="125"/>
      <c r="M542" s="125"/>
      <c r="N542" s="129"/>
      <c r="O542" s="125"/>
      <c r="P542" s="173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spans="1:26" ht="15.75" customHeight="1">
      <c r="A543" s="125"/>
      <c r="B543" s="125"/>
      <c r="C543" s="125"/>
      <c r="D543" s="125"/>
      <c r="E543" s="125"/>
      <c r="F543" s="126"/>
      <c r="G543" s="125"/>
      <c r="H543" s="125"/>
      <c r="I543" s="125"/>
      <c r="J543" s="125"/>
      <c r="K543" s="125"/>
      <c r="L543" s="125"/>
      <c r="M543" s="125"/>
      <c r="N543" s="129"/>
      <c r="O543" s="125"/>
      <c r="P543" s="173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spans="1:26" ht="15.75" customHeight="1">
      <c r="A544" s="125"/>
      <c r="B544" s="125"/>
      <c r="C544" s="125"/>
      <c r="D544" s="125"/>
      <c r="E544" s="125"/>
      <c r="F544" s="126"/>
      <c r="G544" s="125"/>
      <c r="H544" s="125"/>
      <c r="I544" s="125"/>
      <c r="J544" s="125"/>
      <c r="K544" s="125"/>
      <c r="L544" s="125"/>
      <c r="M544" s="125"/>
      <c r="N544" s="129"/>
      <c r="O544" s="125"/>
      <c r="P544" s="173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spans="1:26" ht="15.75" customHeight="1">
      <c r="A545" s="125"/>
      <c r="B545" s="125"/>
      <c r="C545" s="125"/>
      <c r="D545" s="125"/>
      <c r="E545" s="125"/>
      <c r="F545" s="126"/>
      <c r="G545" s="125"/>
      <c r="H545" s="125"/>
      <c r="I545" s="125"/>
      <c r="J545" s="125"/>
      <c r="K545" s="125"/>
      <c r="L545" s="125"/>
      <c r="M545" s="125"/>
      <c r="N545" s="129"/>
      <c r="O545" s="125"/>
      <c r="P545" s="173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spans="1:26" ht="15.75" customHeight="1">
      <c r="A546" s="125"/>
      <c r="B546" s="125"/>
      <c r="C546" s="125"/>
      <c r="D546" s="125"/>
      <c r="E546" s="125"/>
      <c r="F546" s="126"/>
      <c r="G546" s="125"/>
      <c r="H546" s="125"/>
      <c r="I546" s="125"/>
      <c r="J546" s="125"/>
      <c r="K546" s="125"/>
      <c r="L546" s="125"/>
      <c r="M546" s="125"/>
      <c r="N546" s="129"/>
      <c r="O546" s="125"/>
      <c r="P546" s="173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spans="1:26" ht="15.75" customHeight="1">
      <c r="A547" s="125"/>
      <c r="B547" s="125"/>
      <c r="C547" s="125"/>
      <c r="D547" s="125"/>
      <c r="E547" s="125"/>
      <c r="F547" s="126"/>
      <c r="G547" s="125"/>
      <c r="H547" s="125"/>
      <c r="I547" s="125"/>
      <c r="J547" s="125"/>
      <c r="K547" s="125"/>
      <c r="L547" s="125"/>
      <c r="M547" s="125"/>
      <c r="N547" s="129"/>
      <c r="O547" s="125"/>
      <c r="P547" s="173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spans="1:26" ht="15.75" customHeight="1">
      <c r="A548" s="125"/>
      <c r="B548" s="125"/>
      <c r="C548" s="125"/>
      <c r="D548" s="125"/>
      <c r="E548" s="125"/>
      <c r="F548" s="126"/>
      <c r="G548" s="125"/>
      <c r="H548" s="125"/>
      <c r="I548" s="125"/>
      <c r="J548" s="125"/>
      <c r="K548" s="125"/>
      <c r="L548" s="125"/>
      <c r="M548" s="125"/>
      <c r="N548" s="129"/>
      <c r="O548" s="125"/>
      <c r="P548" s="173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spans="1:26" ht="15.75" customHeight="1">
      <c r="A549" s="125"/>
      <c r="B549" s="125"/>
      <c r="C549" s="125"/>
      <c r="D549" s="125"/>
      <c r="E549" s="125"/>
      <c r="F549" s="126"/>
      <c r="G549" s="125"/>
      <c r="H549" s="125"/>
      <c r="I549" s="125"/>
      <c r="J549" s="125"/>
      <c r="K549" s="125"/>
      <c r="L549" s="125"/>
      <c r="M549" s="125"/>
      <c r="N549" s="129"/>
      <c r="O549" s="125"/>
      <c r="P549" s="173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spans="1:26" ht="15.75" customHeight="1">
      <c r="A550" s="125"/>
      <c r="B550" s="125"/>
      <c r="C550" s="125"/>
      <c r="D550" s="125"/>
      <c r="E550" s="125"/>
      <c r="F550" s="126"/>
      <c r="G550" s="125"/>
      <c r="H550" s="125"/>
      <c r="I550" s="125"/>
      <c r="J550" s="125"/>
      <c r="K550" s="125"/>
      <c r="L550" s="125"/>
      <c r="M550" s="125"/>
      <c r="N550" s="129"/>
      <c r="O550" s="125"/>
      <c r="P550" s="173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spans="1:26" ht="15.75" customHeight="1">
      <c r="A551" s="125"/>
      <c r="B551" s="125"/>
      <c r="C551" s="125"/>
      <c r="D551" s="125"/>
      <c r="E551" s="125"/>
      <c r="F551" s="126"/>
      <c r="G551" s="125"/>
      <c r="H551" s="125"/>
      <c r="I551" s="125"/>
      <c r="J551" s="125"/>
      <c r="K551" s="125"/>
      <c r="L551" s="125"/>
      <c r="M551" s="125"/>
      <c r="N551" s="129"/>
      <c r="O551" s="125"/>
      <c r="P551" s="173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spans="1:26" ht="15.75" customHeight="1">
      <c r="A552" s="125"/>
      <c r="B552" s="125"/>
      <c r="C552" s="125"/>
      <c r="D552" s="125"/>
      <c r="E552" s="125"/>
      <c r="F552" s="126"/>
      <c r="G552" s="125"/>
      <c r="H552" s="125"/>
      <c r="I552" s="125"/>
      <c r="J552" s="125"/>
      <c r="K552" s="125"/>
      <c r="L552" s="125"/>
      <c r="M552" s="125"/>
      <c r="N552" s="129"/>
      <c r="O552" s="125"/>
      <c r="P552" s="173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26" ht="15.75" customHeight="1">
      <c r="A553" s="125"/>
      <c r="B553" s="125"/>
      <c r="C553" s="125"/>
      <c r="D553" s="125"/>
      <c r="E553" s="125"/>
      <c r="F553" s="126"/>
      <c r="G553" s="125"/>
      <c r="H553" s="125"/>
      <c r="I553" s="125"/>
      <c r="J553" s="125"/>
      <c r="K553" s="125"/>
      <c r="L553" s="125"/>
      <c r="M553" s="125"/>
      <c r="N553" s="129"/>
      <c r="O553" s="125"/>
      <c r="P553" s="173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spans="1:26" ht="15.75" customHeight="1">
      <c r="A554" s="125"/>
      <c r="B554" s="125"/>
      <c r="C554" s="125"/>
      <c r="D554" s="125"/>
      <c r="E554" s="125"/>
      <c r="F554" s="126"/>
      <c r="G554" s="125"/>
      <c r="H554" s="125"/>
      <c r="I554" s="125"/>
      <c r="J554" s="125"/>
      <c r="K554" s="125"/>
      <c r="L554" s="125"/>
      <c r="M554" s="125"/>
      <c r="N554" s="129"/>
      <c r="O554" s="125"/>
      <c r="P554" s="173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spans="1:26" ht="15.75" customHeight="1">
      <c r="A555" s="125"/>
      <c r="B555" s="125"/>
      <c r="C555" s="125"/>
      <c r="D555" s="125"/>
      <c r="E555" s="125"/>
      <c r="F555" s="126"/>
      <c r="G555" s="125"/>
      <c r="H555" s="125"/>
      <c r="I555" s="125"/>
      <c r="J555" s="125"/>
      <c r="K555" s="125"/>
      <c r="L555" s="125"/>
      <c r="M555" s="125"/>
      <c r="N555" s="129"/>
      <c r="O555" s="125"/>
      <c r="P555" s="173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spans="1:26" ht="15.75" customHeight="1">
      <c r="A556" s="125"/>
      <c r="B556" s="125"/>
      <c r="C556" s="125"/>
      <c r="D556" s="125"/>
      <c r="E556" s="125"/>
      <c r="F556" s="126"/>
      <c r="G556" s="125"/>
      <c r="H556" s="125"/>
      <c r="I556" s="125"/>
      <c r="J556" s="125"/>
      <c r="K556" s="125"/>
      <c r="L556" s="125"/>
      <c r="M556" s="125"/>
      <c r="N556" s="129"/>
      <c r="O556" s="125"/>
      <c r="P556" s="173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spans="1:26" ht="15.75" customHeight="1">
      <c r="A557" s="125"/>
      <c r="B557" s="125"/>
      <c r="C557" s="125"/>
      <c r="D557" s="125"/>
      <c r="E557" s="125"/>
      <c r="F557" s="126"/>
      <c r="G557" s="125"/>
      <c r="H557" s="125"/>
      <c r="I557" s="125"/>
      <c r="J557" s="125"/>
      <c r="K557" s="125"/>
      <c r="L557" s="125"/>
      <c r="M557" s="125"/>
      <c r="N557" s="129"/>
      <c r="O557" s="125"/>
      <c r="P557" s="173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spans="1:26" ht="15.75" customHeight="1">
      <c r="A558" s="125"/>
      <c r="B558" s="125"/>
      <c r="C558" s="125"/>
      <c r="D558" s="125"/>
      <c r="E558" s="125"/>
      <c r="F558" s="126"/>
      <c r="G558" s="125"/>
      <c r="H558" s="125"/>
      <c r="I558" s="125"/>
      <c r="J558" s="125"/>
      <c r="K558" s="125"/>
      <c r="L558" s="125"/>
      <c r="M558" s="125"/>
      <c r="N558" s="129"/>
      <c r="O558" s="125"/>
      <c r="P558" s="173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spans="1:26" ht="15.75" customHeight="1">
      <c r="A559" s="125"/>
      <c r="B559" s="125"/>
      <c r="C559" s="125"/>
      <c r="D559" s="125"/>
      <c r="E559" s="125"/>
      <c r="F559" s="126"/>
      <c r="G559" s="125"/>
      <c r="H559" s="125"/>
      <c r="I559" s="125"/>
      <c r="J559" s="125"/>
      <c r="K559" s="125"/>
      <c r="L559" s="125"/>
      <c r="M559" s="125"/>
      <c r="N559" s="129"/>
      <c r="O559" s="125"/>
      <c r="P559" s="173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spans="1:26" ht="15.75" customHeight="1">
      <c r="A560" s="125"/>
      <c r="B560" s="125"/>
      <c r="C560" s="125"/>
      <c r="D560" s="125"/>
      <c r="E560" s="125"/>
      <c r="F560" s="126"/>
      <c r="G560" s="125"/>
      <c r="H560" s="125"/>
      <c r="I560" s="125"/>
      <c r="J560" s="125"/>
      <c r="K560" s="125"/>
      <c r="L560" s="125"/>
      <c r="M560" s="125"/>
      <c r="N560" s="129"/>
      <c r="O560" s="125"/>
      <c r="P560" s="173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spans="1:26" ht="15.75" customHeight="1">
      <c r="A561" s="125"/>
      <c r="B561" s="125"/>
      <c r="C561" s="125"/>
      <c r="D561" s="125"/>
      <c r="E561" s="125"/>
      <c r="F561" s="126"/>
      <c r="G561" s="125"/>
      <c r="H561" s="125"/>
      <c r="I561" s="125"/>
      <c r="J561" s="125"/>
      <c r="K561" s="125"/>
      <c r="L561" s="125"/>
      <c r="M561" s="125"/>
      <c r="N561" s="129"/>
      <c r="O561" s="125"/>
      <c r="P561" s="173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spans="1:26" ht="15.75" customHeight="1">
      <c r="A562" s="125"/>
      <c r="B562" s="125"/>
      <c r="C562" s="125"/>
      <c r="D562" s="125"/>
      <c r="E562" s="125"/>
      <c r="F562" s="126"/>
      <c r="G562" s="125"/>
      <c r="H562" s="125"/>
      <c r="I562" s="125"/>
      <c r="J562" s="125"/>
      <c r="K562" s="125"/>
      <c r="L562" s="125"/>
      <c r="M562" s="125"/>
      <c r="N562" s="129"/>
      <c r="O562" s="125"/>
      <c r="P562" s="173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spans="1:26" ht="15.75" customHeight="1">
      <c r="A563" s="125"/>
      <c r="B563" s="125"/>
      <c r="C563" s="125"/>
      <c r="D563" s="125"/>
      <c r="E563" s="125"/>
      <c r="F563" s="126"/>
      <c r="G563" s="125"/>
      <c r="H563" s="125"/>
      <c r="I563" s="125"/>
      <c r="J563" s="125"/>
      <c r="K563" s="125"/>
      <c r="L563" s="125"/>
      <c r="M563" s="125"/>
      <c r="N563" s="129"/>
      <c r="O563" s="125"/>
      <c r="P563" s="173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spans="1:26" ht="15.75" customHeight="1">
      <c r="A564" s="125"/>
      <c r="B564" s="125"/>
      <c r="C564" s="125"/>
      <c r="D564" s="125"/>
      <c r="E564" s="125"/>
      <c r="F564" s="126"/>
      <c r="G564" s="125"/>
      <c r="H564" s="125"/>
      <c r="I564" s="125"/>
      <c r="J564" s="125"/>
      <c r="K564" s="125"/>
      <c r="L564" s="125"/>
      <c r="M564" s="125"/>
      <c r="N564" s="129"/>
      <c r="O564" s="125"/>
      <c r="P564" s="173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spans="1:26" ht="15.75" customHeight="1">
      <c r="A565" s="125"/>
      <c r="B565" s="125"/>
      <c r="C565" s="125"/>
      <c r="D565" s="125"/>
      <c r="E565" s="125"/>
      <c r="F565" s="126"/>
      <c r="G565" s="125"/>
      <c r="H565" s="125"/>
      <c r="I565" s="125"/>
      <c r="J565" s="125"/>
      <c r="K565" s="125"/>
      <c r="L565" s="125"/>
      <c r="M565" s="125"/>
      <c r="N565" s="129"/>
      <c r="O565" s="125"/>
      <c r="P565" s="173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spans="1:26" ht="15.75" customHeight="1">
      <c r="A566" s="125"/>
      <c r="B566" s="125"/>
      <c r="C566" s="125"/>
      <c r="D566" s="125"/>
      <c r="E566" s="125"/>
      <c r="F566" s="126"/>
      <c r="G566" s="125"/>
      <c r="H566" s="125"/>
      <c r="I566" s="125"/>
      <c r="J566" s="125"/>
      <c r="K566" s="125"/>
      <c r="L566" s="125"/>
      <c r="M566" s="125"/>
      <c r="N566" s="129"/>
      <c r="O566" s="125"/>
      <c r="P566" s="173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spans="1:26" ht="15.75" customHeight="1">
      <c r="A567" s="125"/>
      <c r="B567" s="125"/>
      <c r="C567" s="125"/>
      <c r="D567" s="125"/>
      <c r="E567" s="125"/>
      <c r="F567" s="126"/>
      <c r="G567" s="125"/>
      <c r="H567" s="125"/>
      <c r="I567" s="125"/>
      <c r="J567" s="125"/>
      <c r="K567" s="125"/>
      <c r="L567" s="125"/>
      <c r="M567" s="125"/>
      <c r="N567" s="129"/>
      <c r="O567" s="125"/>
      <c r="P567" s="173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spans="1:26" ht="15.75" customHeight="1">
      <c r="A568" s="125"/>
      <c r="B568" s="125"/>
      <c r="C568" s="125"/>
      <c r="D568" s="125"/>
      <c r="E568" s="125"/>
      <c r="F568" s="126"/>
      <c r="G568" s="125"/>
      <c r="H568" s="125"/>
      <c r="I568" s="125"/>
      <c r="J568" s="125"/>
      <c r="K568" s="125"/>
      <c r="L568" s="125"/>
      <c r="M568" s="125"/>
      <c r="N568" s="129"/>
      <c r="O568" s="125"/>
      <c r="P568" s="173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spans="1:26" ht="15.75" customHeight="1">
      <c r="A569" s="125"/>
      <c r="B569" s="125"/>
      <c r="C569" s="125"/>
      <c r="D569" s="125"/>
      <c r="E569" s="125"/>
      <c r="F569" s="126"/>
      <c r="G569" s="125"/>
      <c r="H569" s="125"/>
      <c r="I569" s="125"/>
      <c r="J569" s="125"/>
      <c r="K569" s="125"/>
      <c r="L569" s="125"/>
      <c r="M569" s="125"/>
      <c r="N569" s="129"/>
      <c r="O569" s="125"/>
      <c r="P569" s="173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spans="1:26" ht="15.75" customHeight="1">
      <c r="A570" s="125"/>
      <c r="B570" s="125"/>
      <c r="C570" s="125"/>
      <c r="D570" s="125"/>
      <c r="E570" s="125"/>
      <c r="F570" s="126"/>
      <c r="G570" s="125"/>
      <c r="H570" s="125"/>
      <c r="I570" s="125"/>
      <c r="J570" s="125"/>
      <c r="K570" s="125"/>
      <c r="L570" s="125"/>
      <c r="M570" s="125"/>
      <c r="N570" s="129"/>
      <c r="O570" s="125"/>
      <c r="P570" s="173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spans="1:26" ht="15.75" customHeight="1">
      <c r="A571" s="125"/>
      <c r="B571" s="125"/>
      <c r="C571" s="125"/>
      <c r="D571" s="125"/>
      <c r="E571" s="125"/>
      <c r="F571" s="126"/>
      <c r="G571" s="125"/>
      <c r="H571" s="125"/>
      <c r="I571" s="125"/>
      <c r="J571" s="125"/>
      <c r="K571" s="125"/>
      <c r="L571" s="125"/>
      <c r="M571" s="125"/>
      <c r="N571" s="129"/>
      <c r="O571" s="125"/>
      <c r="P571" s="173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spans="1:26" ht="15.75" customHeight="1">
      <c r="A572" s="125"/>
      <c r="B572" s="125"/>
      <c r="C572" s="125"/>
      <c r="D572" s="125"/>
      <c r="E572" s="125"/>
      <c r="F572" s="126"/>
      <c r="G572" s="125"/>
      <c r="H572" s="125"/>
      <c r="I572" s="125"/>
      <c r="J572" s="125"/>
      <c r="K572" s="125"/>
      <c r="L572" s="125"/>
      <c r="M572" s="125"/>
      <c r="N572" s="129"/>
      <c r="O572" s="125"/>
      <c r="P572" s="173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spans="1:26" ht="15.75" customHeight="1">
      <c r="A573" s="125"/>
      <c r="B573" s="125"/>
      <c r="C573" s="125"/>
      <c r="D573" s="125"/>
      <c r="E573" s="125"/>
      <c r="F573" s="126"/>
      <c r="G573" s="125"/>
      <c r="H573" s="125"/>
      <c r="I573" s="125"/>
      <c r="J573" s="125"/>
      <c r="K573" s="125"/>
      <c r="L573" s="125"/>
      <c r="M573" s="125"/>
      <c r="N573" s="129"/>
      <c r="O573" s="125"/>
      <c r="P573" s="173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spans="1:26" ht="15.75" customHeight="1">
      <c r="A574" s="125"/>
      <c r="B574" s="125"/>
      <c r="C574" s="125"/>
      <c r="D574" s="125"/>
      <c r="E574" s="125"/>
      <c r="F574" s="126"/>
      <c r="G574" s="125"/>
      <c r="H574" s="125"/>
      <c r="I574" s="125"/>
      <c r="J574" s="125"/>
      <c r="K574" s="125"/>
      <c r="L574" s="125"/>
      <c r="M574" s="125"/>
      <c r="N574" s="129"/>
      <c r="O574" s="125"/>
      <c r="P574" s="173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spans="1:26" ht="15.75" customHeight="1">
      <c r="A575" s="125"/>
      <c r="B575" s="125"/>
      <c r="C575" s="125"/>
      <c r="D575" s="125"/>
      <c r="E575" s="125"/>
      <c r="F575" s="126"/>
      <c r="G575" s="125"/>
      <c r="H575" s="125"/>
      <c r="I575" s="125"/>
      <c r="J575" s="125"/>
      <c r="K575" s="125"/>
      <c r="L575" s="125"/>
      <c r="M575" s="125"/>
      <c r="N575" s="129"/>
      <c r="O575" s="125"/>
      <c r="P575" s="173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spans="1:26" ht="15.75" customHeight="1">
      <c r="A576" s="125"/>
      <c r="B576" s="125"/>
      <c r="C576" s="125"/>
      <c r="D576" s="125"/>
      <c r="E576" s="125"/>
      <c r="F576" s="126"/>
      <c r="G576" s="125"/>
      <c r="H576" s="125"/>
      <c r="I576" s="125"/>
      <c r="J576" s="125"/>
      <c r="K576" s="125"/>
      <c r="L576" s="125"/>
      <c r="M576" s="125"/>
      <c r="N576" s="129"/>
      <c r="O576" s="125"/>
      <c r="P576" s="173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spans="1:26" ht="15.75" customHeight="1">
      <c r="A577" s="125"/>
      <c r="B577" s="125"/>
      <c r="C577" s="125"/>
      <c r="D577" s="125"/>
      <c r="E577" s="125"/>
      <c r="F577" s="126"/>
      <c r="G577" s="125"/>
      <c r="H577" s="125"/>
      <c r="I577" s="125"/>
      <c r="J577" s="125"/>
      <c r="K577" s="125"/>
      <c r="L577" s="125"/>
      <c r="M577" s="125"/>
      <c r="N577" s="129"/>
      <c r="O577" s="125"/>
      <c r="P577" s="173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spans="1:26" ht="15.75" customHeight="1">
      <c r="A578" s="125"/>
      <c r="B578" s="125"/>
      <c r="C578" s="125"/>
      <c r="D578" s="125"/>
      <c r="E578" s="125"/>
      <c r="F578" s="126"/>
      <c r="G578" s="125"/>
      <c r="H578" s="125"/>
      <c r="I578" s="125"/>
      <c r="J578" s="125"/>
      <c r="K578" s="125"/>
      <c r="L578" s="125"/>
      <c r="M578" s="125"/>
      <c r="N578" s="129"/>
      <c r="O578" s="125"/>
      <c r="P578" s="173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spans="1:26" ht="15.75" customHeight="1">
      <c r="A579" s="125"/>
      <c r="B579" s="125"/>
      <c r="C579" s="125"/>
      <c r="D579" s="125"/>
      <c r="E579" s="125"/>
      <c r="F579" s="126"/>
      <c r="G579" s="125"/>
      <c r="H579" s="125"/>
      <c r="I579" s="125"/>
      <c r="J579" s="125"/>
      <c r="K579" s="125"/>
      <c r="L579" s="125"/>
      <c r="M579" s="125"/>
      <c r="N579" s="129"/>
      <c r="O579" s="125"/>
      <c r="P579" s="173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spans="1:26" ht="15.75" customHeight="1">
      <c r="A580" s="125"/>
      <c r="B580" s="125"/>
      <c r="C580" s="125"/>
      <c r="D580" s="125"/>
      <c r="E580" s="125"/>
      <c r="F580" s="126"/>
      <c r="G580" s="125"/>
      <c r="H580" s="125"/>
      <c r="I580" s="125"/>
      <c r="J580" s="125"/>
      <c r="K580" s="125"/>
      <c r="L580" s="125"/>
      <c r="M580" s="125"/>
      <c r="N580" s="129"/>
      <c r="O580" s="125"/>
      <c r="P580" s="173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spans="1:26" ht="15.75" customHeight="1">
      <c r="A581" s="125"/>
      <c r="B581" s="125"/>
      <c r="C581" s="125"/>
      <c r="D581" s="125"/>
      <c r="E581" s="125"/>
      <c r="F581" s="126"/>
      <c r="G581" s="125"/>
      <c r="H581" s="125"/>
      <c r="I581" s="125"/>
      <c r="J581" s="125"/>
      <c r="K581" s="125"/>
      <c r="L581" s="125"/>
      <c r="M581" s="125"/>
      <c r="N581" s="129"/>
      <c r="O581" s="125"/>
      <c r="P581" s="173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spans="1:26" ht="15.75" customHeight="1">
      <c r="A582" s="125"/>
      <c r="B582" s="125"/>
      <c r="C582" s="125"/>
      <c r="D582" s="125"/>
      <c r="E582" s="125"/>
      <c r="F582" s="126"/>
      <c r="G582" s="125"/>
      <c r="H582" s="125"/>
      <c r="I582" s="125"/>
      <c r="J582" s="125"/>
      <c r="K582" s="125"/>
      <c r="L582" s="125"/>
      <c r="M582" s="125"/>
      <c r="N582" s="129"/>
      <c r="O582" s="125"/>
      <c r="P582" s="173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spans="1:26" ht="15.75" customHeight="1">
      <c r="A583" s="125"/>
      <c r="B583" s="125"/>
      <c r="C583" s="125"/>
      <c r="D583" s="125"/>
      <c r="E583" s="125"/>
      <c r="F583" s="126"/>
      <c r="G583" s="125"/>
      <c r="H583" s="125"/>
      <c r="I583" s="125"/>
      <c r="J583" s="125"/>
      <c r="K583" s="125"/>
      <c r="L583" s="125"/>
      <c r="M583" s="125"/>
      <c r="N583" s="129"/>
      <c r="O583" s="125"/>
      <c r="P583" s="173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spans="1:26" ht="15.75" customHeight="1">
      <c r="A584" s="125"/>
      <c r="B584" s="125"/>
      <c r="C584" s="125"/>
      <c r="D584" s="125"/>
      <c r="E584" s="125"/>
      <c r="F584" s="126"/>
      <c r="G584" s="125"/>
      <c r="H584" s="125"/>
      <c r="I584" s="125"/>
      <c r="J584" s="125"/>
      <c r="K584" s="125"/>
      <c r="L584" s="125"/>
      <c r="M584" s="125"/>
      <c r="N584" s="129"/>
      <c r="O584" s="125"/>
      <c r="P584" s="173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spans="1:26" ht="15.75" customHeight="1">
      <c r="A585" s="125"/>
      <c r="B585" s="125"/>
      <c r="C585" s="125"/>
      <c r="D585" s="125"/>
      <c r="E585" s="125"/>
      <c r="F585" s="126"/>
      <c r="G585" s="125"/>
      <c r="H585" s="125"/>
      <c r="I585" s="125"/>
      <c r="J585" s="125"/>
      <c r="K585" s="125"/>
      <c r="L585" s="125"/>
      <c r="M585" s="125"/>
      <c r="N585" s="129"/>
      <c r="O585" s="125"/>
      <c r="P585" s="173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spans="1:26" ht="15.75" customHeight="1">
      <c r="A586" s="125"/>
      <c r="B586" s="125"/>
      <c r="C586" s="125"/>
      <c r="D586" s="125"/>
      <c r="E586" s="125"/>
      <c r="F586" s="126"/>
      <c r="G586" s="125"/>
      <c r="H586" s="125"/>
      <c r="I586" s="125"/>
      <c r="J586" s="125"/>
      <c r="K586" s="125"/>
      <c r="L586" s="125"/>
      <c r="M586" s="125"/>
      <c r="N586" s="129"/>
      <c r="O586" s="125"/>
      <c r="P586" s="173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spans="1:26" ht="15.75" customHeight="1">
      <c r="A587" s="125"/>
      <c r="B587" s="125"/>
      <c r="C587" s="125"/>
      <c r="D587" s="125"/>
      <c r="E587" s="125"/>
      <c r="F587" s="126"/>
      <c r="G587" s="125"/>
      <c r="H587" s="125"/>
      <c r="I587" s="125"/>
      <c r="J587" s="125"/>
      <c r="K587" s="125"/>
      <c r="L587" s="125"/>
      <c r="M587" s="125"/>
      <c r="N587" s="129"/>
      <c r="O587" s="125"/>
      <c r="P587" s="173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spans="1:26" ht="15.75" customHeight="1">
      <c r="A588" s="125"/>
      <c r="B588" s="125"/>
      <c r="C588" s="125"/>
      <c r="D588" s="125"/>
      <c r="E588" s="125"/>
      <c r="F588" s="126"/>
      <c r="G588" s="125"/>
      <c r="H588" s="125"/>
      <c r="I588" s="125"/>
      <c r="J588" s="125"/>
      <c r="K588" s="125"/>
      <c r="L588" s="125"/>
      <c r="M588" s="125"/>
      <c r="N588" s="129"/>
      <c r="O588" s="125"/>
      <c r="P588" s="173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spans="1:26" ht="15.75" customHeight="1">
      <c r="A589" s="125"/>
      <c r="B589" s="125"/>
      <c r="C589" s="125"/>
      <c r="D589" s="125"/>
      <c r="E589" s="125"/>
      <c r="F589" s="126"/>
      <c r="G589" s="125"/>
      <c r="H589" s="125"/>
      <c r="I589" s="125"/>
      <c r="J589" s="125"/>
      <c r="K589" s="125"/>
      <c r="L589" s="125"/>
      <c r="M589" s="125"/>
      <c r="N589" s="129"/>
      <c r="O589" s="125"/>
      <c r="P589" s="173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spans="1:26" ht="15.75" customHeight="1">
      <c r="A590" s="125"/>
      <c r="B590" s="125"/>
      <c r="C590" s="125"/>
      <c r="D590" s="125"/>
      <c r="E590" s="125"/>
      <c r="F590" s="126"/>
      <c r="G590" s="125"/>
      <c r="H590" s="125"/>
      <c r="I590" s="125"/>
      <c r="J590" s="125"/>
      <c r="K590" s="125"/>
      <c r="L590" s="125"/>
      <c r="M590" s="125"/>
      <c r="N590" s="129"/>
      <c r="O590" s="125"/>
      <c r="P590" s="173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spans="1:26" ht="15.75" customHeight="1">
      <c r="A591" s="125"/>
      <c r="B591" s="125"/>
      <c r="C591" s="125"/>
      <c r="D591" s="125"/>
      <c r="E591" s="125"/>
      <c r="F591" s="126"/>
      <c r="G591" s="125"/>
      <c r="H591" s="125"/>
      <c r="I591" s="125"/>
      <c r="J591" s="125"/>
      <c r="K591" s="125"/>
      <c r="L591" s="125"/>
      <c r="M591" s="125"/>
      <c r="N591" s="129"/>
      <c r="O591" s="125"/>
      <c r="P591" s="173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spans="1:26" ht="15.75" customHeight="1">
      <c r="A592" s="125"/>
      <c r="B592" s="125"/>
      <c r="C592" s="125"/>
      <c r="D592" s="125"/>
      <c r="E592" s="125"/>
      <c r="F592" s="126"/>
      <c r="G592" s="125"/>
      <c r="H592" s="125"/>
      <c r="I592" s="125"/>
      <c r="J592" s="125"/>
      <c r="K592" s="125"/>
      <c r="L592" s="125"/>
      <c r="M592" s="125"/>
      <c r="N592" s="129"/>
      <c r="O592" s="125"/>
      <c r="P592" s="173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spans="1:26" ht="15.75" customHeight="1">
      <c r="A593" s="125"/>
      <c r="B593" s="125"/>
      <c r="C593" s="125"/>
      <c r="D593" s="125"/>
      <c r="E593" s="125"/>
      <c r="F593" s="126"/>
      <c r="G593" s="125"/>
      <c r="H593" s="125"/>
      <c r="I593" s="125"/>
      <c r="J593" s="125"/>
      <c r="K593" s="125"/>
      <c r="L593" s="125"/>
      <c r="M593" s="125"/>
      <c r="N593" s="129"/>
      <c r="O593" s="125"/>
      <c r="P593" s="173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spans="1:26" ht="15.75" customHeight="1">
      <c r="A594" s="125"/>
      <c r="B594" s="125"/>
      <c r="C594" s="125"/>
      <c r="D594" s="125"/>
      <c r="E594" s="125"/>
      <c r="F594" s="126"/>
      <c r="G594" s="125"/>
      <c r="H594" s="125"/>
      <c r="I594" s="125"/>
      <c r="J594" s="125"/>
      <c r="K594" s="125"/>
      <c r="L594" s="125"/>
      <c r="M594" s="125"/>
      <c r="N594" s="129"/>
      <c r="O594" s="125"/>
      <c r="P594" s="173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spans="1:26" ht="15.75" customHeight="1">
      <c r="A595" s="125"/>
      <c r="B595" s="125"/>
      <c r="C595" s="125"/>
      <c r="D595" s="125"/>
      <c r="E595" s="125"/>
      <c r="F595" s="126"/>
      <c r="G595" s="125"/>
      <c r="H595" s="125"/>
      <c r="I595" s="125"/>
      <c r="J595" s="125"/>
      <c r="K595" s="125"/>
      <c r="L595" s="125"/>
      <c r="M595" s="125"/>
      <c r="N595" s="129"/>
      <c r="O595" s="125"/>
      <c r="P595" s="173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spans="1:26" ht="15.75" customHeight="1">
      <c r="A596" s="125"/>
      <c r="B596" s="125"/>
      <c r="C596" s="125"/>
      <c r="D596" s="125"/>
      <c r="E596" s="125"/>
      <c r="F596" s="126"/>
      <c r="G596" s="125"/>
      <c r="H596" s="125"/>
      <c r="I596" s="125"/>
      <c r="J596" s="125"/>
      <c r="K596" s="125"/>
      <c r="L596" s="125"/>
      <c r="M596" s="125"/>
      <c r="N596" s="129"/>
      <c r="O596" s="125"/>
      <c r="P596" s="173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spans="1:26" ht="15.75" customHeight="1">
      <c r="A597" s="125"/>
      <c r="B597" s="125"/>
      <c r="C597" s="125"/>
      <c r="D597" s="125"/>
      <c r="E597" s="125"/>
      <c r="F597" s="126"/>
      <c r="G597" s="125"/>
      <c r="H597" s="125"/>
      <c r="I597" s="125"/>
      <c r="J597" s="125"/>
      <c r="K597" s="125"/>
      <c r="L597" s="125"/>
      <c r="M597" s="125"/>
      <c r="N597" s="129"/>
      <c r="O597" s="125"/>
      <c r="P597" s="173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spans="1:26" ht="15.75" customHeight="1">
      <c r="A598" s="125"/>
      <c r="B598" s="125"/>
      <c r="C598" s="125"/>
      <c r="D598" s="125"/>
      <c r="E598" s="125"/>
      <c r="F598" s="126"/>
      <c r="G598" s="125"/>
      <c r="H598" s="125"/>
      <c r="I598" s="125"/>
      <c r="J598" s="125"/>
      <c r="K598" s="125"/>
      <c r="L598" s="125"/>
      <c r="M598" s="125"/>
      <c r="N598" s="129"/>
      <c r="O598" s="125"/>
      <c r="P598" s="173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spans="1:26" ht="15.75" customHeight="1">
      <c r="A599" s="125"/>
      <c r="B599" s="125"/>
      <c r="C599" s="125"/>
      <c r="D599" s="125"/>
      <c r="E599" s="125"/>
      <c r="F599" s="126"/>
      <c r="G599" s="125"/>
      <c r="H599" s="125"/>
      <c r="I599" s="125"/>
      <c r="J599" s="125"/>
      <c r="K599" s="125"/>
      <c r="L599" s="125"/>
      <c r="M599" s="125"/>
      <c r="N599" s="129"/>
      <c r="O599" s="125"/>
      <c r="P599" s="173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spans="1:26" ht="15.75" customHeight="1">
      <c r="A600" s="125"/>
      <c r="B600" s="125"/>
      <c r="C600" s="125"/>
      <c r="D600" s="125"/>
      <c r="E600" s="125"/>
      <c r="F600" s="126"/>
      <c r="G600" s="125"/>
      <c r="H600" s="125"/>
      <c r="I600" s="125"/>
      <c r="J600" s="125"/>
      <c r="K600" s="125"/>
      <c r="L600" s="125"/>
      <c r="M600" s="125"/>
      <c r="N600" s="129"/>
      <c r="O600" s="125"/>
      <c r="P600" s="173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spans="1:26" ht="15.75" customHeight="1">
      <c r="A601" s="125"/>
      <c r="B601" s="125"/>
      <c r="C601" s="125"/>
      <c r="D601" s="125"/>
      <c r="E601" s="125"/>
      <c r="F601" s="126"/>
      <c r="G601" s="125"/>
      <c r="H601" s="125"/>
      <c r="I601" s="125"/>
      <c r="J601" s="125"/>
      <c r="K601" s="125"/>
      <c r="L601" s="125"/>
      <c r="M601" s="125"/>
      <c r="N601" s="129"/>
      <c r="O601" s="125"/>
      <c r="P601" s="173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spans="1:26" ht="15.75" customHeight="1">
      <c r="A602" s="125"/>
      <c r="B602" s="125"/>
      <c r="C602" s="125"/>
      <c r="D602" s="125"/>
      <c r="E602" s="125"/>
      <c r="F602" s="126"/>
      <c r="G602" s="125"/>
      <c r="H602" s="125"/>
      <c r="I602" s="125"/>
      <c r="J602" s="125"/>
      <c r="K602" s="125"/>
      <c r="L602" s="125"/>
      <c r="M602" s="125"/>
      <c r="N602" s="129"/>
      <c r="O602" s="125"/>
      <c r="P602" s="173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spans="1:26" ht="15.75" customHeight="1">
      <c r="A603" s="125"/>
      <c r="B603" s="125"/>
      <c r="C603" s="125"/>
      <c r="D603" s="125"/>
      <c r="E603" s="125"/>
      <c r="F603" s="126"/>
      <c r="G603" s="125"/>
      <c r="H603" s="125"/>
      <c r="I603" s="125"/>
      <c r="J603" s="125"/>
      <c r="K603" s="125"/>
      <c r="L603" s="125"/>
      <c r="M603" s="125"/>
      <c r="N603" s="129"/>
      <c r="O603" s="125"/>
      <c r="P603" s="173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spans="1:26" ht="15.75" customHeight="1">
      <c r="A604" s="125"/>
      <c r="B604" s="125"/>
      <c r="C604" s="125"/>
      <c r="D604" s="125"/>
      <c r="E604" s="125"/>
      <c r="F604" s="126"/>
      <c r="G604" s="125"/>
      <c r="H604" s="125"/>
      <c r="I604" s="125"/>
      <c r="J604" s="125"/>
      <c r="K604" s="125"/>
      <c r="L604" s="125"/>
      <c r="M604" s="125"/>
      <c r="N604" s="129"/>
      <c r="O604" s="125"/>
      <c r="P604" s="173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spans="1:26" ht="15.75" customHeight="1">
      <c r="A605" s="125"/>
      <c r="B605" s="125"/>
      <c r="C605" s="125"/>
      <c r="D605" s="125"/>
      <c r="E605" s="125"/>
      <c r="F605" s="126"/>
      <c r="G605" s="125"/>
      <c r="H605" s="125"/>
      <c r="I605" s="125"/>
      <c r="J605" s="125"/>
      <c r="K605" s="125"/>
      <c r="L605" s="125"/>
      <c r="M605" s="125"/>
      <c r="N605" s="129"/>
      <c r="O605" s="125"/>
      <c r="P605" s="173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spans="1:26" ht="15.75" customHeight="1">
      <c r="A606" s="125"/>
      <c r="B606" s="125"/>
      <c r="C606" s="125"/>
      <c r="D606" s="125"/>
      <c r="E606" s="125"/>
      <c r="F606" s="126"/>
      <c r="G606" s="125"/>
      <c r="H606" s="125"/>
      <c r="I606" s="125"/>
      <c r="J606" s="125"/>
      <c r="K606" s="125"/>
      <c r="L606" s="125"/>
      <c r="M606" s="125"/>
      <c r="N606" s="129"/>
      <c r="O606" s="125"/>
      <c r="P606" s="173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spans="1:26" ht="15.75" customHeight="1">
      <c r="A607" s="125"/>
      <c r="B607" s="125"/>
      <c r="C607" s="125"/>
      <c r="D607" s="125"/>
      <c r="E607" s="125"/>
      <c r="F607" s="126"/>
      <c r="G607" s="125"/>
      <c r="H607" s="125"/>
      <c r="I607" s="125"/>
      <c r="J607" s="125"/>
      <c r="K607" s="125"/>
      <c r="L607" s="125"/>
      <c r="M607" s="125"/>
      <c r="N607" s="129"/>
      <c r="O607" s="125"/>
      <c r="P607" s="173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spans="1:26" ht="15.75" customHeight="1">
      <c r="A608" s="125"/>
      <c r="B608" s="125"/>
      <c r="C608" s="125"/>
      <c r="D608" s="125"/>
      <c r="E608" s="125"/>
      <c r="F608" s="126"/>
      <c r="G608" s="125"/>
      <c r="H608" s="125"/>
      <c r="I608" s="125"/>
      <c r="J608" s="125"/>
      <c r="K608" s="125"/>
      <c r="L608" s="125"/>
      <c r="M608" s="125"/>
      <c r="N608" s="129"/>
      <c r="O608" s="125"/>
      <c r="P608" s="173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spans="1:26" ht="15.75" customHeight="1">
      <c r="A609" s="125"/>
      <c r="B609" s="125"/>
      <c r="C609" s="125"/>
      <c r="D609" s="125"/>
      <c r="E609" s="125"/>
      <c r="F609" s="126"/>
      <c r="G609" s="125"/>
      <c r="H609" s="125"/>
      <c r="I609" s="125"/>
      <c r="J609" s="125"/>
      <c r="K609" s="125"/>
      <c r="L609" s="125"/>
      <c r="M609" s="125"/>
      <c r="N609" s="129"/>
      <c r="O609" s="125"/>
      <c r="P609" s="173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spans="1:26" ht="15.75" customHeight="1">
      <c r="A610" s="125"/>
      <c r="B610" s="125"/>
      <c r="C610" s="125"/>
      <c r="D610" s="125"/>
      <c r="E610" s="125"/>
      <c r="F610" s="126"/>
      <c r="G610" s="125"/>
      <c r="H610" s="125"/>
      <c r="I610" s="125"/>
      <c r="J610" s="125"/>
      <c r="K610" s="125"/>
      <c r="L610" s="125"/>
      <c r="M610" s="125"/>
      <c r="N610" s="129"/>
      <c r="O610" s="125"/>
      <c r="P610" s="173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spans="1:26" ht="15.75" customHeight="1">
      <c r="A611" s="125"/>
      <c r="B611" s="125"/>
      <c r="C611" s="125"/>
      <c r="D611" s="125"/>
      <c r="E611" s="125"/>
      <c r="F611" s="126"/>
      <c r="G611" s="125"/>
      <c r="H611" s="125"/>
      <c r="I611" s="125"/>
      <c r="J611" s="125"/>
      <c r="K611" s="125"/>
      <c r="L611" s="125"/>
      <c r="M611" s="125"/>
      <c r="N611" s="129"/>
      <c r="O611" s="125"/>
      <c r="P611" s="173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spans="1:26" ht="15.75" customHeight="1">
      <c r="A612" s="125"/>
      <c r="B612" s="125"/>
      <c r="C612" s="125"/>
      <c r="D612" s="125"/>
      <c r="E612" s="125"/>
      <c r="F612" s="126"/>
      <c r="G612" s="125"/>
      <c r="H612" s="125"/>
      <c r="I612" s="125"/>
      <c r="J612" s="125"/>
      <c r="K612" s="125"/>
      <c r="L612" s="125"/>
      <c r="M612" s="125"/>
      <c r="N612" s="129"/>
      <c r="O612" s="125"/>
      <c r="P612" s="173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spans="1:26" ht="15.75" customHeight="1">
      <c r="A613" s="125"/>
      <c r="B613" s="125"/>
      <c r="C613" s="125"/>
      <c r="D613" s="125"/>
      <c r="E613" s="125"/>
      <c r="F613" s="126"/>
      <c r="G613" s="125"/>
      <c r="H613" s="125"/>
      <c r="I613" s="125"/>
      <c r="J613" s="125"/>
      <c r="K613" s="125"/>
      <c r="L613" s="125"/>
      <c r="M613" s="125"/>
      <c r="N613" s="129"/>
      <c r="O613" s="125"/>
      <c r="P613" s="173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spans="1:26" ht="15.75" customHeight="1">
      <c r="A614" s="125"/>
      <c r="B614" s="125"/>
      <c r="C614" s="125"/>
      <c r="D614" s="125"/>
      <c r="E614" s="125"/>
      <c r="F614" s="126"/>
      <c r="G614" s="125"/>
      <c r="H614" s="125"/>
      <c r="I614" s="125"/>
      <c r="J614" s="125"/>
      <c r="K614" s="125"/>
      <c r="L614" s="125"/>
      <c r="M614" s="125"/>
      <c r="N614" s="129"/>
      <c r="O614" s="125"/>
      <c r="P614" s="173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spans="1:26" ht="15.75" customHeight="1">
      <c r="A615" s="125"/>
      <c r="B615" s="125"/>
      <c r="C615" s="125"/>
      <c r="D615" s="125"/>
      <c r="E615" s="125"/>
      <c r="F615" s="126"/>
      <c r="G615" s="125"/>
      <c r="H615" s="125"/>
      <c r="I615" s="125"/>
      <c r="J615" s="125"/>
      <c r="K615" s="125"/>
      <c r="L615" s="125"/>
      <c r="M615" s="125"/>
      <c r="N615" s="129"/>
      <c r="O615" s="125"/>
      <c r="P615" s="173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spans="1:26" ht="15.75" customHeight="1">
      <c r="A616" s="125"/>
      <c r="B616" s="125"/>
      <c r="C616" s="125"/>
      <c r="D616" s="125"/>
      <c r="E616" s="125"/>
      <c r="F616" s="126"/>
      <c r="G616" s="125"/>
      <c r="H616" s="125"/>
      <c r="I616" s="125"/>
      <c r="J616" s="125"/>
      <c r="K616" s="125"/>
      <c r="L616" s="125"/>
      <c r="M616" s="125"/>
      <c r="N616" s="129"/>
      <c r="O616" s="125"/>
      <c r="P616" s="173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spans="1:26" ht="15.75" customHeight="1">
      <c r="A617" s="125"/>
      <c r="B617" s="125"/>
      <c r="C617" s="125"/>
      <c r="D617" s="125"/>
      <c r="E617" s="125"/>
      <c r="F617" s="126"/>
      <c r="G617" s="125"/>
      <c r="H617" s="125"/>
      <c r="I617" s="125"/>
      <c r="J617" s="125"/>
      <c r="K617" s="125"/>
      <c r="L617" s="125"/>
      <c r="M617" s="125"/>
      <c r="N617" s="129"/>
      <c r="O617" s="125"/>
      <c r="P617" s="173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spans="1:26" ht="15.75" customHeight="1">
      <c r="A618" s="125"/>
      <c r="B618" s="125"/>
      <c r="C618" s="125"/>
      <c r="D618" s="125"/>
      <c r="E618" s="125"/>
      <c r="F618" s="126"/>
      <c r="G618" s="125"/>
      <c r="H618" s="125"/>
      <c r="I618" s="125"/>
      <c r="J618" s="125"/>
      <c r="K618" s="125"/>
      <c r="L618" s="125"/>
      <c r="M618" s="125"/>
      <c r="N618" s="129"/>
      <c r="O618" s="125"/>
      <c r="P618" s="173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spans="1:26" ht="15.75" customHeight="1">
      <c r="A619" s="125"/>
      <c r="B619" s="125"/>
      <c r="C619" s="125"/>
      <c r="D619" s="125"/>
      <c r="E619" s="125"/>
      <c r="F619" s="126"/>
      <c r="G619" s="125"/>
      <c r="H619" s="125"/>
      <c r="I619" s="125"/>
      <c r="J619" s="125"/>
      <c r="K619" s="125"/>
      <c r="L619" s="125"/>
      <c r="M619" s="125"/>
      <c r="N619" s="129"/>
      <c r="O619" s="125"/>
      <c r="P619" s="173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spans="1:26" ht="15.75" customHeight="1">
      <c r="A620" s="125"/>
      <c r="B620" s="125"/>
      <c r="C620" s="125"/>
      <c r="D620" s="125"/>
      <c r="E620" s="125"/>
      <c r="F620" s="126"/>
      <c r="G620" s="125"/>
      <c r="H620" s="125"/>
      <c r="I620" s="125"/>
      <c r="J620" s="125"/>
      <c r="K620" s="125"/>
      <c r="L620" s="125"/>
      <c r="M620" s="125"/>
      <c r="N620" s="129"/>
      <c r="O620" s="125"/>
      <c r="P620" s="173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spans="1:26" ht="15.75" customHeight="1">
      <c r="A621" s="125"/>
      <c r="B621" s="125"/>
      <c r="C621" s="125"/>
      <c r="D621" s="125"/>
      <c r="E621" s="125"/>
      <c r="F621" s="126"/>
      <c r="G621" s="125"/>
      <c r="H621" s="125"/>
      <c r="I621" s="125"/>
      <c r="J621" s="125"/>
      <c r="K621" s="125"/>
      <c r="L621" s="125"/>
      <c r="M621" s="125"/>
      <c r="N621" s="129"/>
      <c r="O621" s="125"/>
      <c r="P621" s="173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spans="1:26" ht="15.75" customHeight="1">
      <c r="A622" s="125"/>
      <c r="B622" s="125"/>
      <c r="C622" s="125"/>
      <c r="D622" s="125"/>
      <c r="E622" s="125"/>
      <c r="F622" s="126"/>
      <c r="G622" s="125"/>
      <c r="H622" s="125"/>
      <c r="I622" s="125"/>
      <c r="J622" s="125"/>
      <c r="K622" s="125"/>
      <c r="L622" s="125"/>
      <c r="M622" s="125"/>
      <c r="N622" s="129"/>
      <c r="O622" s="125"/>
      <c r="P622" s="173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spans="1:26" ht="15.75" customHeight="1">
      <c r="A623" s="125"/>
      <c r="B623" s="125"/>
      <c r="C623" s="125"/>
      <c r="D623" s="125"/>
      <c r="E623" s="125"/>
      <c r="F623" s="126"/>
      <c r="G623" s="125"/>
      <c r="H623" s="125"/>
      <c r="I623" s="125"/>
      <c r="J623" s="125"/>
      <c r="K623" s="125"/>
      <c r="L623" s="125"/>
      <c r="M623" s="125"/>
      <c r="N623" s="129"/>
      <c r="O623" s="125"/>
      <c r="P623" s="173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spans="1:26" ht="15.75" customHeight="1">
      <c r="A624" s="125"/>
      <c r="B624" s="125"/>
      <c r="C624" s="125"/>
      <c r="D624" s="125"/>
      <c r="E624" s="125"/>
      <c r="F624" s="126"/>
      <c r="G624" s="125"/>
      <c r="H624" s="125"/>
      <c r="I624" s="125"/>
      <c r="J624" s="125"/>
      <c r="K624" s="125"/>
      <c r="L624" s="125"/>
      <c r="M624" s="125"/>
      <c r="N624" s="129"/>
      <c r="O624" s="125"/>
      <c r="P624" s="173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spans="1:26" ht="15.75" customHeight="1">
      <c r="A625" s="125"/>
      <c r="B625" s="125"/>
      <c r="C625" s="125"/>
      <c r="D625" s="125"/>
      <c r="E625" s="125"/>
      <c r="F625" s="126"/>
      <c r="G625" s="125"/>
      <c r="H625" s="125"/>
      <c r="I625" s="125"/>
      <c r="J625" s="125"/>
      <c r="K625" s="125"/>
      <c r="L625" s="125"/>
      <c r="M625" s="125"/>
      <c r="N625" s="129"/>
      <c r="O625" s="125"/>
      <c r="P625" s="173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spans="1:26" ht="15.75" customHeight="1">
      <c r="A626" s="125"/>
      <c r="B626" s="125"/>
      <c r="C626" s="125"/>
      <c r="D626" s="125"/>
      <c r="E626" s="125"/>
      <c r="F626" s="126"/>
      <c r="G626" s="125"/>
      <c r="H626" s="125"/>
      <c r="I626" s="125"/>
      <c r="J626" s="125"/>
      <c r="K626" s="125"/>
      <c r="L626" s="125"/>
      <c r="M626" s="125"/>
      <c r="N626" s="129"/>
      <c r="O626" s="125"/>
      <c r="P626" s="173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spans="1:26" ht="15.75" customHeight="1">
      <c r="A627" s="125"/>
      <c r="B627" s="125"/>
      <c r="C627" s="125"/>
      <c r="D627" s="125"/>
      <c r="E627" s="125"/>
      <c r="F627" s="126"/>
      <c r="G627" s="125"/>
      <c r="H627" s="125"/>
      <c r="I627" s="125"/>
      <c r="J627" s="125"/>
      <c r="K627" s="125"/>
      <c r="L627" s="125"/>
      <c r="M627" s="125"/>
      <c r="N627" s="129"/>
      <c r="O627" s="125"/>
      <c r="P627" s="173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spans="1:26" ht="15.75" customHeight="1">
      <c r="A628" s="125"/>
      <c r="B628" s="125"/>
      <c r="C628" s="125"/>
      <c r="D628" s="125"/>
      <c r="E628" s="125"/>
      <c r="F628" s="126"/>
      <c r="G628" s="125"/>
      <c r="H628" s="125"/>
      <c r="I628" s="125"/>
      <c r="J628" s="125"/>
      <c r="K628" s="125"/>
      <c r="L628" s="125"/>
      <c r="M628" s="125"/>
      <c r="N628" s="129"/>
      <c r="O628" s="125"/>
      <c r="P628" s="173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spans="1:26" ht="15.75" customHeight="1">
      <c r="A629" s="125"/>
      <c r="B629" s="125"/>
      <c r="C629" s="125"/>
      <c r="D629" s="125"/>
      <c r="E629" s="125"/>
      <c r="F629" s="126"/>
      <c r="G629" s="125"/>
      <c r="H629" s="125"/>
      <c r="I629" s="125"/>
      <c r="J629" s="125"/>
      <c r="K629" s="125"/>
      <c r="L629" s="125"/>
      <c r="M629" s="125"/>
      <c r="N629" s="129"/>
      <c r="O629" s="125"/>
      <c r="P629" s="173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spans="1:26" ht="15.75" customHeight="1">
      <c r="A630" s="125"/>
      <c r="B630" s="125"/>
      <c r="C630" s="125"/>
      <c r="D630" s="125"/>
      <c r="E630" s="125"/>
      <c r="F630" s="126"/>
      <c r="G630" s="125"/>
      <c r="H630" s="125"/>
      <c r="I630" s="125"/>
      <c r="J630" s="125"/>
      <c r="K630" s="125"/>
      <c r="L630" s="125"/>
      <c r="M630" s="125"/>
      <c r="N630" s="129"/>
      <c r="O630" s="125"/>
      <c r="P630" s="173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spans="1:26" ht="15.75" customHeight="1">
      <c r="A631" s="125"/>
      <c r="B631" s="125"/>
      <c r="C631" s="125"/>
      <c r="D631" s="125"/>
      <c r="E631" s="125"/>
      <c r="F631" s="126"/>
      <c r="G631" s="125"/>
      <c r="H631" s="125"/>
      <c r="I631" s="125"/>
      <c r="J631" s="125"/>
      <c r="K631" s="125"/>
      <c r="L631" s="125"/>
      <c r="M631" s="125"/>
      <c r="N631" s="129"/>
      <c r="O631" s="125"/>
      <c r="P631" s="173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spans="1:26" ht="15.75" customHeight="1">
      <c r="A632" s="125"/>
      <c r="B632" s="125"/>
      <c r="C632" s="125"/>
      <c r="D632" s="125"/>
      <c r="E632" s="125"/>
      <c r="F632" s="126"/>
      <c r="G632" s="125"/>
      <c r="H632" s="125"/>
      <c r="I632" s="125"/>
      <c r="J632" s="125"/>
      <c r="K632" s="125"/>
      <c r="L632" s="125"/>
      <c r="M632" s="125"/>
      <c r="N632" s="129"/>
      <c r="O632" s="125"/>
      <c r="P632" s="173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spans="1:26" ht="15.75" customHeight="1">
      <c r="A633" s="125"/>
      <c r="B633" s="125"/>
      <c r="C633" s="125"/>
      <c r="D633" s="125"/>
      <c r="E633" s="125"/>
      <c r="F633" s="126"/>
      <c r="G633" s="125"/>
      <c r="H633" s="125"/>
      <c r="I633" s="125"/>
      <c r="J633" s="125"/>
      <c r="K633" s="125"/>
      <c r="L633" s="125"/>
      <c r="M633" s="125"/>
      <c r="N633" s="129"/>
      <c r="O633" s="125"/>
      <c r="P633" s="173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spans="1:26" ht="15.75" customHeight="1">
      <c r="A634" s="125"/>
      <c r="B634" s="125"/>
      <c r="C634" s="125"/>
      <c r="D634" s="125"/>
      <c r="E634" s="125"/>
      <c r="F634" s="126"/>
      <c r="G634" s="125"/>
      <c r="H634" s="125"/>
      <c r="I634" s="125"/>
      <c r="J634" s="125"/>
      <c r="K634" s="125"/>
      <c r="L634" s="125"/>
      <c r="M634" s="125"/>
      <c r="N634" s="129"/>
      <c r="O634" s="125"/>
      <c r="P634" s="173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spans="1:26" ht="15.75" customHeight="1">
      <c r="A635" s="125"/>
      <c r="B635" s="125"/>
      <c r="C635" s="125"/>
      <c r="D635" s="125"/>
      <c r="E635" s="125"/>
      <c r="F635" s="126"/>
      <c r="G635" s="125"/>
      <c r="H635" s="125"/>
      <c r="I635" s="125"/>
      <c r="J635" s="125"/>
      <c r="K635" s="125"/>
      <c r="L635" s="125"/>
      <c r="M635" s="125"/>
      <c r="N635" s="129"/>
      <c r="O635" s="125"/>
      <c r="P635" s="173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spans="1:26" ht="15.75" customHeight="1">
      <c r="A636" s="125"/>
      <c r="B636" s="125"/>
      <c r="C636" s="125"/>
      <c r="D636" s="125"/>
      <c r="E636" s="125"/>
      <c r="F636" s="126"/>
      <c r="G636" s="125"/>
      <c r="H636" s="125"/>
      <c r="I636" s="125"/>
      <c r="J636" s="125"/>
      <c r="K636" s="125"/>
      <c r="L636" s="125"/>
      <c r="M636" s="125"/>
      <c r="N636" s="129"/>
      <c r="O636" s="125"/>
      <c r="P636" s="173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spans="1:26" ht="15.75" customHeight="1">
      <c r="A637" s="125"/>
      <c r="B637" s="125"/>
      <c r="C637" s="125"/>
      <c r="D637" s="125"/>
      <c r="E637" s="125"/>
      <c r="F637" s="126"/>
      <c r="G637" s="125"/>
      <c r="H637" s="125"/>
      <c r="I637" s="125"/>
      <c r="J637" s="125"/>
      <c r="K637" s="125"/>
      <c r="L637" s="125"/>
      <c r="M637" s="125"/>
      <c r="N637" s="129"/>
      <c r="O637" s="125"/>
      <c r="P637" s="173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spans="1:26" ht="15.75" customHeight="1">
      <c r="A638" s="125"/>
      <c r="B638" s="125"/>
      <c r="C638" s="125"/>
      <c r="D638" s="125"/>
      <c r="E638" s="125"/>
      <c r="F638" s="126"/>
      <c r="G638" s="125"/>
      <c r="H638" s="125"/>
      <c r="I638" s="125"/>
      <c r="J638" s="125"/>
      <c r="K638" s="125"/>
      <c r="L638" s="125"/>
      <c r="M638" s="125"/>
      <c r="N638" s="129"/>
      <c r="O638" s="125"/>
      <c r="P638" s="173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spans="1:26" ht="15.75" customHeight="1">
      <c r="A639" s="125"/>
      <c r="B639" s="125"/>
      <c r="C639" s="125"/>
      <c r="D639" s="125"/>
      <c r="E639" s="125"/>
      <c r="F639" s="126"/>
      <c r="G639" s="125"/>
      <c r="H639" s="125"/>
      <c r="I639" s="125"/>
      <c r="J639" s="125"/>
      <c r="K639" s="125"/>
      <c r="L639" s="125"/>
      <c r="M639" s="125"/>
      <c r="N639" s="129"/>
      <c r="O639" s="125"/>
      <c r="P639" s="173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spans="1:26" ht="15.75" customHeight="1">
      <c r="A640" s="125"/>
      <c r="B640" s="125"/>
      <c r="C640" s="125"/>
      <c r="D640" s="125"/>
      <c r="E640" s="125"/>
      <c r="F640" s="126"/>
      <c r="G640" s="125"/>
      <c r="H640" s="125"/>
      <c r="I640" s="125"/>
      <c r="J640" s="125"/>
      <c r="K640" s="125"/>
      <c r="L640" s="125"/>
      <c r="M640" s="125"/>
      <c r="N640" s="129"/>
      <c r="O640" s="125"/>
      <c r="P640" s="173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spans="1:26" ht="15.75" customHeight="1">
      <c r="A641" s="125"/>
      <c r="B641" s="125"/>
      <c r="C641" s="125"/>
      <c r="D641" s="125"/>
      <c r="E641" s="125"/>
      <c r="F641" s="126"/>
      <c r="G641" s="125"/>
      <c r="H641" s="125"/>
      <c r="I641" s="125"/>
      <c r="J641" s="125"/>
      <c r="K641" s="125"/>
      <c r="L641" s="125"/>
      <c r="M641" s="125"/>
      <c r="N641" s="129"/>
      <c r="O641" s="125"/>
      <c r="P641" s="173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spans="1:26" ht="15.75" customHeight="1">
      <c r="A642" s="125"/>
      <c r="B642" s="125"/>
      <c r="C642" s="125"/>
      <c r="D642" s="125"/>
      <c r="E642" s="125"/>
      <c r="F642" s="126"/>
      <c r="G642" s="125"/>
      <c r="H642" s="125"/>
      <c r="I642" s="125"/>
      <c r="J642" s="125"/>
      <c r="K642" s="125"/>
      <c r="L642" s="125"/>
      <c r="M642" s="125"/>
      <c r="N642" s="129"/>
      <c r="O642" s="125"/>
      <c r="P642" s="173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spans="1:26" ht="15.75" customHeight="1">
      <c r="A643" s="125"/>
      <c r="B643" s="125"/>
      <c r="C643" s="125"/>
      <c r="D643" s="125"/>
      <c r="E643" s="125"/>
      <c r="F643" s="126"/>
      <c r="G643" s="125"/>
      <c r="H643" s="125"/>
      <c r="I643" s="125"/>
      <c r="J643" s="125"/>
      <c r="K643" s="125"/>
      <c r="L643" s="125"/>
      <c r="M643" s="125"/>
      <c r="N643" s="129"/>
      <c r="O643" s="125"/>
      <c r="P643" s="173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spans="1:26" ht="15.75" customHeight="1">
      <c r="A644" s="125"/>
      <c r="B644" s="125"/>
      <c r="C644" s="125"/>
      <c r="D644" s="125"/>
      <c r="E644" s="125"/>
      <c r="F644" s="126"/>
      <c r="G644" s="125"/>
      <c r="H644" s="125"/>
      <c r="I644" s="125"/>
      <c r="J644" s="125"/>
      <c r="K644" s="125"/>
      <c r="L644" s="125"/>
      <c r="M644" s="125"/>
      <c r="N644" s="129"/>
      <c r="O644" s="125"/>
      <c r="P644" s="173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spans="1:26" ht="15.75" customHeight="1">
      <c r="A645" s="125"/>
      <c r="B645" s="125"/>
      <c r="C645" s="125"/>
      <c r="D645" s="125"/>
      <c r="E645" s="125"/>
      <c r="F645" s="126"/>
      <c r="G645" s="125"/>
      <c r="H645" s="125"/>
      <c r="I645" s="125"/>
      <c r="J645" s="125"/>
      <c r="K645" s="125"/>
      <c r="L645" s="125"/>
      <c r="M645" s="125"/>
      <c r="N645" s="129"/>
      <c r="O645" s="125"/>
      <c r="P645" s="173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6" ht="15.75" customHeight="1">
      <c r="A646" s="125"/>
      <c r="B646" s="125"/>
      <c r="C646" s="125"/>
      <c r="D646" s="125"/>
      <c r="E646" s="125"/>
      <c r="F646" s="126"/>
      <c r="G646" s="125"/>
      <c r="H646" s="125"/>
      <c r="I646" s="125"/>
      <c r="J646" s="125"/>
      <c r="K646" s="125"/>
      <c r="L646" s="125"/>
      <c r="M646" s="125"/>
      <c r="N646" s="129"/>
      <c r="O646" s="125"/>
      <c r="P646" s="173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spans="1:26" ht="15.75" customHeight="1">
      <c r="A647" s="125"/>
      <c r="B647" s="125"/>
      <c r="C647" s="125"/>
      <c r="D647" s="125"/>
      <c r="E647" s="125"/>
      <c r="F647" s="126"/>
      <c r="G647" s="125"/>
      <c r="H647" s="125"/>
      <c r="I647" s="125"/>
      <c r="J647" s="125"/>
      <c r="K647" s="125"/>
      <c r="L647" s="125"/>
      <c r="M647" s="125"/>
      <c r="N647" s="129"/>
      <c r="O647" s="125"/>
      <c r="P647" s="173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spans="1:26" ht="15.75" customHeight="1">
      <c r="A648" s="125"/>
      <c r="B648" s="125"/>
      <c r="C648" s="125"/>
      <c r="D648" s="125"/>
      <c r="E648" s="125"/>
      <c r="F648" s="126"/>
      <c r="G648" s="125"/>
      <c r="H648" s="125"/>
      <c r="I648" s="125"/>
      <c r="J648" s="125"/>
      <c r="K648" s="125"/>
      <c r="L648" s="125"/>
      <c r="M648" s="125"/>
      <c r="N648" s="129"/>
      <c r="O648" s="125"/>
      <c r="P648" s="173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spans="1:26" ht="15.75" customHeight="1">
      <c r="A649" s="125"/>
      <c r="B649" s="125"/>
      <c r="C649" s="125"/>
      <c r="D649" s="125"/>
      <c r="E649" s="125"/>
      <c r="F649" s="126"/>
      <c r="G649" s="125"/>
      <c r="H649" s="125"/>
      <c r="I649" s="125"/>
      <c r="J649" s="125"/>
      <c r="K649" s="125"/>
      <c r="L649" s="125"/>
      <c r="M649" s="125"/>
      <c r="N649" s="129"/>
      <c r="O649" s="125"/>
      <c r="P649" s="173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spans="1:26" ht="15.75" customHeight="1">
      <c r="A650" s="125"/>
      <c r="B650" s="125"/>
      <c r="C650" s="125"/>
      <c r="D650" s="125"/>
      <c r="E650" s="125"/>
      <c r="F650" s="126"/>
      <c r="G650" s="125"/>
      <c r="H650" s="125"/>
      <c r="I650" s="125"/>
      <c r="J650" s="125"/>
      <c r="K650" s="125"/>
      <c r="L650" s="125"/>
      <c r="M650" s="125"/>
      <c r="N650" s="129"/>
      <c r="O650" s="125"/>
      <c r="P650" s="173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spans="1:26" ht="15.75" customHeight="1">
      <c r="A651" s="125"/>
      <c r="B651" s="125"/>
      <c r="C651" s="125"/>
      <c r="D651" s="125"/>
      <c r="E651" s="125"/>
      <c r="F651" s="126"/>
      <c r="G651" s="125"/>
      <c r="H651" s="125"/>
      <c r="I651" s="125"/>
      <c r="J651" s="125"/>
      <c r="K651" s="125"/>
      <c r="L651" s="125"/>
      <c r="M651" s="125"/>
      <c r="N651" s="129"/>
      <c r="O651" s="125"/>
      <c r="P651" s="173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spans="1:26" ht="15.75" customHeight="1">
      <c r="A652" s="125"/>
      <c r="B652" s="125"/>
      <c r="C652" s="125"/>
      <c r="D652" s="125"/>
      <c r="E652" s="125"/>
      <c r="F652" s="126"/>
      <c r="G652" s="125"/>
      <c r="H652" s="125"/>
      <c r="I652" s="125"/>
      <c r="J652" s="125"/>
      <c r="K652" s="125"/>
      <c r="L652" s="125"/>
      <c r="M652" s="125"/>
      <c r="N652" s="129"/>
      <c r="O652" s="125"/>
      <c r="P652" s="173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spans="1:26" ht="15.75" customHeight="1">
      <c r="A653" s="125"/>
      <c r="B653" s="125"/>
      <c r="C653" s="125"/>
      <c r="D653" s="125"/>
      <c r="E653" s="125"/>
      <c r="F653" s="126"/>
      <c r="G653" s="125"/>
      <c r="H653" s="125"/>
      <c r="I653" s="125"/>
      <c r="J653" s="125"/>
      <c r="K653" s="125"/>
      <c r="L653" s="125"/>
      <c r="M653" s="125"/>
      <c r="N653" s="129"/>
      <c r="O653" s="125"/>
      <c r="P653" s="173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spans="1:26" ht="15.75" customHeight="1">
      <c r="A654" s="125"/>
      <c r="B654" s="125"/>
      <c r="C654" s="125"/>
      <c r="D654" s="125"/>
      <c r="E654" s="125"/>
      <c r="F654" s="126"/>
      <c r="G654" s="125"/>
      <c r="H654" s="125"/>
      <c r="I654" s="125"/>
      <c r="J654" s="125"/>
      <c r="K654" s="125"/>
      <c r="L654" s="125"/>
      <c r="M654" s="125"/>
      <c r="N654" s="129"/>
      <c r="O654" s="125"/>
      <c r="P654" s="173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spans="1:26" ht="15.75" customHeight="1">
      <c r="A655" s="125"/>
      <c r="B655" s="125"/>
      <c r="C655" s="125"/>
      <c r="D655" s="125"/>
      <c r="E655" s="125"/>
      <c r="F655" s="126"/>
      <c r="G655" s="125"/>
      <c r="H655" s="125"/>
      <c r="I655" s="125"/>
      <c r="J655" s="125"/>
      <c r="K655" s="125"/>
      <c r="L655" s="125"/>
      <c r="M655" s="125"/>
      <c r="N655" s="129"/>
      <c r="O655" s="125"/>
      <c r="P655" s="173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spans="1:26" ht="15.75" customHeight="1">
      <c r="A656" s="125"/>
      <c r="B656" s="125"/>
      <c r="C656" s="125"/>
      <c r="D656" s="125"/>
      <c r="E656" s="125"/>
      <c r="F656" s="126"/>
      <c r="G656" s="125"/>
      <c r="H656" s="125"/>
      <c r="I656" s="125"/>
      <c r="J656" s="125"/>
      <c r="K656" s="125"/>
      <c r="L656" s="125"/>
      <c r="M656" s="125"/>
      <c r="N656" s="129"/>
      <c r="O656" s="125"/>
      <c r="P656" s="173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spans="1:26" ht="15.75" customHeight="1">
      <c r="A657" s="125"/>
      <c r="B657" s="125"/>
      <c r="C657" s="125"/>
      <c r="D657" s="125"/>
      <c r="E657" s="125"/>
      <c r="F657" s="126"/>
      <c r="G657" s="125"/>
      <c r="H657" s="125"/>
      <c r="I657" s="125"/>
      <c r="J657" s="125"/>
      <c r="K657" s="125"/>
      <c r="L657" s="125"/>
      <c r="M657" s="125"/>
      <c r="N657" s="129"/>
      <c r="O657" s="125"/>
      <c r="P657" s="173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spans="1:26" ht="15.75" customHeight="1">
      <c r="A658" s="125"/>
      <c r="B658" s="125"/>
      <c r="C658" s="125"/>
      <c r="D658" s="125"/>
      <c r="E658" s="125"/>
      <c r="F658" s="126"/>
      <c r="G658" s="125"/>
      <c r="H658" s="125"/>
      <c r="I658" s="125"/>
      <c r="J658" s="125"/>
      <c r="K658" s="125"/>
      <c r="L658" s="125"/>
      <c r="M658" s="125"/>
      <c r="N658" s="129"/>
      <c r="O658" s="125"/>
      <c r="P658" s="173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spans="1:26" ht="15.75" customHeight="1">
      <c r="A659" s="125"/>
      <c r="B659" s="125"/>
      <c r="C659" s="125"/>
      <c r="D659" s="125"/>
      <c r="E659" s="125"/>
      <c r="F659" s="126"/>
      <c r="G659" s="125"/>
      <c r="H659" s="125"/>
      <c r="I659" s="125"/>
      <c r="J659" s="125"/>
      <c r="K659" s="125"/>
      <c r="L659" s="125"/>
      <c r="M659" s="125"/>
      <c r="N659" s="129"/>
      <c r="O659" s="125"/>
      <c r="P659" s="173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spans="1:26" ht="15.75" customHeight="1">
      <c r="A660" s="125"/>
      <c r="B660" s="125"/>
      <c r="C660" s="125"/>
      <c r="D660" s="125"/>
      <c r="E660" s="125"/>
      <c r="F660" s="126"/>
      <c r="G660" s="125"/>
      <c r="H660" s="125"/>
      <c r="I660" s="125"/>
      <c r="J660" s="125"/>
      <c r="K660" s="125"/>
      <c r="L660" s="125"/>
      <c r="M660" s="125"/>
      <c r="N660" s="129"/>
      <c r="O660" s="125"/>
      <c r="P660" s="173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spans="1:26" ht="15.75" customHeight="1">
      <c r="A661" s="125"/>
      <c r="B661" s="125"/>
      <c r="C661" s="125"/>
      <c r="D661" s="125"/>
      <c r="E661" s="125"/>
      <c r="F661" s="126"/>
      <c r="G661" s="125"/>
      <c r="H661" s="125"/>
      <c r="I661" s="125"/>
      <c r="J661" s="125"/>
      <c r="K661" s="125"/>
      <c r="L661" s="125"/>
      <c r="M661" s="125"/>
      <c r="N661" s="129"/>
      <c r="O661" s="125"/>
      <c r="P661" s="173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spans="1:26" ht="15.75" customHeight="1">
      <c r="A662" s="125"/>
      <c r="B662" s="125"/>
      <c r="C662" s="125"/>
      <c r="D662" s="125"/>
      <c r="E662" s="125"/>
      <c r="F662" s="126"/>
      <c r="G662" s="125"/>
      <c r="H662" s="125"/>
      <c r="I662" s="125"/>
      <c r="J662" s="125"/>
      <c r="K662" s="125"/>
      <c r="L662" s="125"/>
      <c r="M662" s="125"/>
      <c r="N662" s="129"/>
      <c r="O662" s="125"/>
      <c r="P662" s="173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spans="1:26" ht="15.75" customHeight="1">
      <c r="A663" s="125"/>
      <c r="B663" s="125"/>
      <c r="C663" s="125"/>
      <c r="D663" s="125"/>
      <c r="E663" s="125"/>
      <c r="F663" s="126"/>
      <c r="G663" s="125"/>
      <c r="H663" s="125"/>
      <c r="I663" s="125"/>
      <c r="J663" s="125"/>
      <c r="K663" s="125"/>
      <c r="L663" s="125"/>
      <c r="M663" s="125"/>
      <c r="N663" s="129"/>
      <c r="O663" s="125"/>
      <c r="P663" s="173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spans="1:26" ht="15.75" customHeight="1">
      <c r="A664" s="125"/>
      <c r="B664" s="125"/>
      <c r="C664" s="125"/>
      <c r="D664" s="125"/>
      <c r="E664" s="125"/>
      <c r="F664" s="126"/>
      <c r="G664" s="125"/>
      <c r="H664" s="125"/>
      <c r="I664" s="125"/>
      <c r="J664" s="125"/>
      <c r="K664" s="125"/>
      <c r="L664" s="125"/>
      <c r="M664" s="125"/>
      <c r="N664" s="129"/>
      <c r="O664" s="125"/>
      <c r="P664" s="173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spans="1:26" ht="15.75" customHeight="1">
      <c r="A665" s="125"/>
      <c r="B665" s="125"/>
      <c r="C665" s="125"/>
      <c r="D665" s="125"/>
      <c r="E665" s="125"/>
      <c r="F665" s="126"/>
      <c r="G665" s="125"/>
      <c r="H665" s="125"/>
      <c r="I665" s="125"/>
      <c r="J665" s="125"/>
      <c r="K665" s="125"/>
      <c r="L665" s="125"/>
      <c r="M665" s="125"/>
      <c r="N665" s="129"/>
      <c r="O665" s="125"/>
      <c r="P665" s="173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spans="1:26" ht="15.75" customHeight="1">
      <c r="A666" s="125"/>
      <c r="B666" s="125"/>
      <c r="C666" s="125"/>
      <c r="D666" s="125"/>
      <c r="E666" s="125"/>
      <c r="F666" s="126"/>
      <c r="G666" s="125"/>
      <c r="H666" s="125"/>
      <c r="I666" s="125"/>
      <c r="J666" s="125"/>
      <c r="K666" s="125"/>
      <c r="L666" s="125"/>
      <c r="M666" s="125"/>
      <c r="N666" s="129"/>
      <c r="O666" s="125"/>
      <c r="P666" s="173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spans="1:26" ht="15.75" customHeight="1">
      <c r="A667" s="125"/>
      <c r="B667" s="125"/>
      <c r="C667" s="125"/>
      <c r="D667" s="125"/>
      <c r="E667" s="125"/>
      <c r="F667" s="126"/>
      <c r="G667" s="125"/>
      <c r="H667" s="125"/>
      <c r="I667" s="125"/>
      <c r="J667" s="125"/>
      <c r="K667" s="125"/>
      <c r="L667" s="125"/>
      <c r="M667" s="125"/>
      <c r="N667" s="129"/>
      <c r="O667" s="125"/>
      <c r="P667" s="173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spans="1:26" ht="15.75" customHeight="1">
      <c r="A668" s="125"/>
      <c r="B668" s="125"/>
      <c r="C668" s="125"/>
      <c r="D668" s="125"/>
      <c r="E668" s="125"/>
      <c r="F668" s="126"/>
      <c r="G668" s="125"/>
      <c r="H668" s="125"/>
      <c r="I668" s="125"/>
      <c r="J668" s="125"/>
      <c r="K668" s="125"/>
      <c r="L668" s="125"/>
      <c r="M668" s="125"/>
      <c r="N668" s="129"/>
      <c r="O668" s="125"/>
      <c r="P668" s="173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spans="1:26" ht="15.75" customHeight="1">
      <c r="A669" s="125"/>
      <c r="B669" s="125"/>
      <c r="C669" s="125"/>
      <c r="D669" s="125"/>
      <c r="E669" s="125"/>
      <c r="F669" s="126"/>
      <c r="G669" s="125"/>
      <c r="H669" s="125"/>
      <c r="I669" s="125"/>
      <c r="J669" s="125"/>
      <c r="K669" s="125"/>
      <c r="L669" s="125"/>
      <c r="M669" s="125"/>
      <c r="N669" s="129"/>
      <c r="O669" s="125"/>
      <c r="P669" s="173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spans="1:26" ht="15.75" customHeight="1">
      <c r="A670" s="125"/>
      <c r="B670" s="125"/>
      <c r="C670" s="125"/>
      <c r="D670" s="125"/>
      <c r="E670" s="125"/>
      <c r="F670" s="126"/>
      <c r="G670" s="125"/>
      <c r="H670" s="125"/>
      <c r="I670" s="125"/>
      <c r="J670" s="125"/>
      <c r="K670" s="125"/>
      <c r="L670" s="125"/>
      <c r="M670" s="125"/>
      <c r="N670" s="129"/>
      <c r="O670" s="125"/>
      <c r="P670" s="173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spans="1:26" ht="15.75" customHeight="1">
      <c r="A671" s="125"/>
      <c r="B671" s="125"/>
      <c r="C671" s="125"/>
      <c r="D671" s="125"/>
      <c r="E671" s="125"/>
      <c r="F671" s="126"/>
      <c r="G671" s="125"/>
      <c r="H671" s="125"/>
      <c r="I671" s="125"/>
      <c r="J671" s="125"/>
      <c r="K671" s="125"/>
      <c r="L671" s="125"/>
      <c r="M671" s="125"/>
      <c r="N671" s="129"/>
      <c r="O671" s="125"/>
      <c r="P671" s="173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spans="1:26" ht="15.75" customHeight="1">
      <c r="A672" s="125"/>
      <c r="B672" s="125"/>
      <c r="C672" s="125"/>
      <c r="D672" s="125"/>
      <c r="E672" s="125"/>
      <c r="F672" s="126"/>
      <c r="G672" s="125"/>
      <c r="H672" s="125"/>
      <c r="I672" s="125"/>
      <c r="J672" s="125"/>
      <c r="K672" s="125"/>
      <c r="L672" s="125"/>
      <c r="M672" s="125"/>
      <c r="N672" s="129"/>
      <c r="O672" s="125"/>
      <c r="P672" s="173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spans="1:26" ht="15.75" customHeight="1">
      <c r="A673" s="125"/>
      <c r="B673" s="125"/>
      <c r="C673" s="125"/>
      <c r="D673" s="125"/>
      <c r="E673" s="125"/>
      <c r="F673" s="126"/>
      <c r="G673" s="125"/>
      <c r="H673" s="125"/>
      <c r="I673" s="125"/>
      <c r="J673" s="125"/>
      <c r="K673" s="125"/>
      <c r="L673" s="125"/>
      <c r="M673" s="125"/>
      <c r="N673" s="129"/>
      <c r="O673" s="125"/>
      <c r="P673" s="173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spans="1:26" ht="15.75" customHeight="1">
      <c r="A674" s="125"/>
      <c r="B674" s="125"/>
      <c r="C674" s="125"/>
      <c r="D674" s="125"/>
      <c r="E674" s="125"/>
      <c r="F674" s="126"/>
      <c r="G674" s="125"/>
      <c r="H674" s="125"/>
      <c r="I674" s="125"/>
      <c r="J674" s="125"/>
      <c r="K674" s="125"/>
      <c r="L674" s="125"/>
      <c r="M674" s="125"/>
      <c r="N674" s="129"/>
      <c r="O674" s="125"/>
      <c r="P674" s="173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spans="1:26" ht="15.75" customHeight="1">
      <c r="A675" s="125"/>
      <c r="B675" s="125"/>
      <c r="C675" s="125"/>
      <c r="D675" s="125"/>
      <c r="E675" s="125"/>
      <c r="F675" s="126"/>
      <c r="G675" s="125"/>
      <c r="H675" s="125"/>
      <c r="I675" s="125"/>
      <c r="J675" s="125"/>
      <c r="K675" s="125"/>
      <c r="L675" s="125"/>
      <c r="M675" s="125"/>
      <c r="N675" s="129"/>
      <c r="O675" s="125"/>
      <c r="P675" s="173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spans="1:26" ht="15.75" customHeight="1">
      <c r="A676" s="125"/>
      <c r="B676" s="125"/>
      <c r="C676" s="125"/>
      <c r="D676" s="125"/>
      <c r="E676" s="125"/>
      <c r="F676" s="126"/>
      <c r="G676" s="125"/>
      <c r="H676" s="125"/>
      <c r="I676" s="125"/>
      <c r="J676" s="125"/>
      <c r="K676" s="125"/>
      <c r="L676" s="125"/>
      <c r="M676" s="125"/>
      <c r="N676" s="129"/>
      <c r="O676" s="125"/>
      <c r="P676" s="173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spans="1:26" ht="15.75" customHeight="1">
      <c r="A677" s="125"/>
      <c r="B677" s="125"/>
      <c r="C677" s="125"/>
      <c r="D677" s="125"/>
      <c r="E677" s="125"/>
      <c r="F677" s="126"/>
      <c r="G677" s="125"/>
      <c r="H677" s="125"/>
      <c r="I677" s="125"/>
      <c r="J677" s="125"/>
      <c r="K677" s="125"/>
      <c r="L677" s="125"/>
      <c r="M677" s="125"/>
      <c r="N677" s="129"/>
      <c r="O677" s="125"/>
      <c r="P677" s="173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spans="1:26" ht="15.75" customHeight="1">
      <c r="A678" s="125"/>
      <c r="B678" s="125"/>
      <c r="C678" s="125"/>
      <c r="D678" s="125"/>
      <c r="E678" s="125"/>
      <c r="F678" s="126"/>
      <c r="G678" s="125"/>
      <c r="H678" s="125"/>
      <c r="I678" s="125"/>
      <c r="J678" s="125"/>
      <c r="K678" s="125"/>
      <c r="L678" s="125"/>
      <c r="M678" s="125"/>
      <c r="N678" s="129"/>
      <c r="O678" s="125"/>
      <c r="P678" s="173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spans="1:26" ht="15.75" customHeight="1">
      <c r="A679" s="125"/>
      <c r="B679" s="125"/>
      <c r="C679" s="125"/>
      <c r="D679" s="125"/>
      <c r="E679" s="125"/>
      <c r="F679" s="126"/>
      <c r="G679" s="125"/>
      <c r="H679" s="125"/>
      <c r="I679" s="125"/>
      <c r="J679" s="125"/>
      <c r="K679" s="125"/>
      <c r="L679" s="125"/>
      <c r="M679" s="125"/>
      <c r="N679" s="129"/>
      <c r="O679" s="125"/>
      <c r="P679" s="173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spans="1:26" ht="15.75" customHeight="1">
      <c r="A680" s="125"/>
      <c r="B680" s="125"/>
      <c r="C680" s="125"/>
      <c r="D680" s="125"/>
      <c r="E680" s="125"/>
      <c r="F680" s="126"/>
      <c r="G680" s="125"/>
      <c r="H680" s="125"/>
      <c r="I680" s="125"/>
      <c r="J680" s="125"/>
      <c r="K680" s="125"/>
      <c r="L680" s="125"/>
      <c r="M680" s="125"/>
      <c r="N680" s="129"/>
      <c r="O680" s="125"/>
      <c r="P680" s="173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spans="1:26" ht="15.75" customHeight="1">
      <c r="A681" s="125"/>
      <c r="B681" s="125"/>
      <c r="C681" s="125"/>
      <c r="D681" s="125"/>
      <c r="E681" s="125"/>
      <c r="F681" s="126"/>
      <c r="G681" s="125"/>
      <c r="H681" s="125"/>
      <c r="I681" s="125"/>
      <c r="J681" s="125"/>
      <c r="K681" s="125"/>
      <c r="L681" s="125"/>
      <c r="M681" s="125"/>
      <c r="N681" s="129"/>
      <c r="O681" s="125"/>
      <c r="P681" s="173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spans="1:26" ht="15.75" customHeight="1">
      <c r="A682" s="125"/>
      <c r="B682" s="125"/>
      <c r="C682" s="125"/>
      <c r="D682" s="125"/>
      <c r="E682" s="125"/>
      <c r="F682" s="126"/>
      <c r="G682" s="125"/>
      <c r="H682" s="125"/>
      <c r="I682" s="125"/>
      <c r="J682" s="125"/>
      <c r="K682" s="125"/>
      <c r="L682" s="125"/>
      <c r="M682" s="125"/>
      <c r="N682" s="129"/>
      <c r="O682" s="125"/>
      <c r="P682" s="173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spans="1:26" ht="15.75" customHeight="1">
      <c r="A683" s="125"/>
      <c r="B683" s="125"/>
      <c r="C683" s="125"/>
      <c r="D683" s="125"/>
      <c r="E683" s="125"/>
      <c r="F683" s="126"/>
      <c r="G683" s="125"/>
      <c r="H683" s="125"/>
      <c r="I683" s="125"/>
      <c r="J683" s="125"/>
      <c r="K683" s="125"/>
      <c r="L683" s="125"/>
      <c r="M683" s="125"/>
      <c r="N683" s="129"/>
      <c r="O683" s="125"/>
      <c r="P683" s="173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spans="1:26" ht="15.75" customHeight="1">
      <c r="A684" s="125"/>
      <c r="B684" s="125"/>
      <c r="C684" s="125"/>
      <c r="D684" s="125"/>
      <c r="E684" s="125"/>
      <c r="F684" s="126"/>
      <c r="G684" s="125"/>
      <c r="H684" s="125"/>
      <c r="I684" s="125"/>
      <c r="J684" s="125"/>
      <c r="K684" s="125"/>
      <c r="L684" s="125"/>
      <c r="M684" s="125"/>
      <c r="N684" s="129"/>
      <c r="O684" s="125"/>
      <c r="P684" s="173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spans="1:26" ht="15.75" customHeight="1">
      <c r="A685" s="125"/>
      <c r="B685" s="125"/>
      <c r="C685" s="125"/>
      <c r="D685" s="125"/>
      <c r="E685" s="125"/>
      <c r="F685" s="126"/>
      <c r="G685" s="125"/>
      <c r="H685" s="125"/>
      <c r="I685" s="125"/>
      <c r="J685" s="125"/>
      <c r="K685" s="125"/>
      <c r="L685" s="125"/>
      <c r="M685" s="125"/>
      <c r="N685" s="129"/>
      <c r="O685" s="125"/>
      <c r="P685" s="173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spans="1:26" ht="15.75" customHeight="1">
      <c r="A686" s="125"/>
      <c r="B686" s="125"/>
      <c r="C686" s="125"/>
      <c r="D686" s="125"/>
      <c r="E686" s="125"/>
      <c r="F686" s="126"/>
      <c r="G686" s="125"/>
      <c r="H686" s="125"/>
      <c r="I686" s="125"/>
      <c r="J686" s="125"/>
      <c r="K686" s="125"/>
      <c r="L686" s="125"/>
      <c r="M686" s="125"/>
      <c r="N686" s="129"/>
      <c r="O686" s="125"/>
      <c r="P686" s="173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spans="1:26" ht="15.75" customHeight="1">
      <c r="A687" s="125"/>
      <c r="B687" s="125"/>
      <c r="C687" s="125"/>
      <c r="D687" s="125"/>
      <c r="E687" s="125"/>
      <c r="F687" s="126"/>
      <c r="G687" s="125"/>
      <c r="H687" s="125"/>
      <c r="I687" s="125"/>
      <c r="J687" s="125"/>
      <c r="K687" s="125"/>
      <c r="L687" s="125"/>
      <c r="M687" s="125"/>
      <c r="N687" s="129"/>
      <c r="O687" s="125"/>
      <c r="P687" s="173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spans="1:26" ht="15.75" customHeight="1">
      <c r="A688" s="125"/>
      <c r="B688" s="125"/>
      <c r="C688" s="125"/>
      <c r="D688" s="125"/>
      <c r="E688" s="125"/>
      <c r="F688" s="126"/>
      <c r="G688" s="125"/>
      <c r="H688" s="125"/>
      <c r="I688" s="125"/>
      <c r="J688" s="125"/>
      <c r="K688" s="125"/>
      <c r="L688" s="125"/>
      <c r="M688" s="125"/>
      <c r="N688" s="129"/>
      <c r="O688" s="125"/>
      <c r="P688" s="173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spans="1:26" ht="15.75" customHeight="1">
      <c r="A689" s="125"/>
      <c r="B689" s="125"/>
      <c r="C689" s="125"/>
      <c r="D689" s="125"/>
      <c r="E689" s="125"/>
      <c r="F689" s="126"/>
      <c r="G689" s="125"/>
      <c r="H689" s="125"/>
      <c r="I689" s="125"/>
      <c r="J689" s="125"/>
      <c r="K689" s="125"/>
      <c r="L689" s="125"/>
      <c r="M689" s="125"/>
      <c r="N689" s="129"/>
      <c r="O689" s="125"/>
      <c r="P689" s="173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spans="1:26" ht="15.75" customHeight="1">
      <c r="A690" s="125"/>
      <c r="B690" s="125"/>
      <c r="C690" s="125"/>
      <c r="D690" s="125"/>
      <c r="E690" s="125"/>
      <c r="F690" s="126"/>
      <c r="G690" s="125"/>
      <c r="H690" s="125"/>
      <c r="I690" s="125"/>
      <c r="J690" s="125"/>
      <c r="K690" s="125"/>
      <c r="L690" s="125"/>
      <c r="M690" s="125"/>
      <c r="N690" s="129"/>
      <c r="O690" s="125"/>
      <c r="P690" s="173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spans="1:26" ht="15.75" customHeight="1">
      <c r="A691" s="125"/>
      <c r="B691" s="125"/>
      <c r="C691" s="125"/>
      <c r="D691" s="125"/>
      <c r="E691" s="125"/>
      <c r="F691" s="126"/>
      <c r="G691" s="125"/>
      <c r="H691" s="125"/>
      <c r="I691" s="125"/>
      <c r="J691" s="125"/>
      <c r="K691" s="125"/>
      <c r="L691" s="125"/>
      <c r="M691" s="125"/>
      <c r="N691" s="129"/>
      <c r="O691" s="125"/>
      <c r="P691" s="173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spans="1:26" ht="15.75" customHeight="1">
      <c r="A692" s="125"/>
      <c r="B692" s="125"/>
      <c r="C692" s="125"/>
      <c r="D692" s="125"/>
      <c r="E692" s="125"/>
      <c r="F692" s="126"/>
      <c r="G692" s="125"/>
      <c r="H692" s="125"/>
      <c r="I692" s="125"/>
      <c r="J692" s="125"/>
      <c r="K692" s="125"/>
      <c r="L692" s="125"/>
      <c r="M692" s="125"/>
      <c r="N692" s="129"/>
      <c r="O692" s="125"/>
      <c r="P692" s="173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spans="1:26" ht="15.75" customHeight="1">
      <c r="A693" s="125"/>
      <c r="B693" s="125"/>
      <c r="C693" s="125"/>
      <c r="D693" s="125"/>
      <c r="E693" s="125"/>
      <c r="F693" s="126"/>
      <c r="G693" s="125"/>
      <c r="H693" s="125"/>
      <c r="I693" s="125"/>
      <c r="J693" s="125"/>
      <c r="K693" s="125"/>
      <c r="L693" s="125"/>
      <c r="M693" s="125"/>
      <c r="N693" s="129"/>
      <c r="O693" s="125"/>
      <c r="P693" s="173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spans="1:26" ht="15.75" customHeight="1">
      <c r="A694" s="125"/>
      <c r="B694" s="125"/>
      <c r="C694" s="125"/>
      <c r="D694" s="125"/>
      <c r="E694" s="125"/>
      <c r="F694" s="126"/>
      <c r="G694" s="125"/>
      <c r="H694" s="125"/>
      <c r="I694" s="125"/>
      <c r="J694" s="125"/>
      <c r="K694" s="125"/>
      <c r="L694" s="125"/>
      <c r="M694" s="125"/>
      <c r="N694" s="129"/>
      <c r="O694" s="125"/>
      <c r="P694" s="173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spans="1:26" ht="15.75" customHeight="1">
      <c r="A695" s="125"/>
      <c r="B695" s="125"/>
      <c r="C695" s="125"/>
      <c r="D695" s="125"/>
      <c r="E695" s="125"/>
      <c r="F695" s="126"/>
      <c r="G695" s="125"/>
      <c r="H695" s="125"/>
      <c r="I695" s="125"/>
      <c r="J695" s="125"/>
      <c r="K695" s="125"/>
      <c r="L695" s="125"/>
      <c r="M695" s="125"/>
      <c r="N695" s="129"/>
      <c r="O695" s="125"/>
      <c r="P695" s="173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spans="1:26" ht="15.75" customHeight="1">
      <c r="A696" s="125"/>
      <c r="B696" s="125"/>
      <c r="C696" s="125"/>
      <c r="D696" s="125"/>
      <c r="E696" s="125"/>
      <c r="F696" s="126"/>
      <c r="G696" s="125"/>
      <c r="H696" s="125"/>
      <c r="I696" s="125"/>
      <c r="J696" s="125"/>
      <c r="K696" s="125"/>
      <c r="L696" s="125"/>
      <c r="M696" s="125"/>
      <c r="N696" s="129"/>
      <c r="O696" s="125"/>
      <c r="P696" s="173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spans="1:26" ht="15.75" customHeight="1">
      <c r="A697" s="125"/>
      <c r="B697" s="125"/>
      <c r="C697" s="125"/>
      <c r="D697" s="125"/>
      <c r="E697" s="125"/>
      <c r="F697" s="126"/>
      <c r="G697" s="125"/>
      <c r="H697" s="125"/>
      <c r="I697" s="125"/>
      <c r="J697" s="125"/>
      <c r="K697" s="125"/>
      <c r="L697" s="125"/>
      <c r="M697" s="125"/>
      <c r="N697" s="129"/>
      <c r="O697" s="125"/>
      <c r="P697" s="173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spans="1:26" ht="15.75" customHeight="1">
      <c r="A698" s="125"/>
      <c r="B698" s="125"/>
      <c r="C698" s="125"/>
      <c r="D698" s="125"/>
      <c r="E698" s="125"/>
      <c r="F698" s="126"/>
      <c r="G698" s="125"/>
      <c r="H698" s="125"/>
      <c r="I698" s="125"/>
      <c r="J698" s="125"/>
      <c r="K698" s="125"/>
      <c r="L698" s="125"/>
      <c r="M698" s="125"/>
      <c r="N698" s="129"/>
      <c r="O698" s="125"/>
      <c r="P698" s="173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spans="1:26" ht="15.75" customHeight="1">
      <c r="A699" s="125"/>
      <c r="B699" s="125"/>
      <c r="C699" s="125"/>
      <c r="D699" s="125"/>
      <c r="E699" s="125"/>
      <c r="F699" s="126"/>
      <c r="G699" s="125"/>
      <c r="H699" s="125"/>
      <c r="I699" s="125"/>
      <c r="J699" s="125"/>
      <c r="K699" s="125"/>
      <c r="L699" s="125"/>
      <c r="M699" s="125"/>
      <c r="N699" s="129"/>
      <c r="O699" s="125"/>
      <c r="P699" s="173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spans="1:26" ht="15.75" customHeight="1">
      <c r="A700" s="125"/>
      <c r="B700" s="125"/>
      <c r="C700" s="125"/>
      <c r="D700" s="125"/>
      <c r="E700" s="125"/>
      <c r="F700" s="126"/>
      <c r="G700" s="125"/>
      <c r="H700" s="125"/>
      <c r="I700" s="125"/>
      <c r="J700" s="125"/>
      <c r="K700" s="125"/>
      <c r="L700" s="125"/>
      <c r="M700" s="125"/>
      <c r="N700" s="129"/>
      <c r="O700" s="125"/>
      <c r="P700" s="173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spans="1:26" ht="15.75" customHeight="1">
      <c r="A701" s="125"/>
      <c r="B701" s="125"/>
      <c r="C701" s="125"/>
      <c r="D701" s="125"/>
      <c r="E701" s="125"/>
      <c r="F701" s="126"/>
      <c r="G701" s="125"/>
      <c r="H701" s="125"/>
      <c r="I701" s="125"/>
      <c r="J701" s="125"/>
      <c r="K701" s="125"/>
      <c r="L701" s="125"/>
      <c r="M701" s="125"/>
      <c r="N701" s="129"/>
      <c r="O701" s="125"/>
      <c r="P701" s="173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spans="1:26" ht="15.75" customHeight="1">
      <c r="A702" s="125"/>
      <c r="B702" s="125"/>
      <c r="C702" s="125"/>
      <c r="D702" s="125"/>
      <c r="E702" s="125"/>
      <c r="F702" s="126"/>
      <c r="G702" s="125"/>
      <c r="H702" s="125"/>
      <c r="I702" s="125"/>
      <c r="J702" s="125"/>
      <c r="K702" s="125"/>
      <c r="L702" s="125"/>
      <c r="M702" s="125"/>
      <c r="N702" s="129"/>
      <c r="O702" s="125"/>
      <c r="P702" s="173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spans="1:26" ht="15.75" customHeight="1">
      <c r="A703" s="125"/>
      <c r="B703" s="125"/>
      <c r="C703" s="125"/>
      <c r="D703" s="125"/>
      <c r="E703" s="125"/>
      <c r="F703" s="126"/>
      <c r="G703" s="125"/>
      <c r="H703" s="125"/>
      <c r="I703" s="125"/>
      <c r="J703" s="125"/>
      <c r="K703" s="125"/>
      <c r="L703" s="125"/>
      <c r="M703" s="125"/>
      <c r="N703" s="129"/>
      <c r="O703" s="125"/>
      <c r="P703" s="173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spans="1:26" ht="15.75" customHeight="1">
      <c r="A704" s="125"/>
      <c r="B704" s="125"/>
      <c r="C704" s="125"/>
      <c r="D704" s="125"/>
      <c r="E704" s="125"/>
      <c r="F704" s="126"/>
      <c r="G704" s="125"/>
      <c r="H704" s="125"/>
      <c r="I704" s="125"/>
      <c r="J704" s="125"/>
      <c r="K704" s="125"/>
      <c r="L704" s="125"/>
      <c r="M704" s="125"/>
      <c r="N704" s="129"/>
      <c r="O704" s="125"/>
      <c r="P704" s="173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spans="1:26" ht="15.75" customHeight="1">
      <c r="A705" s="125"/>
      <c r="B705" s="125"/>
      <c r="C705" s="125"/>
      <c r="D705" s="125"/>
      <c r="E705" s="125"/>
      <c r="F705" s="126"/>
      <c r="G705" s="125"/>
      <c r="H705" s="125"/>
      <c r="I705" s="125"/>
      <c r="J705" s="125"/>
      <c r="K705" s="125"/>
      <c r="L705" s="125"/>
      <c r="M705" s="125"/>
      <c r="N705" s="129"/>
      <c r="O705" s="125"/>
      <c r="P705" s="173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spans="1:26" ht="15.75" customHeight="1">
      <c r="A706" s="125"/>
      <c r="B706" s="125"/>
      <c r="C706" s="125"/>
      <c r="D706" s="125"/>
      <c r="E706" s="125"/>
      <c r="F706" s="126"/>
      <c r="G706" s="125"/>
      <c r="H706" s="125"/>
      <c r="I706" s="125"/>
      <c r="J706" s="125"/>
      <c r="K706" s="125"/>
      <c r="L706" s="125"/>
      <c r="M706" s="125"/>
      <c r="N706" s="129"/>
      <c r="O706" s="125"/>
      <c r="P706" s="173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spans="1:26" ht="15.75" customHeight="1">
      <c r="A707" s="125"/>
      <c r="B707" s="125"/>
      <c r="C707" s="125"/>
      <c r="D707" s="125"/>
      <c r="E707" s="125"/>
      <c r="F707" s="126"/>
      <c r="G707" s="125"/>
      <c r="H707" s="125"/>
      <c r="I707" s="125"/>
      <c r="J707" s="125"/>
      <c r="K707" s="125"/>
      <c r="L707" s="125"/>
      <c r="M707" s="125"/>
      <c r="N707" s="129"/>
      <c r="O707" s="125"/>
      <c r="P707" s="173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spans="1:26" ht="15.75" customHeight="1">
      <c r="A708" s="125"/>
      <c r="B708" s="125"/>
      <c r="C708" s="125"/>
      <c r="D708" s="125"/>
      <c r="E708" s="125"/>
      <c r="F708" s="126"/>
      <c r="G708" s="125"/>
      <c r="H708" s="125"/>
      <c r="I708" s="125"/>
      <c r="J708" s="125"/>
      <c r="K708" s="125"/>
      <c r="L708" s="125"/>
      <c r="M708" s="125"/>
      <c r="N708" s="129"/>
      <c r="O708" s="125"/>
      <c r="P708" s="173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spans="1:26" ht="15.75" customHeight="1">
      <c r="A709" s="125"/>
      <c r="B709" s="125"/>
      <c r="C709" s="125"/>
      <c r="D709" s="125"/>
      <c r="E709" s="125"/>
      <c r="F709" s="126"/>
      <c r="G709" s="125"/>
      <c r="H709" s="125"/>
      <c r="I709" s="125"/>
      <c r="J709" s="125"/>
      <c r="K709" s="125"/>
      <c r="L709" s="125"/>
      <c r="M709" s="125"/>
      <c r="N709" s="129"/>
      <c r="O709" s="125"/>
      <c r="P709" s="173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spans="1:26" ht="15.75" customHeight="1">
      <c r="A710" s="125"/>
      <c r="B710" s="125"/>
      <c r="C710" s="125"/>
      <c r="D710" s="125"/>
      <c r="E710" s="125"/>
      <c r="F710" s="126"/>
      <c r="G710" s="125"/>
      <c r="H710" s="125"/>
      <c r="I710" s="125"/>
      <c r="J710" s="125"/>
      <c r="K710" s="125"/>
      <c r="L710" s="125"/>
      <c r="M710" s="125"/>
      <c r="N710" s="129"/>
      <c r="O710" s="125"/>
      <c r="P710" s="173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spans="1:26" ht="15.75" customHeight="1">
      <c r="A711" s="125"/>
      <c r="B711" s="125"/>
      <c r="C711" s="125"/>
      <c r="D711" s="125"/>
      <c r="E711" s="125"/>
      <c r="F711" s="126"/>
      <c r="G711" s="125"/>
      <c r="H711" s="125"/>
      <c r="I711" s="125"/>
      <c r="J711" s="125"/>
      <c r="K711" s="125"/>
      <c r="L711" s="125"/>
      <c r="M711" s="125"/>
      <c r="N711" s="129"/>
      <c r="O711" s="125"/>
      <c r="P711" s="173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spans="1:26" ht="15.75" customHeight="1">
      <c r="A712" s="125"/>
      <c r="B712" s="125"/>
      <c r="C712" s="125"/>
      <c r="D712" s="125"/>
      <c r="E712" s="125"/>
      <c r="F712" s="126"/>
      <c r="G712" s="125"/>
      <c r="H712" s="125"/>
      <c r="I712" s="125"/>
      <c r="J712" s="125"/>
      <c r="K712" s="125"/>
      <c r="L712" s="125"/>
      <c r="M712" s="125"/>
      <c r="N712" s="129"/>
      <c r="O712" s="125"/>
      <c r="P712" s="173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spans="1:26" ht="15.75" customHeight="1">
      <c r="A713" s="125"/>
      <c r="B713" s="125"/>
      <c r="C713" s="125"/>
      <c r="D713" s="125"/>
      <c r="E713" s="125"/>
      <c r="F713" s="126"/>
      <c r="G713" s="125"/>
      <c r="H713" s="125"/>
      <c r="I713" s="125"/>
      <c r="J713" s="125"/>
      <c r="K713" s="125"/>
      <c r="L713" s="125"/>
      <c r="M713" s="125"/>
      <c r="N713" s="129"/>
      <c r="O713" s="125"/>
      <c r="P713" s="173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spans="1:26" ht="15.75" customHeight="1">
      <c r="A714" s="125"/>
      <c r="B714" s="125"/>
      <c r="C714" s="125"/>
      <c r="D714" s="125"/>
      <c r="E714" s="125"/>
      <c r="F714" s="126"/>
      <c r="G714" s="125"/>
      <c r="H714" s="125"/>
      <c r="I714" s="125"/>
      <c r="J714" s="125"/>
      <c r="K714" s="125"/>
      <c r="L714" s="125"/>
      <c r="M714" s="125"/>
      <c r="N714" s="129"/>
      <c r="O714" s="125"/>
      <c r="P714" s="173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spans="1:26" ht="15.75" customHeight="1">
      <c r="A715" s="125"/>
      <c r="B715" s="125"/>
      <c r="C715" s="125"/>
      <c r="D715" s="125"/>
      <c r="E715" s="125"/>
      <c r="F715" s="126"/>
      <c r="G715" s="125"/>
      <c r="H715" s="125"/>
      <c r="I715" s="125"/>
      <c r="J715" s="125"/>
      <c r="K715" s="125"/>
      <c r="L715" s="125"/>
      <c r="M715" s="125"/>
      <c r="N715" s="129"/>
      <c r="O715" s="125"/>
      <c r="P715" s="173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spans="1:26" ht="15.75" customHeight="1">
      <c r="A716" s="125"/>
      <c r="B716" s="125"/>
      <c r="C716" s="125"/>
      <c r="D716" s="125"/>
      <c r="E716" s="125"/>
      <c r="F716" s="126"/>
      <c r="G716" s="125"/>
      <c r="H716" s="125"/>
      <c r="I716" s="125"/>
      <c r="J716" s="125"/>
      <c r="K716" s="125"/>
      <c r="L716" s="125"/>
      <c r="M716" s="125"/>
      <c r="N716" s="129"/>
      <c r="O716" s="125"/>
      <c r="P716" s="173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spans="1:26" ht="15.75" customHeight="1">
      <c r="A717" s="125"/>
      <c r="B717" s="125"/>
      <c r="C717" s="125"/>
      <c r="D717" s="125"/>
      <c r="E717" s="125"/>
      <c r="F717" s="126"/>
      <c r="G717" s="125"/>
      <c r="H717" s="125"/>
      <c r="I717" s="125"/>
      <c r="J717" s="125"/>
      <c r="K717" s="125"/>
      <c r="L717" s="125"/>
      <c r="M717" s="125"/>
      <c r="N717" s="129"/>
      <c r="O717" s="125"/>
      <c r="P717" s="173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spans="1:26" ht="15.75" customHeight="1">
      <c r="A718" s="125"/>
      <c r="B718" s="125"/>
      <c r="C718" s="125"/>
      <c r="D718" s="125"/>
      <c r="E718" s="125"/>
      <c r="F718" s="126"/>
      <c r="G718" s="125"/>
      <c r="H718" s="125"/>
      <c r="I718" s="125"/>
      <c r="J718" s="125"/>
      <c r="K718" s="125"/>
      <c r="L718" s="125"/>
      <c r="M718" s="125"/>
      <c r="N718" s="129"/>
      <c r="O718" s="125"/>
      <c r="P718" s="173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spans="1:26" ht="15.75" customHeight="1">
      <c r="A719" s="125"/>
      <c r="B719" s="125"/>
      <c r="C719" s="125"/>
      <c r="D719" s="125"/>
      <c r="E719" s="125"/>
      <c r="F719" s="126"/>
      <c r="G719" s="125"/>
      <c r="H719" s="125"/>
      <c r="I719" s="125"/>
      <c r="J719" s="125"/>
      <c r="K719" s="125"/>
      <c r="L719" s="125"/>
      <c r="M719" s="125"/>
      <c r="N719" s="129"/>
      <c r="O719" s="125"/>
      <c r="P719" s="173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spans="1:26" ht="15.75" customHeight="1">
      <c r="A720" s="125"/>
      <c r="B720" s="125"/>
      <c r="C720" s="125"/>
      <c r="D720" s="125"/>
      <c r="E720" s="125"/>
      <c r="F720" s="126"/>
      <c r="G720" s="125"/>
      <c r="H720" s="125"/>
      <c r="I720" s="125"/>
      <c r="J720" s="125"/>
      <c r="K720" s="125"/>
      <c r="L720" s="125"/>
      <c r="M720" s="125"/>
      <c r="N720" s="129"/>
      <c r="O720" s="125"/>
      <c r="P720" s="173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spans="1:26" ht="15.75" customHeight="1">
      <c r="A721" s="125"/>
      <c r="B721" s="125"/>
      <c r="C721" s="125"/>
      <c r="D721" s="125"/>
      <c r="E721" s="125"/>
      <c r="F721" s="126"/>
      <c r="G721" s="125"/>
      <c r="H721" s="125"/>
      <c r="I721" s="125"/>
      <c r="J721" s="125"/>
      <c r="K721" s="125"/>
      <c r="L721" s="125"/>
      <c r="M721" s="125"/>
      <c r="N721" s="129"/>
      <c r="O721" s="125"/>
      <c r="P721" s="173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spans="1:26" ht="15.75" customHeight="1">
      <c r="A722" s="125"/>
      <c r="B722" s="125"/>
      <c r="C722" s="125"/>
      <c r="D722" s="125"/>
      <c r="E722" s="125"/>
      <c r="F722" s="126"/>
      <c r="G722" s="125"/>
      <c r="H722" s="125"/>
      <c r="I722" s="125"/>
      <c r="J722" s="125"/>
      <c r="K722" s="125"/>
      <c r="L722" s="125"/>
      <c r="M722" s="125"/>
      <c r="N722" s="129"/>
      <c r="O722" s="125"/>
      <c r="P722" s="173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spans="1:26" ht="15.75" customHeight="1">
      <c r="A723" s="125"/>
      <c r="B723" s="125"/>
      <c r="C723" s="125"/>
      <c r="D723" s="125"/>
      <c r="E723" s="125"/>
      <c r="F723" s="126"/>
      <c r="G723" s="125"/>
      <c r="H723" s="125"/>
      <c r="I723" s="125"/>
      <c r="J723" s="125"/>
      <c r="K723" s="125"/>
      <c r="L723" s="125"/>
      <c r="M723" s="125"/>
      <c r="N723" s="129"/>
      <c r="O723" s="125"/>
      <c r="P723" s="173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spans="1:26" ht="15.75" customHeight="1">
      <c r="A724" s="125"/>
      <c r="B724" s="125"/>
      <c r="C724" s="125"/>
      <c r="D724" s="125"/>
      <c r="E724" s="125"/>
      <c r="F724" s="126"/>
      <c r="G724" s="125"/>
      <c r="H724" s="125"/>
      <c r="I724" s="125"/>
      <c r="J724" s="125"/>
      <c r="K724" s="125"/>
      <c r="L724" s="125"/>
      <c r="M724" s="125"/>
      <c r="N724" s="129"/>
      <c r="O724" s="125"/>
      <c r="P724" s="173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spans="1:26" ht="15.75" customHeight="1">
      <c r="A725" s="125"/>
      <c r="B725" s="125"/>
      <c r="C725" s="125"/>
      <c r="D725" s="125"/>
      <c r="E725" s="125"/>
      <c r="F725" s="126"/>
      <c r="G725" s="125"/>
      <c r="H725" s="125"/>
      <c r="I725" s="125"/>
      <c r="J725" s="125"/>
      <c r="K725" s="125"/>
      <c r="L725" s="125"/>
      <c r="M725" s="125"/>
      <c r="N725" s="129"/>
      <c r="O725" s="125"/>
      <c r="P725" s="173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spans="1:26" ht="15.75" customHeight="1">
      <c r="A726" s="125"/>
      <c r="B726" s="125"/>
      <c r="C726" s="125"/>
      <c r="D726" s="125"/>
      <c r="E726" s="125"/>
      <c r="F726" s="126"/>
      <c r="G726" s="125"/>
      <c r="H726" s="125"/>
      <c r="I726" s="125"/>
      <c r="J726" s="125"/>
      <c r="K726" s="125"/>
      <c r="L726" s="125"/>
      <c r="M726" s="125"/>
      <c r="N726" s="129"/>
      <c r="O726" s="125"/>
      <c r="P726" s="173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spans="1:26" ht="15.75" customHeight="1">
      <c r="A727" s="125"/>
      <c r="B727" s="125"/>
      <c r="C727" s="125"/>
      <c r="D727" s="125"/>
      <c r="E727" s="125"/>
      <c r="F727" s="126"/>
      <c r="G727" s="125"/>
      <c r="H727" s="125"/>
      <c r="I727" s="125"/>
      <c r="J727" s="125"/>
      <c r="K727" s="125"/>
      <c r="L727" s="125"/>
      <c r="M727" s="125"/>
      <c r="N727" s="129"/>
      <c r="O727" s="125"/>
      <c r="P727" s="173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spans="1:26" ht="15.75" customHeight="1">
      <c r="A728" s="125"/>
      <c r="B728" s="125"/>
      <c r="C728" s="125"/>
      <c r="D728" s="125"/>
      <c r="E728" s="125"/>
      <c r="F728" s="126"/>
      <c r="G728" s="125"/>
      <c r="H728" s="125"/>
      <c r="I728" s="125"/>
      <c r="J728" s="125"/>
      <c r="K728" s="125"/>
      <c r="L728" s="125"/>
      <c r="M728" s="125"/>
      <c r="N728" s="129"/>
      <c r="O728" s="125"/>
      <c r="P728" s="173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spans="1:26" ht="15.75" customHeight="1">
      <c r="A729" s="125"/>
      <c r="B729" s="125"/>
      <c r="C729" s="125"/>
      <c r="D729" s="125"/>
      <c r="E729" s="125"/>
      <c r="F729" s="126"/>
      <c r="G729" s="125"/>
      <c r="H729" s="125"/>
      <c r="I729" s="125"/>
      <c r="J729" s="125"/>
      <c r="K729" s="125"/>
      <c r="L729" s="125"/>
      <c r="M729" s="125"/>
      <c r="N729" s="129"/>
      <c r="O729" s="125"/>
      <c r="P729" s="173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spans="1:26" ht="15.75" customHeight="1">
      <c r="A730" s="125"/>
      <c r="B730" s="125"/>
      <c r="C730" s="125"/>
      <c r="D730" s="125"/>
      <c r="E730" s="125"/>
      <c r="F730" s="126"/>
      <c r="G730" s="125"/>
      <c r="H730" s="125"/>
      <c r="I730" s="125"/>
      <c r="J730" s="125"/>
      <c r="K730" s="125"/>
      <c r="L730" s="125"/>
      <c r="M730" s="125"/>
      <c r="N730" s="129"/>
      <c r="O730" s="125"/>
      <c r="P730" s="173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spans="1:26" ht="15.75" customHeight="1">
      <c r="A731" s="125"/>
      <c r="B731" s="125"/>
      <c r="C731" s="125"/>
      <c r="D731" s="125"/>
      <c r="E731" s="125"/>
      <c r="F731" s="126"/>
      <c r="G731" s="125"/>
      <c r="H731" s="125"/>
      <c r="I731" s="125"/>
      <c r="J731" s="125"/>
      <c r="K731" s="125"/>
      <c r="L731" s="125"/>
      <c r="M731" s="125"/>
      <c r="N731" s="129"/>
      <c r="O731" s="125"/>
      <c r="P731" s="173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spans="1:26" ht="15.75" customHeight="1">
      <c r="A732" s="125"/>
      <c r="B732" s="125"/>
      <c r="C732" s="125"/>
      <c r="D732" s="125"/>
      <c r="E732" s="125"/>
      <c r="F732" s="126"/>
      <c r="G732" s="125"/>
      <c r="H732" s="125"/>
      <c r="I732" s="125"/>
      <c r="J732" s="125"/>
      <c r="K732" s="125"/>
      <c r="L732" s="125"/>
      <c r="M732" s="125"/>
      <c r="N732" s="129"/>
      <c r="O732" s="125"/>
      <c r="P732" s="173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spans="1:26" ht="15.75" customHeight="1">
      <c r="A733" s="125"/>
      <c r="B733" s="125"/>
      <c r="C733" s="125"/>
      <c r="D733" s="125"/>
      <c r="E733" s="125"/>
      <c r="F733" s="126"/>
      <c r="G733" s="125"/>
      <c r="H733" s="125"/>
      <c r="I733" s="125"/>
      <c r="J733" s="125"/>
      <c r="K733" s="125"/>
      <c r="L733" s="125"/>
      <c r="M733" s="125"/>
      <c r="N733" s="129"/>
      <c r="O733" s="125"/>
      <c r="P733" s="173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spans="1:26" ht="15.75" customHeight="1">
      <c r="A734" s="125"/>
      <c r="B734" s="125"/>
      <c r="C734" s="125"/>
      <c r="D734" s="125"/>
      <c r="E734" s="125"/>
      <c r="F734" s="126"/>
      <c r="G734" s="125"/>
      <c r="H734" s="125"/>
      <c r="I734" s="125"/>
      <c r="J734" s="125"/>
      <c r="K734" s="125"/>
      <c r="L734" s="125"/>
      <c r="M734" s="125"/>
      <c r="N734" s="129"/>
      <c r="O734" s="125"/>
      <c r="P734" s="173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spans="1:26" ht="15.75" customHeight="1">
      <c r="A735" s="125"/>
      <c r="B735" s="125"/>
      <c r="C735" s="125"/>
      <c r="D735" s="125"/>
      <c r="E735" s="125"/>
      <c r="F735" s="126"/>
      <c r="G735" s="125"/>
      <c r="H735" s="125"/>
      <c r="I735" s="125"/>
      <c r="J735" s="125"/>
      <c r="K735" s="125"/>
      <c r="L735" s="125"/>
      <c r="M735" s="125"/>
      <c r="N735" s="129"/>
      <c r="O735" s="125"/>
      <c r="P735" s="173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spans="1:26" ht="15.75" customHeight="1">
      <c r="A736" s="125"/>
      <c r="B736" s="125"/>
      <c r="C736" s="125"/>
      <c r="D736" s="125"/>
      <c r="E736" s="125"/>
      <c r="F736" s="126"/>
      <c r="G736" s="125"/>
      <c r="H736" s="125"/>
      <c r="I736" s="125"/>
      <c r="J736" s="125"/>
      <c r="K736" s="125"/>
      <c r="L736" s="125"/>
      <c r="M736" s="125"/>
      <c r="N736" s="129"/>
      <c r="O736" s="125"/>
      <c r="P736" s="173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spans="1:26" ht="15.75" customHeight="1">
      <c r="A737" s="125"/>
      <c r="B737" s="125"/>
      <c r="C737" s="125"/>
      <c r="D737" s="125"/>
      <c r="E737" s="125"/>
      <c r="F737" s="126"/>
      <c r="G737" s="125"/>
      <c r="H737" s="125"/>
      <c r="I737" s="125"/>
      <c r="J737" s="125"/>
      <c r="K737" s="125"/>
      <c r="L737" s="125"/>
      <c r="M737" s="125"/>
      <c r="N737" s="129"/>
      <c r="O737" s="125"/>
      <c r="P737" s="173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spans="1:26" ht="15.75" customHeight="1">
      <c r="A738" s="125"/>
      <c r="B738" s="125"/>
      <c r="C738" s="125"/>
      <c r="D738" s="125"/>
      <c r="E738" s="125"/>
      <c r="F738" s="126"/>
      <c r="G738" s="125"/>
      <c r="H738" s="125"/>
      <c r="I738" s="125"/>
      <c r="J738" s="125"/>
      <c r="K738" s="125"/>
      <c r="L738" s="125"/>
      <c r="M738" s="125"/>
      <c r="N738" s="129"/>
      <c r="O738" s="125"/>
      <c r="P738" s="173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spans="1:26" ht="15.75" customHeight="1">
      <c r="A739" s="125"/>
      <c r="B739" s="125"/>
      <c r="C739" s="125"/>
      <c r="D739" s="125"/>
      <c r="E739" s="125"/>
      <c r="F739" s="126"/>
      <c r="G739" s="125"/>
      <c r="H739" s="125"/>
      <c r="I739" s="125"/>
      <c r="J739" s="125"/>
      <c r="K739" s="125"/>
      <c r="L739" s="125"/>
      <c r="M739" s="125"/>
      <c r="N739" s="129"/>
      <c r="O739" s="125"/>
      <c r="P739" s="173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spans="1:26" ht="15.75" customHeight="1">
      <c r="A740" s="125"/>
      <c r="B740" s="125"/>
      <c r="C740" s="125"/>
      <c r="D740" s="125"/>
      <c r="E740" s="125"/>
      <c r="F740" s="126"/>
      <c r="G740" s="125"/>
      <c r="H740" s="125"/>
      <c r="I740" s="125"/>
      <c r="J740" s="125"/>
      <c r="K740" s="125"/>
      <c r="L740" s="125"/>
      <c r="M740" s="125"/>
      <c r="N740" s="129"/>
      <c r="O740" s="125"/>
      <c r="P740" s="173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spans="1:26" ht="15.75" customHeight="1">
      <c r="A741" s="125"/>
      <c r="B741" s="125"/>
      <c r="C741" s="125"/>
      <c r="D741" s="125"/>
      <c r="E741" s="125"/>
      <c r="F741" s="126"/>
      <c r="G741" s="125"/>
      <c r="H741" s="125"/>
      <c r="I741" s="125"/>
      <c r="J741" s="125"/>
      <c r="K741" s="125"/>
      <c r="L741" s="125"/>
      <c r="M741" s="125"/>
      <c r="N741" s="129"/>
      <c r="O741" s="125"/>
      <c r="P741" s="173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spans="1:26" ht="15.75" customHeight="1">
      <c r="A742" s="125"/>
      <c r="B742" s="125"/>
      <c r="C742" s="125"/>
      <c r="D742" s="125"/>
      <c r="E742" s="125"/>
      <c r="F742" s="126"/>
      <c r="G742" s="125"/>
      <c r="H742" s="125"/>
      <c r="I742" s="125"/>
      <c r="J742" s="125"/>
      <c r="K742" s="125"/>
      <c r="L742" s="125"/>
      <c r="M742" s="125"/>
      <c r="N742" s="129"/>
      <c r="O742" s="125"/>
      <c r="P742" s="173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spans="1:26" ht="15.75" customHeight="1">
      <c r="A743" s="125"/>
      <c r="B743" s="125"/>
      <c r="C743" s="125"/>
      <c r="D743" s="125"/>
      <c r="E743" s="125"/>
      <c r="F743" s="126"/>
      <c r="G743" s="125"/>
      <c r="H743" s="125"/>
      <c r="I743" s="125"/>
      <c r="J743" s="125"/>
      <c r="K743" s="125"/>
      <c r="L743" s="125"/>
      <c r="M743" s="125"/>
      <c r="N743" s="129"/>
      <c r="O743" s="125"/>
      <c r="P743" s="173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spans="1:26" ht="15.75" customHeight="1">
      <c r="A744" s="125"/>
      <c r="B744" s="125"/>
      <c r="C744" s="125"/>
      <c r="D744" s="125"/>
      <c r="E744" s="125"/>
      <c r="F744" s="126"/>
      <c r="G744" s="125"/>
      <c r="H744" s="125"/>
      <c r="I744" s="125"/>
      <c r="J744" s="125"/>
      <c r="K744" s="125"/>
      <c r="L744" s="125"/>
      <c r="M744" s="125"/>
      <c r="N744" s="129"/>
      <c r="O744" s="125"/>
      <c r="P744" s="173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spans="1:26" ht="15.75" customHeight="1">
      <c r="A745" s="125"/>
      <c r="B745" s="125"/>
      <c r="C745" s="125"/>
      <c r="D745" s="125"/>
      <c r="E745" s="125"/>
      <c r="F745" s="126"/>
      <c r="G745" s="125"/>
      <c r="H745" s="125"/>
      <c r="I745" s="125"/>
      <c r="J745" s="125"/>
      <c r="K745" s="125"/>
      <c r="L745" s="125"/>
      <c r="M745" s="125"/>
      <c r="N745" s="129"/>
      <c r="O745" s="125"/>
      <c r="P745" s="173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spans="1:26" ht="15.75" customHeight="1">
      <c r="A746" s="125"/>
      <c r="B746" s="125"/>
      <c r="C746" s="125"/>
      <c r="D746" s="125"/>
      <c r="E746" s="125"/>
      <c r="F746" s="126"/>
      <c r="G746" s="125"/>
      <c r="H746" s="125"/>
      <c r="I746" s="125"/>
      <c r="J746" s="125"/>
      <c r="K746" s="125"/>
      <c r="L746" s="125"/>
      <c r="M746" s="125"/>
      <c r="N746" s="129"/>
      <c r="O746" s="125"/>
      <c r="P746" s="173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spans="1:26" ht="15.75" customHeight="1">
      <c r="A747" s="125"/>
      <c r="B747" s="125"/>
      <c r="C747" s="125"/>
      <c r="D747" s="125"/>
      <c r="E747" s="125"/>
      <c r="F747" s="126"/>
      <c r="G747" s="125"/>
      <c r="H747" s="125"/>
      <c r="I747" s="125"/>
      <c r="J747" s="125"/>
      <c r="K747" s="125"/>
      <c r="L747" s="125"/>
      <c r="M747" s="125"/>
      <c r="N747" s="129"/>
      <c r="O747" s="125"/>
      <c r="P747" s="173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spans="1:26" ht="15.75" customHeight="1">
      <c r="A748" s="125"/>
      <c r="B748" s="125"/>
      <c r="C748" s="125"/>
      <c r="D748" s="125"/>
      <c r="E748" s="125"/>
      <c r="F748" s="126"/>
      <c r="G748" s="125"/>
      <c r="H748" s="125"/>
      <c r="I748" s="125"/>
      <c r="J748" s="125"/>
      <c r="K748" s="125"/>
      <c r="L748" s="125"/>
      <c r="M748" s="125"/>
      <c r="N748" s="129"/>
      <c r="O748" s="125"/>
      <c r="P748" s="173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spans="1:26" ht="15.75" customHeight="1">
      <c r="A749" s="125"/>
      <c r="B749" s="125"/>
      <c r="C749" s="125"/>
      <c r="D749" s="125"/>
      <c r="E749" s="125"/>
      <c r="F749" s="126"/>
      <c r="G749" s="125"/>
      <c r="H749" s="125"/>
      <c r="I749" s="125"/>
      <c r="J749" s="125"/>
      <c r="K749" s="125"/>
      <c r="L749" s="125"/>
      <c r="M749" s="125"/>
      <c r="N749" s="129"/>
      <c r="O749" s="125"/>
      <c r="P749" s="173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spans="1:26" ht="15.75" customHeight="1">
      <c r="A750" s="125"/>
      <c r="B750" s="125"/>
      <c r="C750" s="125"/>
      <c r="D750" s="125"/>
      <c r="E750" s="125"/>
      <c r="F750" s="126"/>
      <c r="G750" s="125"/>
      <c r="H750" s="125"/>
      <c r="I750" s="125"/>
      <c r="J750" s="125"/>
      <c r="K750" s="125"/>
      <c r="L750" s="125"/>
      <c r="M750" s="125"/>
      <c r="N750" s="129"/>
      <c r="O750" s="125"/>
      <c r="P750" s="173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spans="1:26" ht="15.75" customHeight="1">
      <c r="A751" s="125"/>
      <c r="B751" s="125"/>
      <c r="C751" s="125"/>
      <c r="D751" s="125"/>
      <c r="E751" s="125"/>
      <c r="F751" s="126"/>
      <c r="G751" s="125"/>
      <c r="H751" s="125"/>
      <c r="I751" s="125"/>
      <c r="J751" s="125"/>
      <c r="K751" s="125"/>
      <c r="L751" s="125"/>
      <c r="M751" s="125"/>
      <c r="N751" s="129"/>
      <c r="O751" s="125"/>
      <c r="P751" s="173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spans="1:26" ht="15.75" customHeight="1">
      <c r="A752" s="125"/>
      <c r="B752" s="125"/>
      <c r="C752" s="125"/>
      <c r="D752" s="125"/>
      <c r="E752" s="125"/>
      <c r="F752" s="126"/>
      <c r="G752" s="125"/>
      <c r="H752" s="125"/>
      <c r="I752" s="125"/>
      <c r="J752" s="125"/>
      <c r="K752" s="125"/>
      <c r="L752" s="125"/>
      <c r="M752" s="125"/>
      <c r="N752" s="129"/>
      <c r="O752" s="125"/>
      <c r="P752" s="173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spans="1:26" ht="15.75" customHeight="1">
      <c r="A753" s="125"/>
      <c r="B753" s="125"/>
      <c r="C753" s="125"/>
      <c r="D753" s="125"/>
      <c r="E753" s="125"/>
      <c r="F753" s="126"/>
      <c r="G753" s="125"/>
      <c r="H753" s="125"/>
      <c r="I753" s="125"/>
      <c r="J753" s="125"/>
      <c r="K753" s="125"/>
      <c r="L753" s="125"/>
      <c r="M753" s="125"/>
      <c r="N753" s="129"/>
      <c r="O753" s="125"/>
      <c r="P753" s="173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spans="1:26" ht="15.75" customHeight="1">
      <c r="A754" s="125"/>
      <c r="B754" s="125"/>
      <c r="C754" s="125"/>
      <c r="D754" s="125"/>
      <c r="E754" s="125"/>
      <c r="F754" s="126"/>
      <c r="G754" s="125"/>
      <c r="H754" s="125"/>
      <c r="I754" s="125"/>
      <c r="J754" s="125"/>
      <c r="K754" s="125"/>
      <c r="L754" s="125"/>
      <c r="M754" s="125"/>
      <c r="N754" s="129"/>
      <c r="O754" s="125"/>
      <c r="P754" s="173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spans="1:26" ht="15.75" customHeight="1">
      <c r="A755" s="125"/>
      <c r="B755" s="125"/>
      <c r="C755" s="125"/>
      <c r="D755" s="125"/>
      <c r="E755" s="125"/>
      <c r="F755" s="126"/>
      <c r="G755" s="125"/>
      <c r="H755" s="125"/>
      <c r="I755" s="125"/>
      <c r="J755" s="125"/>
      <c r="K755" s="125"/>
      <c r="L755" s="125"/>
      <c r="M755" s="125"/>
      <c r="N755" s="129"/>
      <c r="O755" s="125"/>
      <c r="P755" s="173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spans="1:26" ht="15.75" customHeight="1">
      <c r="A756" s="125"/>
      <c r="B756" s="125"/>
      <c r="C756" s="125"/>
      <c r="D756" s="125"/>
      <c r="E756" s="125"/>
      <c r="F756" s="126"/>
      <c r="G756" s="125"/>
      <c r="H756" s="125"/>
      <c r="I756" s="125"/>
      <c r="J756" s="125"/>
      <c r="K756" s="125"/>
      <c r="L756" s="125"/>
      <c r="M756" s="125"/>
      <c r="N756" s="129"/>
      <c r="O756" s="125"/>
      <c r="P756" s="173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spans="1:26" ht="15.75" customHeight="1">
      <c r="A757" s="125"/>
      <c r="B757" s="125"/>
      <c r="C757" s="125"/>
      <c r="D757" s="125"/>
      <c r="E757" s="125"/>
      <c r="F757" s="126"/>
      <c r="G757" s="125"/>
      <c r="H757" s="125"/>
      <c r="I757" s="125"/>
      <c r="J757" s="125"/>
      <c r="K757" s="125"/>
      <c r="L757" s="125"/>
      <c r="M757" s="125"/>
      <c r="N757" s="129"/>
      <c r="O757" s="125"/>
      <c r="P757" s="173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spans="1:26" ht="15.75" customHeight="1">
      <c r="A758" s="125"/>
      <c r="B758" s="125"/>
      <c r="C758" s="125"/>
      <c r="D758" s="125"/>
      <c r="E758" s="125"/>
      <c r="F758" s="126"/>
      <c r="G758" s="125"/>
      <c r="H758" s="125"/>
      <c r="I758" s="125"/>
      <c r="J758" s="125"/>
      <c r="K758" s="125"/>
      <c r="L758" s="125"/>
      <c r="M758" s="125"/>
      <c r="N758" s="129"/>
      <c r="O758" s="125"/>
      <c r="P758" s="173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spans="1:26" ht="15.75" customHeight="1">
      <c r="A759" s="125"/>
      <c r="B759" s="125"/>
      <c r="C759" s="125"/>
      <c r="D759" s="125"/>
      <c r="E759" s="125"/>
      <c r="F759" s="126"/>
      <c r="G759" s="125"/>
      <c r="H759" s="125"/>
      <c r="I759" s="125"/>
      <c r="J759" s="125"/>
      <c r="K759" s="125"/>
      <c r="L759" s="125"/>
      <c r="M759" s="125"/>
      <c r="N759" s="129"/>
      <c r="O759" s="125"/>
      <c r="P759" s="173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spans="1:26" ht="15.75" customHeight="1">
      <c r="A760" s="125"/>
      <c r="B760" s="125"/>
      <c r="C760" s="125"/>
      <c r="D760" s="125"/>
      <c r="E760" s="125"/>
      <c r="F760" s="126"/>
      <c r="G760" s="125"/>
      <c r="H760" s="125"/>
      <c r="I760" s="125"/>
      <c r="J760" s="125"/>
      <c r="K760" s="125"/>
      <c r="L760" s="125"/>
      <c r="M760" s="125"/>
      <c r="N760" s="129"/>
      <c r="O760" s="125"/>
      <c r="P760" s="173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spans="1:26" ht="15.75" customHeight="1">
      <c r="A761" s="125"/>
      <c r="B761" s="125"/>
      <c r="C761" s="125"/>
      <c r="D761" s="125"/>
      <c r="E761" s="125"/>
      <c r="F761" s="126"/>
      <c r="G761" s="125"/>
      <c r="H761" s="125"/>
      <c r="I761" s="125"/>
      <c r="J761" s="125"/>
      <c r="K761" s="125"/>
      <c r="L761" s="125"/>
      <c r="M761" s="125"/>
      <c r="N761" s="129"/>
      <c r="O761" s="125"/>
      <c r="P761" s="173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spans="1:26" ht="15.75" customHeight="1">
      <c r="A762" s="125"/>
      <c r="B762" s="125"/>
      <c r="C762" s="125"/>
      <c r="D762" s="125"/>
      <c r="E762" s="125"/>
      <c r="F762" s="126"/>
      <c r="G762" s="125"/>
      <c r="H762" s="125"/>
      <c r="I762" s="125"/>
      <c r="J762" s="125"/>
      <c r="K762" s="125"/>
      <c r="L762" s="125"/>
      <c r="M762" s="125"/>
      <c r="N762" s="129"/>
      <c r="O762" s="125"/>
      <c r="P762" s="173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spans="1:26" ht="15.75" customHeight="1">
      <c r="A763" s="125"/>
      <c r="B763" s="125"/>
      <c r="C763" s="125"/>
      <c r="D763" s="125"/>
      <c r="E763" s="125"/>
      <c r="F763" s="126"/>
      <c r="G763" s="125"/>
      <c r="H763" s="125"/>
      <c r="I763" s="125"/>
      <c r="J763" s="125"/>
      <c r="K763" s="125"/>
      <c r="L763" s="125"/>
      <c r="M763" s="125"/>
      <c r="N763" s="129"/>
      <c r="O763" s="125"/>
      <c r="P763" s="173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spans="1:26" ht="15.75" customHeight="1">
      <c r="A764" s="125"/>
      <c r="B764" s="125"/>
      <c r="C764" s="125"/>
      <c r="D764" s="125"/>
      <c r="E764" s="125"/>
      <c r="F764" s="126"/>
      <c r="G764" s="125"/>
      <c r="H764" s="125"/>
      <c r="I764" s="125"/>
      <c r="J764" s="125"/>
      <c r="K764" s="125"/>
      <c r="L764" s="125"/>
      <c r="M764" s="125"/>
      <c r="N764" s="129"/>
      <c r="O764" s="125"/>
      <c r="P764" s="173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spans="1:26" ht="15.75" customHeight="1">
      <c r="A765" s="125"/>
      <c r="B765" s="125"/>
      <c r="C765" s="125"/>
      <c r="D765" s="125"/>
      <c r="E765" s="125"/>
      <c r="F765" s="126"/>
      <c r="G765" s="125"/>
      <c r="H765" s="125"/>
      <c r="I765" s="125"/>
      <c r="J765" s="125"/>
      <c r="K765" s="125"/>
      <c r="L765" s="125"/>
      <c r="M765" s="125"/>
      <c r="N765" s="129"/>
      <c r="O765" s="125"/>
      <c r="P765" s="173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spans="1:26" ht="15.75" customHeight="1">
      <c r="A766" s="125"/>
      <c r="B766" s="125"/>
      <c r="C766" s="125"/>
      <c r="D766" s="125"/>
      <c r="E766" s="125"/>
      <c r="F766" s="126"/>
      <c r="G766" s="125"/>
      <c r="H766" s="125"/>
      <c r="I766" s="125"/>
      <c r="J766" s="125"/>
      <c r="K766" s="125"/>
      <c r="L766" s="125"/>
      <c r="M766" s="125"/>
      <c r="N766" s="129"/>
      <c r="O766" s="125"/>
      <c r="P766" s="173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spans="1:26" ht="15.75" customHeight="1">
      <c r="A767" s="125"/>
      <c r="B767" s="125"/>
      <c r="C767" s="125"/>
      <c r="D767" s="125"/>
      <c r="E767" s="125"/>
      <c r="F767" s="126"/>
      <c r="G767" s="125"/>
      <c r="H767" s="125"/>
      <c r="I767" s="125"/>
      <c r="J767" s="125"/>
      <c r="K767" s="125"/>
      <c r="L767" s="125"/>
      <c r="M767" s="125"/>
      <c r="N767" s="129"/>
      <c r="O767" s="125"/>
      <c r="P767" s="173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spans="1:26" ht="15.75" customHeight="1">
      <c r="A768" s="125"/>
      <c r="B768" s="125"/>
      <c r="C768" s="125"/>
      <c r="D768" s="125"/>
      <c r="E768" s="125"/>
      <c r="F768" s="126"/>
      <c r="G768" s="125"/>
      <c r="H768" s="125"/>
      <c r="I768" s="125"/>
      <c r="J768" s="125"/>
      <c r="K768" s="125"/>
      <c r="L768" s="125"/>
      <c r="M768" s="125"/>
      <c r="N768" s="129"/>
      <c r="O768" s="125"/>
      <c r="P768" s="173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spans="1:26" ht="15.75" customHeight="1">
      <c r="A769" s="125"/>
      <c r="B769" s="125"/>
      <c r="C769" s="125"/>
      <c r="D769" s="125"/>
      <c r="E769" s="125"/>
      <c r="F769" s="126"/>
      <c r="G769" s="125"/>
      <c r="H769" s="125"/>
      <c r="I769" s="125"/>
      <c r="J769" s="125"/>
      <c r="K769" s="125"/>
      <c r="L769" s="125"/>
      <c r="M769" s="125"/>
      <c r="N769" s="129"/>
      <c r="O769" s="125"/>
      <c r="P769" s="173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spans="1:26" ht="15.75" customHeight="1">
      <c r="A770" s="125"/>
      <c r="B770" s="125"/>
      <c r="C770" s="125"/>
      <c r="D770" s="125"/>
      <c r="E770" s="125"/>
      <c r="F770" s="126"/>
      <c r="G770" s="125"/>
      <c r="H770" s="125"/>
      <c r="I770" s="125"/>
      <c r="J770" s="125"/>
      <c r="K770" s="125"/>
      <c r="L770" s="125"/>
      <c r="M770" s="125"/>
      <c r="N770" s="129"/>
      <c r="O770" s="125"/>
      <c r="P770" s="173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spans="1:26" ht="15.75" customHeight="1">
      <c r="A771" s="125"/>
      <c r="B771" s="125"/>
      <c r="C771" s="125"/>
      <c r="D771" s="125"/>
      <c r="E771" s="125"/>
      <c r="F771" s="126"/>
      <c r="G771" s="125"/>
      <c r="H771" s="125"/>
      <c r="I771" s="125"/>
      <c r="J771" s="125"/>
      <c r="K771" s="125"/>
      <c r="L771" s="125"/>
      <c r="M771" s="125"/>
      <c r="N771" s="129"/>
      <c r="O771" s="125"/>
      <c r="P771" s="173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spans="1:26" ht="15.75" customHeight="1">
      <c r="A772" s="125"/>
      <c r="B772" s="125"/>
      <c r="C772" s="125"/>
      <c r="D772" s="125"/>
      <c r="E772" s="125"/>
      <c r="F772" s="126"/>
      <c r="G772" s="125"/>
      <c r="H772" s="125"/>
      <c r="I772" s="125"/>
      <c r="J772" s="125"/>
      <c r="K772" s="125"/>
      <c r="L772" s="125"/>
      <c r="M772" s="125"/>
      <c r="N772" s="129"/>
      <c r="O772" s="125"/>
      <c r="P772" s="173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spans="1:26" ht="15.75" customHeight="1">
      <c r="A773" s="125"/>
      <c r="B773" s="125"/>
      <c r="C773" s="125"/>
      <c r="D773" s="125"/>
      <c r="E773" s="125"/>
      <c r="F773" s="126"/>
      <c r="G773" s="125"/>
      <c r="H773" s="125"/>
      <c r="I773" s="125"/>
      <c r="J773" s="125"/>
      <c r="K773" s="125"/>
      <c r="L773" s="125"/>
      <c r="M773" s="125"/>
      <c r="N773" s="129"/>
      <c r="O773" s="125"/>
      <c r="P773" s="173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spans="1:26" ht="15.75" customHeight="1">
      <c r="A774" s="125"/>
      <c r="B774" s="125"/>
      <c r="C774" s="125"/>
      <c r="D774" s="125"/>
      <c r="E774" s="125"/>
      <c r="F774" s="126"/>
      <c r="G774" s="125"/>
      <c r="H774" s="125"/>
      <c r="I774" s="125"/>
      <c r="J774" s="125"/>
      <c r="K774" s="125"/>
      <c r="L774" s="125"/>
      <c r="M774" s="125"/>
      <c r="N774" s="129"/>
      <c r="O774" s="125"/>
      <c r="P774" s="173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spans="1:26" ht="15.75" customHeight="1">
      <c r="A775" s="125"/>
      <c r="B775" s="125"/>
      <c r="C775" s="125"/>
      <c r="D775" s="125"/>
      <c r="E775" s="125"/>
      <c r="F775" s="126"/>
      <c r="G775" s="125"/>
      <c r="H775" s="125"/>
      <c r="I775" s="125"/>
      <c r="J775" s="125"/>
      <c r="K775" s="125"/>
      <c r="L775" s="125"/>
      <c r="M775" s="125"/>
      <c r="N775" s="129"/>
      <c r="O775" s="125"/>
      <c r="P775" s="173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spans="1:26" ht="15.75" customHeight="1">
      <c r="A776" s="125"/>
      <c r="B776" s="125"/>
      <c r="C776" s="125"/>
      <c r="D776" s="125"/>
      <c r="E776" s="125"/>
      <c r="F776" s="126"/>
      <c r="G776" s="125"/>
      <c r="H776" s="125"/>
      <c r="I776" s="125"/>
      <c r="J776" s="125"/>
      <c r="K776" s="125"/>
      <c r="L776" s="125"/>
      <c r="M776" s="125"/>
      <c r="N776" s="129"/>
      <c r="O776" s="125"/>
      <c r="P776" s="173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spans="1:26" ht="15.75" customHeight="1">
      <c r="A777" s="125"/>
      <c r="B777" s="125"/>
      <c r="C777" s="125"/>
      <c r="D777" s="125"/>
      <c r="E777" s="125"/>
      <c r="F777" s="126"/>
      <c r="G777" s="125"/>
      <c r="H777" s="125"/>
      <c r="I777" s="125"/>
      <c r="J777" s="125"/>
      <c r="K777" s="125"/>
      <c r="L777" s="125"/>
      <c r="M777" s="125"/>
      <c r="N777" s="129"/>
      <c r="O777" s="125"/>
      <c r="P777" s="173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spans="1:26" ht="15.75" customHeight="1">
      <c r="A778" s="125"/>
      <c r="B778" s="125"/>
      <c r="C778" s="125"/>
      <c r="D778" s="125"/>
      <c r="E778" s="125"/>
      <c r="F778" s="126"/>
      <c r="G778" s="125"/>
      <c r="H778" s="125"/>
      <c r="I778" s="125"/>
      <c r="J778" s="125"/>
      <c r="K778" s="125"/>
      <c r="L778" s="125"/>
      <c r="M778" s="125"/>
      <c r="N778" s="129"/>
      <c r="O778" s="125"/>
      <c r="P778" s="173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spans="1:26" ht="15.75" customHeight="1">
      <c r="A779" s="125"/>
      <c r="B779" s="125"/>
      <c r="C779" s="125"/>
      <c r="D779" s="125"/>
      <c r="E779" s="125"/>
      <c r="F779" s="126"/>
      <c r="G779" s="125"/>
      <c r="H779" s="125"/>
      <c r="I779" s="125"/>
      <c r="J779" s="125"/>
      <c r="K779" s="125"/>
      <c r="L779" s="125"/>
      <c r="M779" s="125"/>
      <c r="N779" s="129"/>
      <c r="O779" s="125"/>
      <c r="P779" s="173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spans="1:26" ht="15.75" customHeight="1">
      <c r="A780" s="125"/>
      <c r="B780" s="125"/>
      <c r="C780" s="125"/>
      <c r="D780" s="125"/>
      <c r="E780" s="125"/>
      <c r="F780" s="126"/>
      <c r="G780" s="125"/>
      <c r="H780" s="125"/>
      <c r="I780" s="125"/>
      <c r="J780" s="125"/>
      <c r="K780" s="125"/>
      <c r="L780" s="125"/>
      <c r="M780" s="125"/>
      <c r="N780" s="129"/>
      <c r="O780" s="125"/>
      <c r="P780" s="173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spans="1:26" ht="15.75" customHeight="1">
      <c r="A781" s="125"/>
      <c r="B781" s="125"/>
      <c r="C781" s="125"/>
      <c r="D781" s="125"/>
      <c r="E781" s="125"/>
      <c r="F781" s="126"/>
      <c r="G781" s="125"/>
      <c r="H781" s="125"/>
      <c r="I781" s="125"/>
      <c r="J781" s="125"/>
      <c r="K781" s="125"/>
      <c r="L781" s="125"/>
      <c r="M781" s="125"/>
      <c r="N781" s="129"/>
      <c r="O781" s="125"/>
      <c r="P781" s="173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spans="1:26" ht="15.75" customHeight="1">
      <c r="A782" s="125"/>
      <c r="B782" s="125"/>
      <c r="C782" s="125"/>
      <c r="D782" s="125"/>
      <c r="E782" s="125"/>
      <c r="F782" s="126"/>
      <c r="G782" s="125"/>
      <c r="H782" s="125"/>
      <c r="I782" s="125"/>
      <c r="J782" s="125"/>
      <c r="K782" s="125"/>
      <c r="L782" s="125"/>
      <c r="M782" s="125"/>
      <c r="N782" s="129"/>
      <c r="O782" s="125"/>
      <c r="P782" s="173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spans="1:26" ht="15.75" customHeight="1">
      <c r="A783" s="125"/>
      <c r="B783" s="125"/>
      <c r="C783" s="125"/>
      <c r="D783" s="125"/>
      <c r="E783" s="125"/>
      <c r="F783" s="126"/>
      <c r="G783" s="125"/>
      <c r="H783" s="125"/>
      <c r="I783" s="125"/>
      <c r="J783" s="125"/>
      <c r="K783" s="125"/>
      <c r="L783" s="125"/>
      <c r="M783" s="125"/>
      <c r="N783" s="129"/>
      <c r="O783" s="125"/>
      <c r="P783" s="173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spans="1:26" ht="15.75" customHeight="1">
      <c r="A784" s="125"/>
      <c r="B784" s="125"/>
      <c r="C784" s="125"/>
      <c r="D784" s="125"/>
      <c r="E784" s="125"/>
      <c r="F784" s="126"/>
      <c r="G784" s="125"/>
      <c r="H784" s="125"/>
      <c r="I784" s="125"/>
      <c r="J784" s="125"/>
      <c r="K784" s="125"/>
      <c r="L784" s="125"/>
      <c r="M784" s="125"/>
      <c r="N784" s="129"/>
      <c r="O784" s="125"/>
      <c r="P784" s="173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spans="1:26" ht="15.75" customHeight="1">
      <c r="A785" s="125"/>
      <c r="B785" s="125"/>
      <c r="C785" s="125"/>
      <c r="D785" s="125"/>
      <c r="E785" s="125"/>
      <c r="F785" s="126"/>
      <c r="G785" s="125"/>
      <c r="H785" s="125"/>
      <c r="I785" s="125"/>
      <c r="J785" s="125"/>
      <c r="K785" s="125"/>
      <c r="L785" s="125"/>
      <c r="M785" s="125"/>
      <c r="N785" s="129"/>
      <c r="O785" s="125"/>
      <c r="P785" s="173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spans="1:26" ht="15.75" customHeight="1">
      <c r="A786" s="125"/>
      <c r="B786" s="125"/>
      <c r="C786" s="125"/>
      <c r="D786" s="125"/>
      <c r="E786" s="125"/>
      <c r="F786" s="126"/>
      <c r="G786" s="125"/>
      <c r="H786" s="125"/>
      <c r="I786" s="125"/>
      <c r="J786" s="125"/>
      <c r="K786" s="125"/>
      <c r="L786" s="125"/>
      <c r="M786" s="125"/>
      <c r="N786" s="129"/>
      <c r="O786" s="125"/>
      <c r="P786" s="173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spans="1:26" ht="15.75" customHeight="1">
      <c r="A787" s="125"/>
      <c r="B787" s="125"/>
      <c r="C787" s="125"/>
      <c r="D787" s="125"/>
      <c r="E787" s="125"/>
      <c r="F787" s="126"/>
      <c r="G787" s="125"/>
      <c r="H787" s="125"/>
      <c r="I787" s="125"/>
      <c r="J787" s="125"/>
      <c r="K787" s="125"/>
      <c r="L787" s="125"/>
      <c r="M787" s="125"/>
      <c r="N787" s="129"/>
      <c r="O787" s="125"/>
      <c r="P787" s="173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spans="1:26" ht="15.75" customHeight="1">
      <c r="A788" s="125"/>
      <c r="B788" s="125"/>
      <c r="C788" s="125"/>
      <c r="D788" s="125"/>
      <c r="E788" s="125"/>
      <c r="F788" s="126"/>
      <c r="G788" s="125"/>
      <c r="H788" s="125"/>
      <c r="I788" s="125"/>
      <c r="J788" s="125"/>
      <c r="K788" s="125"/>
      <c r="L788" s="125"/>
      <c r="M788" s="125"/>
      <c r="N788" s="129"/>
      <c r="O788" s="125"/>
      <c r="P788" s="173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spans="1:26" ht="15.75" customHeight="1">
      <c r="A789" s="125"/>
      <c r="B789" s="125"/>
      <c r="C789" s="125"/>
      <c r="D789" s="125"/>
      <c r="E789" s="125"/>
      <c r="F789" s="126"/>
      <c r="G789" s="125"/>
      <c r="H789" s="125"/>
      <c r="I789" s="125"/>
      <c r="J789" s="125"/>
      <c r="K789" s="125"/>
      <c r="L789" s="125"/>
      <c r="M789" s="125"/>
      <c r="N789" s="129"/>
      <c r="O789" s="125"/>
      <c r="P789" s="173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spans="1:26" ht="15.75" customHeight="1">
      <c r="A790" s="125"/>
      <c r="B790" s="125"/>
      <c r="C790" s="125"/>
      <c r="D790" s="125"/>
      <c r="E790" s="125"/>
      <c r="F790" s="126"/>
      <c r="G790" s="125"/>
      <c r="H790" s="125"/>
      <c r="I790" s="125"/>
      <c r="J790" s="125"/>
      <c r="K790" s="125"/>
      <c r="L790" s="125"/>
      <c r="M790" s="125"/>
      <c r="N790" s="129"/>
      <c r="O790" s="125"/>
      <c r="P790" s="173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spans="1:26" ht="15.75" customHeight="1">
      <c r="A791" s="125"/>
      <c r="B791" s="125"/>
      <c r="C791" s="125"/>
      <c r="D791" s="125"/>
      <c r="E791" s="125"/>
      <c r="F791" s="126"/>
      <c r="G791" s="125"/>
      <c r="H791" s="125"/>
      <c r="I791" s="125"/>
      <c r="J791" s="125"/>
      <c r="K791" s="125"/>
      <c r="L791" s="125"/>
      <c r="M791" s="125"/>
      <c r="N791" s="129"/>
      <c r="O791" s="125"/>
      <c r="P791" s="173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spans="1:26" ht="15.75" customHeight="1">
      <c r="A792" s="125"/>
      <c r="B792" s="125"/>
      <c r="C792" s="125"/>
      <c r="D792" s="125"/>
      <c r="E792" s="125"/>
      <c r="F792" s="126"/>
      <c r="G792" s="125"/>
      <c r="H792" s="125"/>
      <c r="I792" s="125"/>
      <c r="J792" s="125"/>
      <c r="K792" s="125"/>
      <c r="L792" s="125"/>
      <c r="M792" s="125"/>
      <c r="N792" s="129"/>
      <c r="O792" s="125"/>
      <c r="P792" s="173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spans="1:26" ht="15.75" customHeight="1">
      <c r="A793" s="125"/>
      <c r="B793" s="125"/>
      <c r="C793" s="125"/>
      <c r="D793" s="125"/>
      <c r="E793" s="125"/>
      <c r="F793" s="126"/>
      <c r="G793" s="125"/>
      <c r="H793" s="125"/>
      <c r="I793" s="125"/>
      <c r="J793" s="125"/>
      <c r="K793" s="125"/>
      <c r="L793" s="125"/>
      <c r="M793" s="125"/>
      <c r="N793" s="129"/>
      <c r="O793" s="125"/>
      <c r="P793" s="173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spans="1:26" ht="15.75" customHeight="1">
      <c r="A794" s="125"/>
      <c r="B794" s="125"/>
      <c r="C794" s="125"/>
      <c r="D794" s="125"/>
      <c r="E794" s="125"/>
      <c r="F794" s="126"/>
      <c r="G794" s="125"/>
      <c r="H794" s="125"/>
      <c r="I794" s="125"/>
      <c r="J794" s="125"/>
      <c r="K794" s="125"/>
      <c r="L794" s="125"/>
      <c r="M794" s="125"/>
      <c r="N794" s="129"/>
      <c r="O794" s="125"/>
      <c r="P794" s="173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spans="1:26" ht="15.75" customHeight="1">
      <c r="A795" s="125"/>
      <c r="B795" s="125"/>
      <c r="C795" s="125"/>
      <c r="D795" s="125"/>
      <c r="E795" s="125"/>
      <c r="F795" s="126"/>
      <c r="G795" s="125"/>
      <c r="H795" s="125"/>
      <c r="I795" s="125"/>
      <c r="J795" s="125"/>
      <c r="K795" s="125"/>
      <c r="L795" s="125"/>
      <c r="M795" s="125"/>
      <c r="N795" s="129"/>
      <c r="O795" s="125"/>
      <c r="P795" s="173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spans="1:26" ht="15.75" customHeight="1">
      <c r="A796" s="125"/>
      <c r="B796" s="125"/>
      <c r="C796" s="125"/>
      <c r="D796" s="125"/>
      <c r="E796" s="125"/>
      <c r="F796" s="126"/>
      <c r="G796" s="125"/>
      <c r="H796" s="125"/>
      <c r="I796" s="125"/>
      <c r="J796" s="125"/>
      <c r="K796" s="125"/>
      <c r="L796" s="125"/>
      <c r="M796" s="125"/>
      <c r="N796" s="129"/>
      <c r="O796" s="125"/>
      <c r="P796" s="173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spans="1:26" ht="15.75" customHeight="1">
      <c r="A797" s="125"/>
      <c r="B797" s="125"/>
      <c r="C797" s="125"/>
      <c r="D797" s="125"/>
      <c r="E797" s="125"/>
      <c r="F797" s="126"/>
      <c r="G797" s="125"/>
      <c r="H797" s="125"/>
      <c r="I797" s="125"/>
      <c r="J797" s="125"/>
      <c r="K797" s="125"/>
      <c r="L797" s="125"/>
      <c r="M797" s="125"/>
      <c r="N797" s="129"/>
      <c r="O797" s="125"/>
      <c r="P797" s="173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spans="1:26" ht="15.75" customHeight="1">
      <c r="A798" s="125"/>
      <c r="B798" s="125"/>
      <c r="C798" s="125"/>
      <c r="D798" s="125"/>
      <c r="E798" s="125"/>
      <c r="F798" s="126"/>
      <c r="G798" s="125"/>
      <c r="H798" s="125"/>
      <c r="I798" s="125"/>
      <c r="J798" s="125"/>
      <c r="K798" s="125"/>
      <c r="L798" s="125"/>
      <c r="M798" s="125"/>
      <c r="N798" s="129"/>
      <c r="O798" s="125"/>
      <c r="P798" s="173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spans="1:26" ht="15.75" customHeight="1">
      <c r="A799" s="125"/>
      <c r="B799" s="125"/>
      <c r="C799" s="125"/>
      <c r="D799" s="125"/>
      <c r="E799" s="125"/>
      <c r="F799" s="126"/>
      <c r="G799" s="125"/>
      <c r="H799" s="125"/>
      <c r="I799" s="125"/>
      <c r="J799" s="125"/>
      <c r="K799" s="125"/>
      <c r="L799" s="125"/>
      <c r="M799" s="125"/>
      <c r="N799" s="129"/>
      <c r="O799" s="125"/>
      <c r="P799" s="173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spans="1:26" ht="15.75" customHeight="1">
      <c r="A800" s="125"/>
      <c r="B800" s="125"/>
      <c r="C800" s="125"/>
      <c r="D800" s="125"/>
      <c r="E800" s="125"/>
      <c r="F800" s="126"/>
      <c r="G800" s="125"/>
      <c r="H800" s="125"/>
      <c r="I800" s="125"/>
      <c r="J800" s="125"/>
      <c r="K800" s="125"/>
      <c r="L800" s="125"/>
      <c r="M800" s="125"/>
      <c r="N800" s="129"/>
      <c r="O800" s="125"/>
      <c r="P800" s="173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spans="1:26" ht="15.75" customHeight="1">
      <c r="A801" s="125"/>
      <c r="B801" s="125"/>
      <c r="C801" s="125"/>
      <c r="D801" s="125"/>
      <c r="E801" s="125"/>
      <c r="F801" s="126"/>
      <c r="G801" s="125"/>
      <c r="H801" s="125"/>
      <c r="I801" s="125"/>
      <c r="J801" s="125"/>
      <c r="K801" s="125"/>
      <c r="L801" s="125"/>
      <c r="M801" s="125"/>
      <c r="N801" s="129"/>
      <c r="O801" s="125"/>
      <c r="P801" s="173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spans="1:26" ht="15.75" customHeight="1">
      <c r="A802" s="125"/>
      <c r="B802" s="125"/>
      <c r="C802" s="125"/>
      <c r="D802" s="125"/>
      <c r="E802" s="125"/>
      <c r="F802" s="126"/>
      <c r="G802" s="125"/>
      <c r="H802" s="125"/>
      <c r="I802" s="125"/>
      <c r="J802" s="125"/>
      <c r="K802" s="125"/>
      <c r="L802" s="125"/>
      <c r="M802" s="125"/>
      <c r="N802" s="129"/>
      <c r="O802" s="125"/>
      <c r="P802" s="173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spans="1:26" ht="15.75" customHeight="1">
      <c r="A803" s="125"/>
      <c r="B803" s="125"/>
      <c r="C803" s="125"/>
      <c r="D803" s="125"/>
      <c r="E803" s="125"/>
      <c r="F803" s="126"/>
      <c r="G803" s="125"/>
      <c r="H803" s="125"/>
      <c r="I803" s="125"/>
      <c r="J803" s="125"/>
      <c r="K803" s="125"/>
      <c r="L803" s="125"/>
      <c r="M803" s="125"/>
      <c r="N803" s="129"/>
      <c r="O803" s="125"/>
      <c r="P803" s="173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spans="1:26" ht="15.75" customHeight="1">
      <c r="A804" s="125"/>
      <c r="B804" s="125"/>
      <c r="C804" s="125"/>
      <c r="D804" s="125"/>
      <c r="E804" s="125"/>
      <c r="F804" s="126"/>
      <c r="G804" s="125"/>
      <c r="H804" s="125"/>
      <c r="I804" s="125"/>
      <c r="J804" s="125"/>
      <c r="K804" s="125"/>
      <c r="L804" s="125"/>
      <c r="M804" s="125"/>
      <c r="N804" s="129"/>
      <c r="O804" s="125"/>
      <c r="P804" s="173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spans="1:26" ht="15.75" customHeight="1">
      <c r="A805" s="125"/>
      <c r="B805" s="125"/>
      <c r="C805" s="125"/>
      <c r="D805" s="125"/>
      <c r="E805" s="125"/>
      <c r="F805" s="126"/>
      <c r="G805" s="125"/>
      <c r="H805" s="125"/>
      <c r="I805" s="125"/>
      <c r="J805" s="125"/>
      <c r="K805" s="125"/>
      <c r="L805" s="125"/>
      <c r="M805" s="125"/>
      <c r="N805" s="129"/>
      <c r="O805" s="125"/>
      <c r="P805" s="173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spans="1:26" ht="15.75" customHeight="1">
      <c r="A806" s="125"/>
      <c r="B806" s="125"/>
      <c r="C806" s="125"/>
      <c r="D806" s="125"/>
      <c r="E806" s="125"/>
      <c r="F806" s="126"/>
      <c r="G806" s="125"/>
      <c r="H806" s="125"/>
      <c r="I806" s="125"/>
      <c r="J806" s="125"/>
      <c r="K806" s="125"/>
      <c r="L806" s="125"/>
      <c r="M806" s="125"/>
      <c r="N806" s="129"/>
      <c r="O806" s="125"/>
      <c r="P806" s="173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spans="1:26" ht="15.75" customHeight="1">
      <c r="A807" s="125"/>
      <c r="B807" s="125"/>
      <c r="C807" s="125"/>
      <c r="D807" s="125"/>
      <c r="E807" s="125"/>
      <c r="F807" s="126"/>
      <c r="G807" s="125"/>
      <c r="H807" s="125"/>
      <c r="I807" s="125"/>
      <c r="J807" s="125"/>
      <c r="K807" s="125"/>
      <c r="L807" s="125"/>
      <c r="M807" s="125"/>
      <c r="N807" s="129"/>
      <c r="O807" s="125"/>
      <c r="P807" s="173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spans="1:26" ht="15.75" customHeight="1">
      <c r="A808" s="125"/>
      <c r="B808" s="125"/>
      <c r="C808" s="125"/>
      <c r="D808" s="125"/>
      <c r="E808" s="125"/>
      <c r="F808" s="126"/>
      <c r="G808" s="125"/>
      <c r="H808" s="125"/>
      <c r="I808" s="125"/>
      <c r="J808" s="125"/>
      <c r="K808" s="125"/>
      <c r="L808" s="125"/>
      <c r="M808" s="125"/>
      <c r="N808" s="129"/>
      <c r="O808" s="125"/>
      <c r="P808" s="173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spans="1:26" ht="15.75" customHeight="1">
      <c r="A809" s="125"/>
      <c r="B809" s="125"/>
      <c r="C809" s="125"/>
      <c r="D809" s="125"/>
      <c r="E809" s="125"/>
      <c r="F809" s="126"/>
      <c r="G809" s="125"/>
      <c r="H809" s="125"/>
      <c r="I809" s="125"/>
      <c r="J809" s="125"/>
      <c r="K809" s="125"/>
      <c r="L809" s="125"/>
      <c r="M809" s="125"/>
      <c r="N809" s="129"/>
      <c r="O809" s="125"/>
      <c r="P809" s="173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spans="1:26" ht="15.75" customHeight="1">
      <c r="A810" s="125"/>
      <c r="B810" s="125"/>
      <c r="C810" s="125"/>
      <c r="D810" s="125"/>
      <c r="E810" s="125"/>
      <c r="F810" s="126"/>
      <c r="G810" s="125"/>
      <c r="H810" s="125"/>
      <c r="I810" s="125"/>
      <c r="J810" s="125"/>
      <c r="K810" s="125"/>
      <c r="L810" s="125"/>
      <c r="M810" s="125"/>
      <c r="N810" s="129"/>
      <c r="O810" s="125"/>
      <c r="P810" s="173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spans="1:26" ht="15.75" customHeight="1">
      <c r="A811" s="125"/>
      <c r="B811" s="125"/>
      <c r="C811" s="125"/>
      <c r="D811" s="125"/>
      <c r="E811" s="125"/>
      <c r="F811" s="126"/>
      <c r="G811" s="125"/>
      <c r="H811" s="125"/>
      <c r="I811" s="125"/>
      <c r="J811" s="125"/>
      <c r="K811" s="125"/>
      <c r="L811" s="125"/>
      <c r="M811" s="125"/>
      <c r="N811" s="129"/>
      <c r="O811" s="125"/>
      <c r="P811" s="173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spans="1:26" ht="15.75" customHeight="1">
      <c r="A812" s="125"/>
      <c r="B812" s="125"/>
      <c r="C812" s="125"/>
      <c r="D812" s="125"/>
      <c r="E812" s="125"/>
      <c r="F812" s="126"/>
      <c r="G812" s="125"/>
      <c r="H812" s="125"/>
      <c r="I812" s="125"/>
      <c r="J812" s="125"/>
      <c r="K812" s="125"/>
      <c r="L812" s="125"/>
      <c r="M812" s="125"/>
      <c r="N812" s="129"/>
      <c r="O812" s="125"/>
      <c r="P812" s="173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spans="1:26" ht="15.75" customHeight="1">
      <c r="A813" s="125"/>
      <c r="B813" s="125"/>
      <c r="C813" s="125"/>
      <c r="D813" s="125"/>
      <c r="E813" s="125"/>
      <c r="F813" s="126"/>
      <c r="G813" s="125"/>
      <c r="H813" s="125"/>
      <c r="I813" s="125"/>
      <c r="J813" s="125"/>
      <c r="K813" s="125"/>
      <c r="L813" s="125"/>
      <c r="M813" s="125"/>
      <c r="N813" s="129"/>
      <c r="O813" s="125"/>
      <c r="P813" s="173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spans="1:26" ht="15.75" customHeight="1">
      <c r="A814" s="125"/>
      <c r="B814" s="125"/>
      <c r="C814" s="125"/>
      <c r="D814" s="125"/>
      <c r="E814" s="125"/>
      <c r="F814" s="126"/>
      <c r="G814" s="125"/>
      <c r="H814" s="125"/>
      <c r="I814" s="125"/>
      <c r="J814" s="125"/>
      <c r="K814" s="125"/>
      <c r="L814" s="125"/>
      <c r="M814" s="125"/>
      <c r="N814" s="129"/>
      <c r="O814" s="125"/>
      <c r="P814" s="173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spans="1:26" ht="15.75" customHeight="1">
      <c r="A815" s="125"/>
      <c r="B815" s="125"/>
      <c r="C815" s="125"/>
      <c r="D815" s="125"/>
      <c r="E815" s="125"/>
      <c r="F815" s="126"/>
      <c r="G815" s="125"/>
      <c r="H815" s="125"/>
      <c r="I815" s="125"/>
      <c r="J815" s="125"/>
      <c r="K815" s="125"/>
      <c r="L815" s="125"/>
      <c r="M815" s="125"/>
      <c r="N815" s="129"/>
      <c r="O815" s="125"/>
      <c r="P815" s="173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spans="1:26" ht="15.75" customHeight="1">
      <c r="A816" s="125"/>
      <c r="B816" s="125"/>
      <c r="C816" s="125"/>
      <c r="D816" s="125"/>
      <c r="E816" s="125"/>
      <c r="F816" s="126"/>
      <c r="G816" s="125"/>
      <c r="H816" s="125"/>
      <c r="I816" s="125"/>
      <c r="J816" s="125"/>
      <c r="K816" s="125"/>
      <c r="L816" s="125"/>
      <c r="M816" s="125"/>
      <c r="N816" s="129"/>
      <c r="O816" s="125"/>
      <c r="P816" s="173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spans="1:26" ht="15.75" customHeight="1">
      <c r="A817" s="125"/>
      <c r="B817" s="125"/>
      <c r="C817" s="125"/>
      <c r="D817" s="125"/>
      <c r="E817" s="125"/>
      <c r="F817" s="126"/>
      <c r="G817" s="125"/>
      <c r="H817" s="125"/>
      <c r="I817" s="125"/>
      <c r="J817" s="125"/>
      <c r="K817" s="125"/>
      <c r="L817" s="125"/>
      <c r="M817" s="125"/>
      <c r="N817" s="129"/>
      <c r="O817" s="125"/>
      <c r="P817" s="173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spans="1:26" ht="15.75" customHeight="1">
      <c r="A818" s="125"/>
      <c r="B818" s="125"/>
      <c r="C818" s="125"/>
      <c r="D818" s="125"/>
      <c r="E818" s="125"/>
      <c r="F818" s="126"/>
      <c r="G818" s="125"/>
      <c r="H818" s="125"/>
      <c r="I818" s="125"/>
      <c r="J818" s="125"/>
      <c r="K818" s="125"/>
      <c r="L818" s="125"/>
      <c r="M818" s="125"/>
      <c r="N818" s="129"/>
      <c r="O818" s="125"/>
      <c r="P818" s="173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spans="1:26" ht="15.75" customHeight="1">
      <c r="A819" s="125"/>
      <c r="B819" s="125"/>
      <c r="C819" s="125"/>
      <c r="D819" s="125"/>
      <c r="E819" s="125"/>
      <c r="F819" s="126"/>
      <c r="G819" s="125"/>
      <c r="H819" s="125"/>
      <c r="I819" s="125"/>
      <c r="J819" s="125"/>
      <c r="K819" s="125"/>
      <c r="L819" s="125"/>
      <c r="M819" s="125"/>
      <c r="N819" s="129"/>
      <c r="O819" s="125"/>
      <c r="P819" s="173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spans="1:26" ht="15.75" customHeight="1">
      <c r="A820" s="125"/>
      <c r="B820" s="125"/>
      <c r="C820" s="125"/>
      <c r="D820" s="125"/>
      <c r="E820" s="125"/>
      <c r="F820" s="126"/>
      <c r="G820" s="125"/>
      <c r="H820" s="125"/>
      <c r="I820" s="125"/>
      <c r="J820" s="125"/>
      <c r="K820" s="125"/>
      <c r="L820" s="125"/>
      <c r="M820" s="125"/>
      <c r="N820" s="129"/>
      <c r="O820" s="125"/>
      <c r="P820" s="173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spans="1:26" ht="15.75" customHeight="1">
      <c r="A821" s="125"/>
      <c r="B821" s="125"/>
      <c r="C821" s="125"/>
      <c r="D821" s="125"/>
      <c r="E821" s="125"/>
      <c r="F821" s="126"/>
      <c r="G821" s="125"/>
      <c r="H821" s="125"/>
      <c r="I821" s="125"/>
      <c r="J821" s="125"/>
      <c r="K821" s="125"/>
      <c r="L821" s="125"/>
      <c r="M821" s="125"/>
      <c r="N821" s="129"/>
      <c r="O821" s="125"/>
      <c r="P821" s="173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spans="1:26" ht="15.75" customHeight="1">
      <c r="A822" s="125"/>
      <c r="B822" s="125"/>
      <c r="C822" s="125"/>
      <c r="D822" s="125"/>
      <c r="E822" s="125"/>
      <c r="F822" s="126"/>
      <c r="G822" s="125"/>
      <c r="H822" s="125"/>
      <c r="I822" s="125"/>
      <c r="J822" s="125"/>
      <c r="K822" s="125"/>
      <c r="L822" s="125"/>
      <c r="M822" s="125"/>
      <c r="N822" s="129"/>
      <c r="O822" s="125"/>
      <c r="P822" s="173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spans="1:26" ht="15.75" customHeight="1">
      <c r="A823" s="125"/>
      <c r="B823" s="125"/>
      <c r="C823" s="125"/>
      <c r="D823" s="125"/>
      <c r="E823" s="125"/>
      <c r="F823" s="126"/>
      <c r="G823" s="125"/>
      <c r="H823" s="125"/>
      <c r="I823" s="125"/>
      <c r="J823" s="125"/>
      <c r="K823" s="125"/>
      <c r="L823" s="125"/>
      <c r="M823" s="125"/>
      <c r="N823" s="129"/>
      <c r="O823" s="125"/>
      <c r="P823" s="173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spans="1:26" ht="15.75" customHeight="1">
      <c r="A824" s="125"/>
      <c r="B824" s="125"/>
      <c r="C824" s="125"/>
      <c r="D824" s="125"/>
      <c r="E824" s="125"/>
      <c r="F824" s="126"/>
      <c r="G824" s="125"/>
      <c r="H824" s="125"/>
      <c r="I824" s="125"/>
      <c r="J824" s="125"/>
      <c r="K824" s="125"/>
      <c r="L824" s="125"/>
      <c r="M824" s="125"/>
      <c r="N824" s="129"/>
      <c r="O824" s="125"/>
      <c r="P824" s="173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spans="1:26" ht="15.75" customHeight="1">
      <c r="A825" s="125"/>
      <c r="B825" s="125"/>
      <c r="C825" s="125"/>
      <c r="D825" s="125"/>
      <c r="E825" s="125"/>
      <c r="F825" s="126"/>
      <c r="G825" s="125"/>
      <c r="H825" s="125"/>
      <c r="I825" s="125"/>
      <c r="J825" s="125"/>
      <c r="K825" s="125"/>
      <c r="L825" s="125"/>
      <c r="M825" s="125"/>
      <c r="N825" s="129"/>
      <c r="O825" s="125"/>
      <c r="P825" s="173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spans="1:26" ht="15.75" customHeight="1">
      <c r="A826" s="125"/>
      <c r="B826" s="125"/>
      <c r="C826" s="125"/>
      <c r="D826" s="125"/>
      <c r="E826" s="125"/>
      <c r="F826" s="126"/>
      <c r="G826" s="125"/>
      <c r="H826" s="125"/>
      <c r="I826" s="125"/>
      <c r="J826" s="125"/>
      <c r="K826" s="125"/>
      <c r="L826" s="125"/>
      <c r="M826" s="125"/>
      <c r="N826" s="129"/>
      <c r="O826" s="125"/>
      <c r="P826" s="173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spans="1:26" ht="15.75" customHeight="1">
      <c r="A827" s="125"/>
      <c r="B827" s="125"/>
      <c r="C827" s="125"/>
      <c r="D827" s="125"/>
      <c r="E827" s="125"/>
      <c r="F827" s="126"/>
      <c r="G827" s="125"/>
      <c r="H827" s="125"/>
      <c r="I827" s="125"/>
      <c r="J827" s="125"/>
      <c r="K827" s="125"/>
      <c r="L827" s="125"/>
      <c r="M827" s="125"/>
      <c r="N827" s="129"/>
      <c r="O827" s="125"/>
      <c r="P827" s="173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spans="1:26" ht="15.75" customHeight="1">
      <c r="A828" s="125"/>
      <c r="B828" s="125"/>
      <c r="C828" s="125"/>
      <c r="D828" s="125"/>
      <c r="E828" s="125"/>
      <c r="F828" s="126"/>
      <c r="G828" s="125"/>
      <c r="H828" s="125"/>
      <c r="I828" s="125"/>
      <c r="J828" s="125"/>
      <c r="K828" s="125"/>
      <c r="L828" s="125"/>
      <c r="M828" s="125"/>
      <c r="N828" s="129"/>
      <c r="O828" s="125"/>
      <c r="P828" s="173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spans="1:26" ht="15.75" customHeight="1">
      <c r="A829" s="125"/>
      <c r="B829" s="125"/>
      <c r="C829" s="125"/>
      <c r="D829" s="125"/>
      <c r="E829" s="125"/>
      <c r="F829" s="126"/>
      <c r="G829" s="125"/>
      <c r="H829" s="125"/>
      <c r="I829" s="125"/>
      <c r="J829" s="125"/>
      <c r="K829" s="125"/>
      <c r="L829" s="125"/>
      <c r="M829" s="125"/>
      <c r="N829" s="129"/>
      <c r="O829" s="125"/>
      <c r="P829" s="173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spans="1:26" ht="15.75" customHeight="1">
      <c r="A830" s="125"/>
      <c r="B830" s="125"/>
      <c r="C830" s="125"/>
      <c r="D830" s="125"/>
      <c r="E830" s="125"/>
      <c r="F830" s="126"/>
      <c r="G830" s="125"/>
      <c r="H830" s="125"/>
      <c r="I830" s="125"/>
      <c r="J830" s="125"/>
      <c r="K830" s="125"/>
      <c r="L830" s="125"/>
      <c r="M830" s="125"/>
      <c r="N830" s="129"/>
      <c r="O830" s="125"/>
      <c r="P830" s="173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spans="1:26" ht="15.75" customHeight="1">
      <c r="A831" s="125"/>
      <c r="B831" s="125"/>
      <c r="C831" s="125"/>
      <c r="D831" s="125"/>
      <c r="E831" s="125"/>
      <c r="F831" s="126"/>
      <c r="G831" s="125"/>
      <c r="H831" s="125"/>
      <c r="I831" s="125"/>
      <c r="J831" s="125"/>
      <c r="K831" s="125"/>
      <c r="L831" s="125"/>
      <c r="M831" s="125"/>
      <c r="N831" s="129"/>
      <c r="O831" s="125"/>
      <c r="P831" s="173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spans="1:26" ht="15.75" customHeight="1">
      <c r="A832" s="125"/>
      <c r="B832" s="125"/>
      <c r="C832" s="125"/>
      <c r="D832" s="125"/>
      <c r="E832" s="125"/>
      <c r="F832" s="126"/>
      <c r="G832" s="125"/>
      <c r="H832" s="125"/>
      <c r="I832" s="125"/>
      <c r="J832" s="125"/>
      <c r="K832" s="125"/>
      <c r="L832" s="125"/>
      <c r="M832" s="125"/>
      <c r="N832" s="129"/>
      <c r="O832" s="125"/>
      <c r="P832" s="173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spans="1:26" ht="15.75" customHeight="1">
      <c r="A833" s="125"/>
      <c r="B833" s="125"/>
      <c r="C833" s="125"/>
      <c r="D833" s="125"/>
      <c r="E833" s="125"/>
      <c r="F833" s="126"/>
      <c r="G833" s="125"/>
      <c r="H833" s="125"/>
      <c r="I833" s="125"/>
      <c r="J833" s="125"/>
      <c r="K833" s="125"/>
      <c r="L833" s="125"/>
      <c r="M833" s="125"/>
      <c r="N833" s="129"/>
      <c r="O833" s="125"/>
      <c r="P833" s="173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spans="1:26" ht="15.75" customHeight="1">
      <c r="A834" s="125"/>
      <c r="B834" s="125"/>
      <c r="C834" s="125"/>
      <c r="D834" s="125"/>
      <c r="E834" s="125"/>
      <c r="F834" s="126"/>
      <c r="G834" s="125"/>
      <c r="H834" s="125"/>
      <c r="I834" s="125"/>
      <c r="J834" s="125"/>
      <c r="K834" s="125"/>
      <c r="L834" s="125"/>
      <c r="M834" s="125"/>
      <c r="N834" s="129"/>
      <c r="O834" s="125"/>
      <c r="P834" s="173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spans="1:26" ht="15.75" customHeight="1">
      <c r="A835" s="125"/>
      <c r="B835" s="125"/>
      <c r="C835" s="125"/>
      <c r="D835" s="125"/>
      <c r="E835" s="125"/>
      <c r="F835" s="126"/>
      <c r="G835" s="125"/>
      <c r="H835" s="125"/>
      <c r="I835" s="125"/>
      <c r="J835" s="125"/>
      <c r="K835" s="125"/>
      <c r="L835" s="125"/>
      <c r="M835" s="125"/>
      <c r="N835" s="129"/>
      <c r="O835" s="125"/>
      <c r="P835" s="173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spans="1:26" ht="15.75" customHeight="1">
      <c r="A836" s="125"/>
      <c r="B836" s="125"/>
      <c r="C836" s="125"/>
      <c r="D836" s="125"/>
      <c r="E836" s="125"/>
      <c r="F836" s="126"/>
      <c r="G836" s="125"/>
      <c r="H836" s="125"/>
      <c r="I836" s="125"/>
      <c r="J836" s="125"/>
      <c r="K836" s="125"/>
      <c r="L836" s="125"/>
      <c r="M836" s="125"/>
      <c r="N836" s="129"/>
      <c r="O836" s="125"/>
      <c r="P836" s="173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spans="1:26" ht="15.75" customHeight="1">
      <c r="A837" s="125"/>
      <c r="B837" s="125"/>
      <c r="C837" s="125"/>
      <c r="D837" s="125"/>
      <c r="E837" s="125"/>
      <c r="F837" s="126"/>
      <c r="G837" s="125"/>
      <c r="H837" s="125"/>
      <c r="I837" s="125"/>
      <c r="J837" s="125"/>
      <c r="K837" s="125"/>
      <c r="L837" s="125"/>
      <c r="M837" s="125"/>
      <c r="N837" s="129"/>
      <c r="O837" s="125"/>
      <c r="P837" s="173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spans="1:26" ht="15.75" customHeight="1">
      <c r="A838" s="125"/>
      <c r="B838" s="125"/>
      <c r="C838" s="125"/>
      <c r="D838" s="125"/>
      <c r="E838" s="125"/>
      <c r="F838" s="126"/>
      <c r="G838" s="125"/>
      <c r="H838" s="125"/>
      <c r="I838" s="125"/>
      <c r="J838" s="125"/>
      <c r="K838" s="125"/>
      <c r="L838" s="125"/>
      <c r="M838" s="125"/>
      <c r="N838" s="129"/>
      <c r="O838" s="125"/>
      <c r="P838" s="173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spans="1:26" ht="15.75" customHeight="1">
      <c r="A839" s="125"/>
      <c r="B839" s="125"/>
      <c r="C839" s="125"/>
      <c r="D839" s="125"/>
      <c r="E839" s="125"/>
      <c r="F839" s="126"/>
      <c r="G839" s="125"/>
      <c r="H839" s="125"/>
      <c r="I839" s="125"/>
      <c r="J839" s="125"/>
      <c r="K839" s="125"/>
      <c r="L839" s="125"/>
      <c r="M839" s="125"/>
      <c r="N839" s="129"/>
      <c r="O839" s="125"/>
      <c r="P839" s="173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spans="1:26" ht="15.75" customHeight="1">
      <c r="A840" s="125"/>
      <c r="B840" s="125"/>
      <c r="C840" s="125"/>
      <c r="D840" s="125"/>
      <c r="E840" s="125"/>
      <c r="F840" s="126"/>
      <c r="G840" s="125"/>
      <c r="H840" s="125"/>
      <c r="I840" s="125"/>
      <c r="J840" s="125"/>
      <c r="K840" s="125"/>
      <c r="L840" s="125"/>
      <c r="M840" s="125"/>
      <c r="N840" s="129"/>
      <c r="O840" s="125"/>
      <c r="P840" s="173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spans="1:26" ht="15.75" customHeight="1">
      <c r="A841" s="125"/>
      <c r="B841" s="125"/>
      <c r="C841" s="125"/>
      <c r="D841" s="125"/>
      <c r="E841" s="125"/>
      <c r="F841" s="126"/>
      <c r="G841" s="125"/>
      <c r="H841" s="125"/>
      <c r="I841" s="125"/>
      <c r="J841" s="125"/>
      <c r="K841" s="125"/>
      <c r="L841" s="125"/>
      <c r="M841" s="125"/>
      <c r="N841" s="129"/>
      <c r="O841" s="125"/>
      <c r="P841" s="173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spans="1:26" ht="15.75" customHeight="1">
      <c r="A842" s="125"/>
      <c r="B842" s="125"/>
      <c r="C842" s="125"/>
      <c r="D842" s="125"/>
      <c r="E842" s="125"/>
      <c r="F842" s="126"/>
      <c r="G842" s="125"/>
      <c r="H842" s="125"/>
      <c r="I842" s="125"/>
      <c r="J842" s="125"/>
      <c r="K842" s="125"/>
      <c r="L842" s="125"/>
      <c r="M842" s="125"/>
      <c r="N842" s="129"/>
      <c r="O842" s="125"/>
      <c r="P842" s="173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spans="1:26" ht="15.75" customHeight="1">
      <c r="A843" s="125"/>
      <c r="B843" s="125"/>
      <c r="C843" s="125"/>
      <c r="D843" s="125"/>
      <c r="E843" s="125"/>
      <c r="F843" s="126"/>
      <c r="G843" s="125"/>
      <c r="H843" s="125"/>
      <c r="I843" s="125"/>
      <c r="J843" s="125"/>
      <c r="K843" s="125"/>
      <c r="L843" s="125"/>
      <c r="M843" s="125"/>
      <c r="N843" s="129"/>
      <c r="O843" s="125"/>
      <c r="P843" s="173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spans="1:26" ht="15.75" customHeight="1">
      <c r="A844" s="125"/>
      <c r="B844" s="125"/>
      <c r="C844" s="125"/>
      <c r="D844" s="125"/>
      <c r="E844" s="125"/>
      <c r="F844" s="126"/>
      <c r="G844" s="125"/>
      <c r="H844" s="125"/>
      <c r="I844" s="125"/>
      <c r="J844" s="125"/>
      <c r="K844" s="125"/>
      <c r="L844" s="125"/>
      <c r="M844" s="125"/>
      <c r="N844" s="129"/>
      <c r="O844" s="125"/>
      <c r="P844" s="173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spans="1:26" ht="15.75" customHeight="1">
      <c r="A845" s="125"/>
      <c r="B845" s="125"/>
      <c r="C845" s="125"/>
      <c r="D845" s="125"/>
      <c r="E845" s="125"/>
      <c r="F845" s="126"/>
      <c r="G845" s="125"/>
      <c r="H845" s="125"/>
      <c r="I845" s="125"/>
      <c r="J845" s="125"/>
      <c r="K845" s="125"/>
      <c r="L845" s="125"/>
      <c r="M845" s="125"/>
      <c r="N845" s="129"/>
      <c r="O845" s="125"/>
      <c r="P845" s="173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spans="1:26" ht="15.75" customHeight="1">
      <c r="A846" s="125"/>
      <c r="B846" s="125"/>
      <c r="C846" s="125"/>
      <c r="D846" s="125"/>
      <c r="E846" s="125"/>
      <c r="F846" s="126"/>
      <c r="G846" s="125"/>
      <c r="H846" s="125"/>
      <c r="I846" s="125"/>
      <c r="J846" s="125"/>
      <c r="K846" s="125"/>
      <c r="L846" s="125"/>
      <c r="M846" s="125"/>
      <c r="N846" s="129"/>
      <c r="O846" s="125"/>
      <c r="P846" s="173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spans="1:26" ht="15.75" customHeight="1">
      <c r="A847" s="125"/>
      <c r="B847" s="125"/>
      <c r="C847" s="125"/>
      <c r="D847" s="125"/>
      <c r="E847" s="125"/>
      <c r="F847" s="126"/>
      <c r="G847" s="125"/>
      <c r="H847" s="125"/>
      <c r="I847" s="125"/>
      <c r="J847" s="125"/>
      <c r="K847" s="125"/>
      <c r="L847" s="125"/>
      <c r="M847" s="125"/>
      <c r="N847" s="129"/>
      <c r="O847" s="125"/>
      <c r="P847" s="173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spans="1:26" ht="15.75" customHeight="1">
      <c r="A848" s="125"/>
      <c r="B848" s="125"/>
      <c r="C848" s="125"/>
      <c r="D848" s="125"/>
      <c r="E848" s="125"/>
      <c r="F848" s="126"/>
      <c r="G848" s="125"/>
      <c r="H848" s="125"/>
      <c r="I848" s="125"/>
      <c r="J848" s="125"/>
      <c r="K848" s="125"/>
      <c r="L848" s="125"/>
      <c r="M848" s="125"/>
      <c r="N848" s="129"/>
      <c r="O848" s="125"/>
      <c r="P848" s="173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spans="1:26" ht="15.75" customHeight="1">
      <c r="A849" s="125"/>
      <c r="B849" s="125"/>
      <c r="C849" s="125"/>
      <c r="D849" s="125"/>
      <c r="E849" s="125"/>
      <c r="F849" s="126"/>
      <c r="G849" s="125"/>
      <c r="H849" s="125"/>
      <c r="I849" s="125"/>
      <c r="J849" s="125"/>
      <c r="K849" s="125"/>
      <c r="L849" s="125"/>
      <c r="M849" s="125"/>
      <c r="N849" s="129"/>
      <c r="O849" s="125"/>
      <c r="P849" s="173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spans="1:26" ht="15.75" customHeight="1">
      <c r="A850" s="125"/>
      <c r="B850" s="125"/>
      <c r="C850" s="125"/>
      <c r="D850" s="125"/>
      <c r="E850" s="125"/>
      <c r="F850" s="126"/>
      <c r="G850" s="125"/>
      <c r="H850" s="125"/>
      <c r="I850" s="125"/>
      <c r="J850" s="125"/>
      <c r="K850" s="125"/>
      <c r="L850" s="125"/>
      <c r="M850" s="125"/>
      <c r="N850" s="129"/>
      <c r="O850" s="125"/>
      <c r="P850" s="173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spans="1:26" ht="15.75" customHeight="1">
      <c r="A851" s="125"/>
      <c r="B851" s="125"/>
      <c r="C851" s="125"/>
      <c r="D851" s="125"/>
      <c r="E851" s="125"/>
      <c r="F851" s="126"/>
      <c r="G851" s="125"/>
      <c r="H851" s="125"/>
      <c r="I851" s="125"/>
      <c r="J851" s="125"/>
      <c r="K851" s="125"/>
      <c r="L851" s="125"/>
      <c r="M851" s="125"/>
      <c r="N851" s="129"/>
      <c r="O851" s="125"/>
      <c r="P851" s="173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spans="1:26" ht="15.75" customHeight="1">
      <c r="A852" s="125"/>
      <c r="B852" s="125"/>
      <c r="C852" s="125"/>
      <c r="D852" s="125"/>
      <c r="E852" s="125"/>
      <c r="F852" s="126"/>
      <c r="G852" s="125"/>
      <c r="H852" s="125"/>
      <c r="I852" s="125"/>
      <c r="J852" s="125"/>
      <c r="K852" s="125"/>
      <c r="L852" s="125"/>
      <c r="M852" s="125"/>
      <c r="N852" s="129"/>
      <c r="O852" s="125"/>
      <c r="P852" s="173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spans="1:26" ht="15.75" customHeight="1">
      <c r="A853" s="125"/>
      <c r="B853" s="125"/>
      <c r="C853" s="125"/>
      <c r="D853" s="125"/>
      <c r="E853" s="125"/>
      <c r="F853" s="126"/>
      <c r="G853" s="125"/>
      <c r="H853" s="125"/>
      <c r="I853" s="125"/>
      <c r="J853" s="125"/>
      <c r="K853" s="125"/>
      <c r="L853" s="125"/>
      <c r="M853" s="125"/>
      <c r="N853" s="129"/>
      <c r="O853" s="125"/>
      <c r="P853" s="173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spans="1:26" ht="15.75" customHeight="1">
      <c r="A854" s="125"/>
      <c r="B854" s="125"/>
      <c r="C854" s="125"/>
      <c r="D854" s="125"/>
      <c r="E854" s="125"/>
      <c r="F854" s="126"/>
      <c r="G854" s="125"/>
      <c r="H854" s="125"/>
      <c r="I854" s="125"/>
      <c r="J854" s="125"/>
      <c r="K854" s="125"/>
      <c r="L854" s="125"/>
      <c r="M854" s="125"/>
      <c r="N854" s="129"/>
      <c r="O854" s="125"/>
      <c r="P854" s="173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spans="1:26" ht="15.75" customHeight="1">
      <c r="A855" s="125"/>
      <c r="B855" s="125"/>
      <c r="C855" s="125"/>
      <c r="D855" s="125"/>
      <c r="E855" s="125"/>
      <c r="F855" s="126"/>
      <c r="G855" s="125"/>
      <c r="H855" s="125"/>
      <c r="I855" s="125"/>
      <c r="J855" s="125"/>
      <c r="K855" s="125"/>
      <c r="L855" s="125"/>
      <c r="M855" s="125"/>
      <c r="N855" s="129"/>
      <c r="O855" s="125"/>
      <c r="P855" s="173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spans="1:26" ht="15.75" customHeight="1">
      <c r="A856" s="125"/>
      <c r="B856" s="125"/>
      <c r="C856" s="125"/>
      <c r="D856" s="125"/>
      <c r="E856" s="125"/>
      <c r="F856" s="126"/>
      <c r="G856" s="125"/>
      <c r="H856" s="125"/>
      <c r="I856" s="125"/>
      <c r="J856" s="125"/>
      <c r="K856" s="125"/>
      <c r="L856" s="125"/>
      <c r="M856" s="125"/>
      <c r="N856" s="129"/>
      <c r="O856" s="125"/>
      <c r="P856" s="173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spans="1:26" ht="15.75" customHeight="1">
      <c r="A857" s="125"/>
      <c r="B857" s="125"/>
      <c r="C857" s="125"/>
      <c r="D857" s="125"/>
      <c r="E857" s="125"/>
      <c r="F857" s="126"/>
      <c r="G857" s="125"/>
      <c r="H857" s="125"/>
      <c r="I857" s="125"/>
      <c r="J857" s="125"/>
      <c r="K857" s="125"/>
      <c r="L857" s="125"/>
      <c r="M857" s="125"/>
      <c r="N857" s="129"/>
      <c r="O857" s="125"/>
      <c r="P857" s="173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spans="1:26" ht="15.75" customHeight="1">
      <c r="A858" s="125"/>
      <c r="B858" s="125"/>
      <c r="C858" s="125"/>
      <c r="D858" s="125"/>
      <c r="E858" s="125"/>
      <c r="F858" s="126"/>
      <c r="G858" s="125"/>
      <c r="H858" s="125"/>
      <c r="I858" s="125"/>
      <c r="J858" s="125"/>
      <c r="K858" s="125"/>
      <c r="L858" s="125"/>
      <c r="M858" s="125"/>
      <c r="N858" s="129"/>
      <c r="O858" s="125"/>
      <c r="P858" s="173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spans="1:26" ht="15.75" customHeight="1">
      <c r="A859" s="125"/>
      <c r="B859" s="125"/>
      <c r="C859" s="125"/>
      <c r="D859" s="125"/>
      <c r="E859" s="125"/>
      <c r="F859" s="126"/>
      <c r="G859" s="125"/>
      <c r="H859" s="125"/>
      <c r="I859" s="125"/>
      <c r="J859" s="125"/>
      <c r="K859" s="125"/>
      <c r="L859" s="125"/>
      <c r="M859" s="125"/>
      <c r="N859" s="129"/>
      <c r="O859" s="125"/>
      <c r="P859" s="173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spans="1:26" ht="15.75" customHeight="1">
      <c r="A860" s="125"/>
      <c r="B860" s="125"/>
      <c r="C860" s="125"/>
      <c r="D860" s="125"/>
      <c r="E860" s="125"/>
      <c r="F860" s="126"/>
      <c r="G860" s="125"/>
      <c r="H860" s="125"/>
      <c r="I860" s="125"/>
      <c r="J860" s="125"/>
      <c r="K860" s="125"/>
      <c r="L860" s="125"/>
      <c r="M860" s="125"/>
      <c r="N860" s="129"/>
      <c r="O860" s="125"/>
      <c r="P860" s="173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spans="1:26" ht="15.75" customHeight="1">
      <c r="A861" s="125"/>
      <c r="B861" s="125"/>
      <c r="C861" s="125"/>
      <c r="D861" s="125"/>
      <c r="E861" s="125"/>
      <c r="F861" s="126"/>
      <c r="G861" s="125"/>
      <c r="H861" s="125"/>
      <c r="I861" s="125"/>
      <c r="J861" s="125"/>
      <c r="K861" s="125"/>
      <c r="L861" s="125"/>
      <c r="M861" s="125"/>
      <c r="N861" s="129"/>
      <c r="O861" s="125"/>
      <c r="P861" s="173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spans="1:26" ht="15.75" customHeight="1">
      <c r="A862" s="125"/>
      <c r="B862" s="125"/>
      <c r="C862" s="125"/>
      <c r="D862" s="125"/>
      <c r="E862" s="125"/>
      <c r="F862" s="126"/>
      <c r="G862" s="125"/>
      <c r="H862" s="125"/>
      <c r="I862" s="125"/>
      <c r="J862" s="125"/>
      <c r="K862" s="125"/>
      <c r="L862" s="125"/>
      <c r="M862" s="125"/>
      <c r="N862" s="129"/>
      <c r="O862" s="125"/>
      <c r="P862" s="173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spans="1:26" ht="15.75" customHeight="1">
      <c r="A863" s="125"/>
      <c r="B863" s="125"/>
      <c r="C863" s="125"/>
      <c r="D863" s="125"/>
      <c r="E863" s="125"/>
      <c r="F863" s="126"/>
      <c r="G863" s="125"/>
      <c r="H863" s="125"/>
      <c r="I863" s="125"/>
      <c r="J863" s="125"/>
      <c r="K863" s="125"/>
      <c r="L863" s="125"/>
      <c r="M863" s="125"/>
      <c r="N863" s="129"/>
      <c r="O863" s="125"/>
      <c r="P863" s="173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spans="1:26" ht="15.75" customHeight="1">
      <c r="A864" s="125"/>
      <c r="B864" s="125"/>
      <c r="C864" s="125"/>
      <c r="D864" s="125"/>
      <c r="E864" s="125"/>
      <c r="F864" s="126"/>
      <c r="G864" s="125"/>
      <c r="H864" s="125"/>
      <c r="I864" s="125"/>
      <c r="J864" s="125"/>
      <c r="K864" s="125"/>
      <c r="L864" s="125"/>
      <c r="M864" s="125"/>
      <c r="N864" s="129"/>
      <c r="O864" s="125"/>
      <c r="P864" s="173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spans="1:26" ht="15.75" customHeight="1">
      <c r="A865" s="125"/>
      <c r="B865" s="125"/>
      <c r="C865" s="125"/>
      <c r="D865" s="125"/>
      <c r="E865" s="125"/>
      <c r="F865" s="126"/>
      <c r="G865" s="125"/>
      <c r="H865" s="125"/>
      <c r="I865" s="125"/>
      <c r="J865" s="125"/>
      <c r="K865" s="125"/>
      <c r="L865" s="125"/>
      <c r="M865" s="125"/>
      <c r="N865" s="129"/>
      <c r="O865" s="125"/>
      <c r="P865" s="173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spans="1:26" ht="15.75" customHeight="1">
      <c r="A866" s="125"/>
      <c r="B866" s="125"/>
      <c r="C866" s="125"/>
      <c r="D866" s="125"/>
      <c r="E866" s="125"/>
      <c r="F866" s="126"/>
      <c r="G866" s="125"/>
      <c r="H866" s="125"/>
      <c r="I866" s="125"/>
      <c r="J866" s="125"/>
      <c r="K866" s="125"/>
      <c r="L866" s="125"/>
      <c r="M866" s="125"/>
      <c r="N866" s="129"/>
      <c r="O866" s="125"/>
      <c r="P866" s="173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spans="1:26" ht="15.75" customHeight="1">
      <c r="A867" s="125"/>
      <c r="B867" s="125"/>
      <c r="C867" s="125"/>
      <c r="D867" s="125"/>
      <c r="E867" s="125"/>
      <c r="F867" s="126"/>
      <c r="G867" s="125"/>
      <c r="H867" s="125"/>
      <c r="I867" s="125"/>
      <c r="J867" s="125"/>
      <c r="K867" s="125"/>
      <c r="L867" s="125"/>
      <c r="M867" s="125"/>
      <c r="N867" s="129"/>
      <c r="O867" s="125"/>
      <c r="P867" s="173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spans="1:26" ht="15.75" customHeight="1">
      <c r="A868" s="125"/>
      <c r="B868" s="125"/>
      <c r="C868" s="125"/>
      <c r="D868" s="125"/>
      <c r="E868" s="125"/>
      <c r="F868" s="126"/>
      <c r="G868" s="125"/>
      <c r="H868" s="125"/>
      <c r="I868" s="125"/>
      <c r="J868" s="125"/>
      <c r="K868" s="125"/>
      <c r="L868" s="125"/>
      <c r="M868" s="125"/>
      <c r="N868" s="129"/>
      <c r="O868" s="125"/>
      <c r="P868" s="173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spans="1:26" ht="15.75" customHeight="1">
      <c r="A869" s="125"/>
      <c r="B869" s="125"/>
      <c r="C869" s="125"/>
      <c r="D869" s="125"/>
      <c r="E869" s="125"/>
      <c r="F869" s="126"/>
      <c r="G869" s="125"/>
      <c r="H869" s="125"/>
      <c r="I869" s="125"/>
      <c r="J869" s="125"/>
      <c r="K869" s="125"/>
      <c r="L869" s="125"/>
      <c r="M869" s="125"/>
      <c r="N869" s="129"/>
      <c r="O869" s="125"/>
      <c r="P869" s="173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spans="1:26" ht="15.75" customHeight="1">
      <c r="A870" s="125"/>
      <c r="B870" s="125"/>
      <c r="C870" s="125"/>
      <c r="D870" s="125"/>
      <c r="E870" s="125"/>
      <c r="F870" s="126"/>
      <c r="G870" s="125"/>
      <c r="H870" s="125"/>
      <c r="I870" s="125"/>
      <c r="J870" s="125"/>
      <c r="K870" s="125"/>
      <c r="L870" s="125"/>
      <c r="M870" s="125"/>
      <c r="N870" s="129"/>
      <c r="O870" s="125"/>
      <c r="P870" s="173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spans="1:26" ht="15.75" customHeight="1">
      <c r="A871" s="125"/>
      <c r="B871" s="125"/>
      <c r="C871" s="125"/>
      <c r="D871" s="125"/>
      <c r="E871" s="125"/>
      <c r="F871" s="126"/>
      <c r="G871" s="125"/>
      <c r="H871" s="125"/>
      <c r="I871" s="125"/>
      <c r="J871" s="125"/>
      <c r="K871" s="125"/>
      <c r="L871" s="125"/>
      <c r="M871" s="125"/>
      <c r="N871" s="129"/>
      <c r="O871" s="125"/>
      <c r="P871" s="173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spans="1:26" ht="15.75" customHeight="1">
      <c r="A872" s="125"/>
      <c r="B872" s="125"/>
      <c r="C872" s="125"/>
      <c r="D872" s="125"/>
      <c r="E872" s="125"/>
      <c r="F872" s="126"/>
      <c r="G872" s="125"/>
      <c r="H872" s="125"/>
      <c r="I872" s="125"/>
      <c r="J872" s="125"/>
      <c r="K872" s="125"/>
      <c r="L872" s="125"/>
      <c r="M872" s="125"/>
      <c r="N872" s="129"/>
      <c r="O872" s="125"/>
      <c r="P872" s="173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spans="1:26" ht="15.75" customHeight="1">
      <c r="A873" s="125"/>
      <c r="B873" s="125"/>
      <c r="C873" s="125"/>
      <c r="D873" s="125"/>
      <c r="E873" s="125"/>
      <c r="F873" s="126"/>
      <c r="G873" s="125"/>
      <c r="H873" s="125"/>
      <c r="I873" s="125"/>
      <c r="J873" s="125"/>
      <c r="K873" s="125"/>
      <c r="L873" s="125"/>
      <c r="M873" s="125"/>
      <c r="N873" s="129"/>
      <c r="O873" s="125"/>
      <c r="P873" s="173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spans="1:26" ht="15.75" customHeight="1">
      <c r="A874" s="125"/>
      <c r="B874" s="125"/>
      <c r="C874" s="125"/>
      <c r="D874" s="125"/>
      <c r="E874" s="125"/>
      <c r="F874" s="126"/>
      <c r="G874" s="125"/>
      <c r="H874" s="125"/>
      <c r="I874" s="125"/>
      <c r="J874" s="125"/>
      <c r="K874" s="125"/>
      <c r="L874" s="125"/>
      <c r="M874" s="125"/>
      <c r="N874" s="129"/>
      <c r="O874" s="125"/>
      <c r="P874" s="173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spans="1:26" ht="15.75" customHeight="1">
      <c r="A875" s="125"/>
      <c r="B875" s="125"/>
      <c r="C875" s="125"/>
      <c r="D875" s="125"/>
      <c r="E875" s="125"/>
      <c r="F875" s="126"/>
      <c r="G875" s="125"/>
      <c r="H875" s="125"/>
      <c r="I875" s="125"/>
      <c r="J875" s="125"/>
      <c r="K875" s="125"/>
      <c r="L875" s="125"/>
      <c r="M875" s="125"/>
      <c r="N875" s="129"/>
      <c r="O875" s="125"/>
      <c r="P875" s="173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spans="1:26" ht="15.75" customHeight="1">
      <c r="A876" s="125"/>
      <c r="B876" s="125"/>
      <c r="C876" s="125"/>
      <c r="D876" s="125"/>
      <c r="E876" s="125"/>
      <c r="F876" s="126"/>
      <c r="G876" s="125"/>
      <c r="H876" s="125"/>
      <c r="I876" s="125"/>
      <c r="J876" s="125"/>
      <c r="K876" s="125"/>
      <c r="L876" s="125"/>
      <c r="M876" s="125"/>
      <c r="N876" s="129"/>
      <c r="O876" s="125"/>
      <c r="P876" s="173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spans="1:26" ht="15.75" customHeight="1">
      <c r="A877" s="125"/>
      <c r="B877" s="125"/>
      <c r="C877" s="125"/>
      <c r="D877" s="125"/>
      <c r="E877" s="125"/>
      <c r="F877" s="126"/>
      <c r="G877" s="125"/>
      <c r="H877" s="125"/>
      <c r="I877" s="125"/>
      <c r="J877" s="125"/>
      <c r="K877" s="125"/>
      <c r="L877" s="125"/>
      <c r="M877" s="125"/>
      <c r="N877" s="129"/>
      <c r="O877" s="125"/>
      <c r="P877" s="173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spans="1:26" ht="15.75" customHeight="1">
      <c r="A878" s="125"/>
      <c r="B878" s="125"/>
      <c r="C878" s="125"/>
      <c r="D878" s="125"/>
      <c r="E878" s="125"/>
      <c r="F878" s="126"/>
      <c r="G878" s="125"/>
      <c r="H878" s="125"/>
      <c r="I878" s="125"/>
      <c r="J878" s="125"/>
      <c r="K878" s="125"/>
      <c r="L878" s="125"/>
      <c r="M878" s="125"/>
      <c r="N878" s="129"/>
      <c r="O878" s="125"/>
      <c r="P878" s="173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spans="1:26" ht="15.75" customHeight="1">
      <c r="A879" s="125"/>
      <c r="B879" s="125"/>
      <c r="C879" s="125"/>
      <c r="D879" s="125"/>
      <c r="E879" s="125"/>
      <c r="F879" s="126"/>
      <c r="G879" s="125"/>
      <c r="H879" s="125"/>
      <c r="I879" s="125"/>
      <c r="J879" s="125"/>
      <c r="K879" s="125"/>
      <c r="L879" s="125"/>
      <c r="M879" s="125"/>
      <c r="N879" s="129"/>
      <c r="O879" s="125"/>
      <c r="P879" s="173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spans="1:26" ht="15.75" customHeight="1">
      <c r="A880" s="125"/>
      <c r="B880" s="125"/>
      <c r="C880" s="125"/>
      <c r="D880" s="125"/>
      <c r="E880" s="125"/>
      <c r="F880" s="126"/>
      <c r="G880" s="125"/>
      <c r="H880" s="125"/>
      <c r="I880" s="125"/>
      <c r="J880" s="125"/>
      <c r="K880" s="125"/>
      <c r="L880" s="125"/>
      <c r="M880" s="125"/>
      <c r="N880" s="129"/>
      <c r="O880" s="125"/>
      <c r="P880" s="173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spans="1:26" ht="15.75" customHeight="1">
      <c r="A881" s="125"/>
      <c r="B881" s="125"/>
      <c r="C881" s="125"/>
      <c r="D881" s="125"/>
      <c r="E881" s="125"/>
      <c r="F881" s="126"/>
      <c r="G881" s="125"/>
      <c r="H881" s="125"/>
      <c r="I881" s="125"/>
      <c r="J881" s="125"/>
      <c r="K881" s="125"/>
      <c r="L881" s="125"/>
      <c r="M881" s="125"/>
      <c r="N881" s="129"/>
      <c r="O881" s="125"/>
      <c r="P881" s="173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spans="1:26" ht="15.75" customHeight="1">
      <c r="A882" s="125"/>
      <c r="B882" s="125"/>
      <c r="C882" s="125"/>
      <c r="D882" s="125"/>
      <c r="E882" s="125"/>
      <c r="F882" s="126"/>
      <c r="G882" s="125"/>
      <c r="H882" s="125"/>
      <c r="I882" s="125"/>
      <c r="J882" s="125"/>
      <c r="K882" s="125"/>
      <c r="L882" s="125"/>
      <c r="M882" s="125"/>
      <c r="N882" s="129"/>
      <c r="O882" s="125"/>
      <c r="P882" s="173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spans="1:26" ht="15.75" customHeight="1">
      <c r="A883" s="125"/>
      <c r="B883" s="125"/>
      <c r="C883" s="125"/>
      <c r="D883" s="125"/>
      <c r="E883" s="125"/>
      <c r="F883" s="126"/>
      <c r="G883" s="125"/>
      <c r="H883" s="125"/>
      <c r="I883" s="125"/>
      <c r="J883" s="125"/>
      <c r="K883" s="125"/>
      <c r="L883" s="125"/>
      <c r="M883" s="125"/>
      <c r="N883" s="129"/>
      <c r="O883" s="125"/>
      <c r="P883" s="173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spans="1:26" ht="15.75" customHeight="1">
      <c r="A884" s="125"/>
      <c r="B884" s="125"/>
      <c r="C884" s="125"/>
      <c r="D884" s="125"/>
      <c r="E884" s="125"/>
      <c r="F884" s="126"/>
      <c r="G884" s="125"/>
      <c r="H884" s="125"/>
      <c r="I884" s="125"/>
      <c r="J884" s="125"/>
      <c r="K884" s="125"/>
      <c r="L884" s="125"/>
      <c r="M884" s="125"/>
      <c r="N884" s="129"/>
      <c r="O884" s="125"/>
      <c r="P884" s="173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spans="1:26" ht="15.75" customHeight="1">
      <c r="A885" s="125"/>
      <c r="B885" s="125"/>
      <c r="C885" s="125"/>
      <c r="D885" s="125"/>
      <c r="E885" s="125"/>
      <c r="F885" s="126"/>
      <c r="G885" s="125"/>
      <c r="H885" s="125"/>
      <c r="I885" s="125"/>
      <c r="J885" s="125"/>
      <c r="K885" s="125"/>
      <c r="L885" s="125"/>
      <c r="M885" s="125"/>
      <c r="N885" s="129"/>
      <c r="O885" s="125"/>
      <c r="P885" s="173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spans="1:26" ht="15.75" customHeight="1">
      <c r="A886" s="125"/>
      <c r="B886" s="125"/>
      <c r="C886" s="125"/>
      <c r="D886" s="125"/>
      <c r="E886" s="125"/>
      <c r="F886" s="126"/>
      <c r="G886" s="125"/>
      <c r="H886" s="125"/>
      <c r="I886" s="125"/>
      <c r="J886" s="125"/>
      <c r="K886" s="125"/>
      <c r="L886" s="125"/>
      <c r="M886" s="125"/>
      <c r="N886" s="129"/>
      <c r="O886" s="125"/>
      <c r="P886" s="173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spans="1:26" ht="15.75" customHeight="1">
      <c r="A887" s="125"/>
      <c r="B887" s="125"/>
      <c r="C887" s="125"/>
      <c r="D887" s="125"/>
      <c r="E887" s="125"/>
      <c r="F887" s="126"/>
      <c r="G887" s="125"/>
      <c r="H887" s="125"/>
      <c r="I887" s="125"/>
      <c r="J887" s="125"/>
      <c r="K887" s="125"/>
      <c r="L887" s="125"/>
      <c r="M887" s="125"/>
      <c r="N887" s="129"/>
      <c r="O887" s="125"/>
      <c r="P887" s="173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spans="1:26" ht="15.75" customHeight="1">
      <c r="A888" s="125"/>
      <c r="B888" s="125"/>
      <c r="C888" s="125"/>
      <c r="D888" s="125"/>
      <c r="E888" s="125"/>
      <c r="F888" s="126"/>
      <c r="G888" s="125"/>
      <c r="H888" s="125"/>
      <c r="I888" s="125"/>
      <c r="J888" s="125"/>
      <c r="K888" s="125"/>
      <c r="L888" s="125"/>
      <c r="M888" s="125"/>
      <c r="N888" s="129"/>
      <c r="O888" s="125"/>
      <c r="P888" s="173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spans="1:26" ht="15.75" customHeight="1">
      <c r="A889" s="125"/>
      <c r="B889" s="125"/>
      <c r="C889" s="125"/>
      <c r="D889" s="125"/>
      <c r="E889" s="125"/>
      <c r="F889" s="126"/>
      <c r="G889" s="125"/>
      <c r="H889" s="125"/>
      <c r="I889" s="125"/>
      <c r="J889" s="125"/>
      <c r="K889" s="125"/>
      <c r="L889" s="125"/>
      <c r="M889" s="125"/>
      <c r="N889" s="129"/>
      <c r="O889" s="125"/>
      <c r="P889" s="173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spans="1:26" ht="15.75" customHeight="1">
      <c r="A890" s="125"/>
      <c r="B890" s="125"/>
      <c r="C890" s="125"/>
      <c r="D890" s="125"/>
      <c r="E890" s="125"/>
      <c r="F890" s="126"/>
      <c r="G890" s="125"/>
      <c r="H890" s="125"/>
      <c r="I890" s="125"/>
      <c r="J890" s="125"/>
      <c r="K890" s="125"/>
      <c r="L890" s="125"/>
      <c r="M890" s="125"/>
      <c r="N890" s="129"/>
      <c r="O890" s="125"/>
      <c r="P890" s="173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spans="1:26" ht="15.75" customHeight="1">
      <c r="A891" s="125"/>
      <c r="B891" s="125"/>
      <c r="C891" s="125"/>
      <c r="D891" s="125"/>
      <c r="E891" s="125"/>
      <c r="F891" s="126"/>
      <c r="G891" s="125"/>
      <c r="H891" s="125"/>
      <c r="I891" s="125"/>
      <c r="J891" s="125"/>
      <c r="K891" s="125"/>
      <c r="L891" s="125"/>
      <c r="M891" s="125"/>
      <c r="N891" s="129"/>
      <c r="O891" s="125"/>
      <c r="P891" s="173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spans="1:26" ht="15.75" customHeight="1">
      <c r="A892" s="125"/>
      <c r="B892" s="125"/>
      <c r="C892" s="125"/>
      <c r="D892" s="125"/>
      <c r="E892" s="125"/>
      <c r="F892" s="126"/>
      <c r="G892" s="125"/>
      <c r="H892" s="125"/>
      <c r="I892" s="125"/>
      <c r="J892" s="125"/>
      <c r="K892" s="125"/>
      <c r="L892" s="125"/>
      <c r="M892" s="125"/>
      <c r="N892" s="129"/>
      <c r="O892" s="125"/>
      <c r="P892" s="173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spans="1:26" ht="15.75" customHeight="1">
      <c r="A893" s="125"/>
      <c r="B893" s="125"/>
      <c r="C893" s="125"/>
      <c r="D893" s="125"/>
      <c r="E893" s="125"/>
      <c r="F893" s="126"/>
      <c r="G893" s="125"/>
      <c r="H893" s="125"/>
      <c r="I893" s="125"/>
      <c r="J893" s="125"/>
      <c r="K893" s="125"/>
      <c r="L893" s="125"/>
      <c r="M893" s="125"/>
      <c r="N893" s="129"/>
      <c r="O893" s="125"/>
      <c r="P893" s="173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spans="1:26" ht="15.75" customHeight="1">
      <c r="A894" s="125"/>
      <c r="B894" s="125"/>
      <c r="C894" s="125"/>
      <c r="D894" s="125"/>
      <c r="E894" s="125"/>
      <c r="F894" s="126"/>
      <c r="G894" s="125"/>
      <c r="H894" s="125"/>
      <c r="I894" s="125"/>
      <c r="J894" s="125"/>
      <c r="K894" s="125"/>
      <c r="L894" s="125"/>
      <c r="M894" s="125"/>
      <c r="N894" s="129"/>
      <c r="O894" s="125"/>
      <c r="P894" s="173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spans="1:26" ht="15.75" customHeight="1">
      <c r="A895" s="125"/>
      <c r="B895" s="125"/>
      <c r="C895" s="125"/>
      <c r="D895" s="125"/>
      <c r="E895" s="125"/>
      <c r="F895" s="126"/>
      <c r="G895" s="125"/>
      <c r="H895" s="125"/>
      <c r="I895" s="125"/>
      <c r="J895" s="125"/>
      <c r="K895" s="125"/>
      <c r="L895" s="125"/>
      <c r="M895" s="125"/>
      <c r="N895" s="129"/>
      <c r="O895" s="125"/>
      <c r="P895" s="173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spans="1:26" ht="15.75" customHeight="1">
      <c r="A896" s="125"/>
      <c r="B896" s="125"/>
      <c r="C896" s="125"/>
      <c r="D896" s="125"/>
      <c r="E896" s="125"/>
      <c r="F896" s="126"/>
      <c r="G896" s="125"/>
      <c r="H896" s="125"/>
      <c r="I896" s="125"/>
      <c r="J896" s="125"/>
      <c r="K896" s="125"/>
      <c r="L896" s="125"/>
      <c r="M896" s="125"/>
      <c r="N896" s="129"/>
      <c r="O896" s="125"/>
      <c r="P896" s="173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spans="1:26" ht="15.75" customHeight="1">
      <c r="A897" s="125"/>
      <c r="B897" s="125"/>
      <c r="C897" s="125"/>
      <c r="D897" s="125"/>
      <c r="E897" s="125"/>
      <c r="F897" s="126"/>
      <c r="G897" s="125"/>
      <c r="H897" s="125"/>
      <c r="I897" s="125"/>
      <c r="J897" s="125"/>
      <c r="K897" s="125"/>
      <c r="L897" s="125"/>
      <c r="M897" s="125"/>
      <c r="N897" s="129"/>
      <c r="O897" s="125"/>
      <c r="P897" s="173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spans="1:26" ht="15.75" customHeight="1">
      <c r="A898" s="125"/>
      <c r="B898" s="125"/>
      <c r="C898" s="125"/>
      <c r="D898" s="125"/>
      <c r="E898" s="125"/>
      <c r="F898" s="126"/>
      <c r="G898" s="125"/>
      <c r="H898" s="125"/>
      <c r="I898" s="125"/>
      <c r="J898" s="125"/>
      <c r="K898" s="125"/>
      <c r="L898" s="125"/>
      <c r="M898" s="125"/>
      <c r="N898" s="129"/>
      <c r="O898" s="125"/>
      <c r="P898" s="173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spans="1:26" ht="15.75" customHeight="1">
      <c r="A899" s="125"/>
      <c r="B899" s="125"/>
      <c r="C899" s="125"/>
      <c r="D899" s="125"/>
      <c r="E899" s="125"/>
      <c r="F899" s="126"/>
      <c r="G899" s="125"/>
      <c r="H899" s="125"/>
      <c r="I899" s="125"/>
      <c r="J899" s="125"/>
      <c r="K899" s="125"/>
      <c r="L899" s="125"/>
      <c r="M899" s="125"/>
      <c r="N899" s="129"/>
      <c r="O899" s="125"/>
      <c r="P899" s="173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spans="1:26" ht="15.75" customHeight="1">
      <c r="A900" s="125"/>
      <c r="B900" s="125"/>
      <c r="C900" s="125"/>
      <c r="D900" s="125"/>
      <c r="E900" s="125"/>
      <c r="F900" s="126"/>
      <c r="G900" s="125"/>
      <c r="H900" s="125"/>
      <c r="I900" s="125"/>
      <c r="J900" s="125"/>
      <c r="K900" s="125"/>
      <c r="L900" s="125"/>
      <c r="M900" s="125"/>
      <c r="N900" s="129"/>
      <c r="O900" s="125"/>
      <c r="P900" s="173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spans="1:26" ht="15.75" customHeight="1">
      <c r="A901" s="125"/>
      <c r="B901" s="125"/>
      <c r="C901" s="125"/>
      <c r="D901" s="125"/>
      <c r="E901" s="125"/>
      <c r="F901" s="126"/>
      <c r="G901" s="125"/>
      <c r="H901" s="125"/>
      <c r="I901" s="125"/>
      <c r="J901" s="125"/>
      <c r="K901" s="125"/>
      <c r="L901" s="125"/>
      <c r="M901" s="125"/>
      <c r="N901" s="129"/>
      <c r="O901" s="125"/>
      <c r="P901" s="173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spans="1:26" ht="15.75" customHeight="1">
      <c r="A902" s="125"/>
      <c r="B902" s="125"/>
      <c r="C902" s="125"/>
      <c r="D902" s="125"/>
      <c r="E902" s="125"/>
      <c r="F902" s="126"/>
      <c r="G902" s="125"/>
      <c r="H902" s="125"/>
      <c r="I902" s="125"/>
      <c r="J902" s="125"/>
      <c r="K902" s="125"/>
      <c r="L902" s="125"/>
      <c r="M902" s="125"/>
      <c r="N902" s="129"/>
      <c r="O902" s="125"/>
      <c r="P902" s="173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spans="1:26" ht="15.75" customHeight="1">
      <c r="A903" s="125"/>
      <c r="B903" s="125"/>
      <c r="C903" s="125"/>
      <c r="D903" s="125"/>
      <c r="E903" s="125"/>
      <c r="F903" s="126"/>
      <c r="G903" s="125"/>
      <c r="H903" s="125"/>
      <c r="I903" s="125"/>
      <c r="J903" s="125"/>
      <c r="K903" s="125"/>
      <c r="L903" s="125"/>
      <c r="M903" s="125"/>
      <c r="N903" s="129"/>
      <c r="O903" s="125"/>
      <c r="P903" s="173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spans="1:26" ht="15.75" customHeight="1">
      <c r="A904" s="125"/>
      <c r="B904" s="125"/>
      <c r="C904" s="125"/>
      <c r="D904" s="125"/>
      <c r="E904" s="125"/>
      <c r="F904" s="126"/>
      <c r="G904" s="125"/>
      <c r="H904" s="125"/>
      <c r="I904" s="125"/>
      <c r="J904" s="125"/>
      <c r="K904" s="125"/>
      <c r="L904" s="125"/>
      <c r="M904" s="125"/>
      <c r="N904" s="129"/>
      <c r="O904" s="125"/>
      <c r="P904" s="173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spans="1:26" ht="15.75" customHeight="1">
      <c r="A905" s="125"/>
      <c r="B905" s="125"/>
      <c r="C905" s="125"/>
      <c r="D905" s="125"/>
      <c r="E905" s="125"/>
      <c r="F905" s="126"/>
      <c r="G905" s="125"/>
      <c r="H905" s="125"/>
      <c r="I905" s="125"/>
      <c r="J905" s="125"/>
      <c r="K905" s="125"/>
      <c r="L905" s="125"/>
      <c r="M905" s="125"/>
      <c r="N905" s="129"/>
      <c r="O905" s="125"/>
      <c r="P905" s="173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spans="1:26" ht="15.75" customHeight="1">
      <c r="A906" s="125"/>
      <c r="B906" s="125"/>
      <c r="C906" s="125"/>
      <c r="D906" s="125"/>
      <c r="E906" s="125"/>
      <c r="F906" s="126"/>
      <c r="G906" s="125"/>
      <c r="H906" s="125"/>
      <c r="I906" s="125"/>
      <c r="J906" s="125"/>
      <c r="K906" s="125"/>
      <c r="L906" s="125"/>
      <c r="M906" s="125"/>
      <c r="N906" s="129"/>
      <c r="O906" s="125"/>
      <c r="P906" s="173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spans="1:26" ht="15.75" customHeight="1">
      <c r="A907" s="125"/>
      <c r="B907" s="125"/>
      <c r="C907" s="125"/>
      <c r="D907" s="125"/>
      <c r="E907" s="125"/>
      <c r="F907" s="126"/>
      <c r="G907" s="125"/>
      <c r="H907" s="125"/>
      <c r="I907" s="125"/>
      <c r="J907" s="125"/>
      <c r="K907" s="125"/>
      <c r="L907" s="125"/>
      <c r="M907" s="125"/>
      <c r="N907" s="129"/>
      <c r="O907" s="125"/>
      <c r="P907" s="173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spans="1:26" ht="15.75" customHeight="1">
      <c r="A908" s="125"/>
      <c r="B908" s="125"/>
      <c r="C908" s="125"/>
      <c r="D908" s="125"/>
      <c r="E908" s="125"/>
      <c r="F908" s="126"/>
      <c r="G908" s="125"/>
      <c r="H908" s="125"/>
      <c r="I908" s="125"/>
      <c r="J908" s="125"/>
      <c r="K908" s="125"/>
      <c r="L908" s="125"/>
      <c r="M908" s="125"/>
      <c r="N908" s="129"/>
      <c r="O908" s="125"/>
      <c r="P908" s="173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spans="1:26" ht="15.75" customHeight="1">
      <c r="A909" s="125"/>
      <c r="B909" s="125"/>
      <c r="C909" s="125"/>
      <c r="D909" s="125"/>
      <c r="E909" s="125"/>
      <c r="F909" s="126"/>
      <c r="G909" s="125"/>
      <c r="H909" s="125"/>
      <c r="I909" s="125"/>
      <c r="J909" s="125"/>
      <c r="K909" s="125"/>
      <c r="L909" s="125"/>
      <c r="M909" s="125"/>
      <c r="N909" s="129"/>
      <c r="O909" s="125"/>
      <c r="P909" s="173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spans="1:26" ht="15.75" customHeight="1">
      <c r="A910" s="125"/>
      <c r="B910" s="125"/>
      <c r="C910" s="125"/>
      <c r="D910" s="125"/>
      <c r="E910" s="125"/>
      <c r="F910" s="126"/>
      <c r="G910" s="125"/>
      <c r="H910" s="125"/>
      <c r="I910" s="125"/>
      <c r="J910" s="125"/>
      <c r="K910" s="125"/>
      <c r="L910" s="125"/>
      <c r="M910" s="125"/>
      <c r="N910" s="129"/>
      <c r="O910" s="125"/>
      <c r="P910" s="173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spans="1:26" ht="15.75" customHeight="1">
      <c r="A911" s="125"/>
      <c r="B911" s="125"/>
      <c r="C911" s="125"/>
      <c r="D911" s="125"/>
      <c r="E911" s="125"/>
      <c r="F911" s="126"/>
      <c r="G911" s="125"/>
      <c r="H911" s="125"/>
      <c r="I911" s="125"/>
      <c r="J911" s="125"/>
      <c r="K911" s="125"/>
      <c r="L911" s="125"/>
      <c r="M911" s="125"/>
      <c r="N911" s="129"/>
      <c r="O911" s="125"/>
      <c r="P911" s="173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spans="1:26" ht="15.75" customHeight="1">
      <c r="A912" s="125"/>
      <c r="B912" s="125"/>
      <c r="C912" s="125"/>
      <c r="D912" s="125"/>
      <c r="E912" s="125"/>
      <c r="F912" s="126"/>
      <c r="G912" s="125"/>
      <c r="H912" s="125"/>
      <c r="I912" s="125"/>
      <c r="J912" s="125"/>
      <c r="K912" s="125"/>
      <c r="L912" s="125"/>
      <c r="M912" s="125"/>
      <c r="N912" s="129"/>
      <c r="O912" s="125"/>
      <c r="P912" s="173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spans="1:26" ht="15.75" customHeight="1">
      <c r="A913" s="125"/>
      <c r="B913" s="125"/>
      <c r="C913" s="125"/>
      <c r="D913" s="125"/>
      <c r="E913" s="125"/>
      <c r="F913" s="126"/>
      <c r="G913" s="125"/>
      <c r="H913" s="125"/>
      <c r="I913" s="125"/>
      <c r="J913" s="125"/>
      <c r="K913" s="125"/>
      <c r="L913" s="125"/>
      <c r="M913" s="125"/>
      <c r="N913" s="129"/>
      <c r="O913" s="125"/>
      <c r="P913" s="173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spans="1:26" ht="15.75" customHeight="1">
      <c r="A914" s="125"/>
      <c r="B914" s="125"/>
      <c r="C914" s="125"/>
      <c r="D914" s="125"/>
      <c r="E914" s="125"/>
      <c r="F914" s="126"/>
      <c r="G914" s="125"/>
      <c r="H914" s="125"/>
      <c r="I914" s="125"/>
      <c r="J914" s="125"/>
      <c r="K914" s="125"/>
      <c r="L914" s="125"/>
      <c r="M914" s="125"/>
      <c r="N914" s="129"/>
      <c r="O914" s="125"/>
      <c r="P914" s="173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spans="1:26" ht="15.75" customHeight="1">
      <c r="A915" s="125"/>
      <c r="B915" s="125"/>
      <c r="C915" s="125"/>
      <c r="D915" s="125"/>
      <c r="E915" s="125"/>
      <c r="F915" s="126"/>
      <c r="G915" s="125"/>
      <c r="H915" s="125"/>
      <c r="I915" s="125"/>
      <c r="J915" s="125"/>
      <c r="K915" s="125"/>
      <c r="L915" s="125"/>
      <c r="M915" s="125"/>
      <c r="N915" s="129"/>
      <c r="O915" s="125"/>
      <c r="P915" s="173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spans="1:26" ht="15.75" customHeight="1">
      <c r="A916" s="125"/>
      <c r="B916" s="125"/>
      <c r="C916" s="125"/>
      <c r="D916" s="125"/>
      <c r="E916" s="125"/>
      <c r="F916" s="126"/>
      <c r="G916" s="125"/>
      <c r="H916" s="125"/>
      <c r="I916" s="125"/>
      <c r="J916" s="125"/>
      <c r="K916" s="125"/>
      <c r="L916" s="125"/>
      <c r="M916" s="125"/>
      <c r="N916" s="129"/>
      <c r="O916" s="125"/>
      <c r="P916" s="173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spans="1:26" ht="15.75" customHeight="1">
      <c r="A917" s="125"/>
      <c r="B917" s="125"/>
      <c r="C917" s="125"/>
      <c r="D917" s="125"/>
      <c r="E917" s="125"/>
      <c r="F917" s="126"/>
      <c r="G917" s="125"/>
      <c r="H917" s="125"/>
      <c r="I917" s="125"/>
      <c r="J917" s="125"/>
      <c r="K917" s="125"/>
      <c r="L917" s="125"/>
      <c r="M917" s="125"/>
      <c r="N917" s="129"/>
      <c r="O917" s="125"/>
      <c r="P917" s="173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spans="1:26" ht="15.75" customHeight="1">
      <c r="A918" s="125"/>
      <c r="B918" s="125"/>
      <c r="C918" s="125"/>
      <c r="D918" s="125"/>
      <c r="E918" s="125"/>
      <c r="F918" s="126"/>
      <c r="G918" s="125"/>
      <c r="H918" s="125"/>
      <c r="I918" s="125"/>
      <c r="J918" s="125"/>
      <c r="K918" s="125"/>
      <c r="L918" s="125"/>
      <c r="M918" s="125"/>
      <c r="N918" s="129"/>
      <c r="O918" s="125"/>
      <c r="P918" s="173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spans="1:26" ht="15.75" customHeight="1">
      <c r="A919" s="125"/>
      <c r="B919" s="125"/>
      <c r="C919" s="125"/>
      <c r="D919" s="125"/>
      <c r="E919" s="125"/>
      <c r="F919" s="126"/>
      <c r="G919" s="125"/>
      <c r="H919" s="125"/>
      <c r="I919" s="125"/>
      <c r="J919" s="125"/>
      <c r="K919" s="125"/>
      <c r="L919" s="125"/>
      <c r="M919" s="125"/>
      <c r="N919" s="129"/>
      <c r="O919" s="125"/>
      <c r="P919" s="173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spans="1:26" ht="15.75" customHeight="1">
      <c r="A920" s="125"/>
      <c r="B920" s="125"/>
      <c r="C920" s="125"/>
      <c r="D920" s="125"/>
      <c r="E920" s="125"/>
      <c r="F920" s="126"/>
      <c r="G920" s="125"/>
      <c r="H920" s="125"/>
      <c r="I920" s="125"/>
      <c r="J920" s="125"/>
      <c r="K920" s="125"/>
      <c r="L920" s="125"/>
      <c r="M920" s="125"/>
      <c r="N920" s="129"/>
      <c r="O920" s="125"/>
      <c r="P920" s="173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spans="1:26" ht="15.75" customHeight="1">
      <c r="A921" s="125"/>
      <c r="B921" s="125"/>
      <c r="C921" s="125"/>
      <c r="D921" s="125"/>
      <c r="E921" s="125"/>
      <c r="F921" s="126"/>
      <c r="G921" s="125"/>
      <c r="H921" s="125"/>
      <c r="I921" s="125"/>
      <c r="J921" s="125"/>
      <c r="K921" s="125"/>
      <c r="L921" s="125"/>
      <c r="M921" s="125"/>
      <c r="N921" s="129"/>
      <c r="O921" s="125"/>
      <c r="P921" s="173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spans="1:26" ht="15.75" customHeight="1">
      <c r="A922" s="125"/>
      <c r="B922" s="125"/>
      <c r="C922" s="125"/>
      <c r="D922" s="125"/>
      <c r="E922" s="125"/>
      <c r="F922" s="126"/>
      <c r="G922" s="125"/>
      <c r="H922" s="125"/>
      <c r="I922" s="125"/>
      <c r="J922" s="125"/>
      <c r="K922" s="125"/>
      <c r="L922" s="125"/>
      <c r="M922" s="125"/>
      <c r="N922" s="129"/>
      <c r="O922" s="125"/>
      <c r="P922" s="173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spans="1:26" ht="15.75" customHeight="1">
      <c r="A923" s="125"/>
      <c r="B923" s="125"/>
      <c r="C923" s="125"/>
      <c r="D923" s="125"/>
      <c r="E923" s="125"/>
      <c r="F923" s="126"/>
      <c r="G923" s="125"/>
      <c r="H923" s="125"/>
      <c r="I923" s="125"/>
      <c r="J923" s="125"/>
      <c r="K923" s="125"/>
      <c r="L923" s="125"/>
      <c r="M923" s="125"/>
      <c r="N923" s="129"/>
      <c r="O923" s="125"/>
      <c r="P923" s="173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spans="1:26" ht="15.75" customHeight="1">
      <c r="A924" s="125"/>
      <c r="B924" s="125"/>
      <c r="C924" s="125"/>
      <c r="D924" s="125"/>
      <c r="E924" s="125"/>
      <c r="F924" s="126"/>
      <c r="G924" s="125"/>
      <c r="H924" s="125"/>
      <c r="I924" s="125"/>
      <c r="J924" s="125"/>
      <c r="K924" s="125"/>
      <c r="L924" s="125"/>
      <c r="M924" s="125"/>
      <c r="N924" s="129"/>
      <c r="O924" s="125"/>
      <c r="P924" s="173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spans="1:26" ht="15.75" customHeight="1">
      <c r="A925" s="125"/>
      <c r="B925" s="125"/>
      <c r="C925" s="125"/>
      <c r="D925" s="125"/>
      <c r="E925" s="125"/>
      <c r="F925" s="126"/>
      <c r="G925" s="125"/>
      <c r="H925" s="125"/>
      <c r="I925" s="125"/>
      <c r="J925" s="125"/>
      <c r="K925" s="125"/>
      <c r="L925" s="125"/>
      <c r="M925" s="125"/>
      <c r="N925" s="129"/>
      <c r="O925" s="125"/>
      <c r="P925" s="173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spans="1:26" ht="15.75" customHeight="1">
      <c r="A926" s="125"/>
      <c r="B926" s="125"/>
      <c r="C926" s="125"/>
      <c r="D926" s="125"/>
      <c r="E926" s="125"/>
      <c r="F926" s="126"/>
      <c r="G926" s="125"/>
      <c r="H926" s="125"/>
      <c r="I926" s="125"/>
      <c r="J926" s="125"/>
      <c r="K926" s="125"/>
      <c r="L926" s="125"/>
      <c r="M926" s="125"/>
      <c r="N926" s="129"/>
      <c r="O926" s="125"/>
      <c r="P926" s="173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spans="1:26" ht="15.75" customHeight="1">
      <c r="A927" s="125"/>
      <c r="B927" s="125"/>
      <c r="C927" s="125"/>
      <c r="D927" s="125"/>
      <c r="E927" s="125"/>
      <c r="F927" s="126"/>
      <c r="G927" s="125"/>
      <c r="H927" s="125"/>
      <c r="I927" s="125"/>
      <c r="J927" s="125"/>
      <c r="K927" s="125"/>
      <c r="L927" s="125"/>
      <c r="M927" s="125"/>
      <c r="N927" s="129"/>
      <c r="O927" s="125"/>
      <c r="P927" s="173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spans="1:26" ht="15.75" customHeight="1">
      <c r="A928" s="125"/>
      <c r="B928" s="125"/>
      <c r="C928" s="125"/>
      <c r="D928" s="125"/>
      <c r="E928" s="125"/>
      <c r="F928" s="126"/>
      <c r="G928" s="125"/>
      <c r="H928" s="125"/>
      <c r="I928" s="125"/>
      <c r="J928" s="125"/>
      <c r="K928" s="125"/>
      <c r="L928" s="125"/>
      <c r="M928" s="125"/>
      <c r="N928" s="129"/>
      <c r="O928" s="125"/>
      <c r="P928" s="173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spans="1:26" ht="15.75" customHeight="1">
      <c r="A929" s="125"/>
      <c r="B929" s="125"/>
      <c r="C929" s="125"/>
      <c r="D929" s="125"/>
      <c r="E929" s="125"/>
      <c r="F929" s="126"/>
      <c r="G929" s="125"/>
      <c r="H929" s="125"/>
      <c r="I929" s="125"/>
      <c r="J929" s="125"/>
      <c r="K929" s="125"/>
      <c r="L929" s="125"/>
      <c r="M929" s="125"/>
      <c r="N929" s="129"/>
      <c r="O929" s="125"/>
      <c r="P929" s="173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spans="1:26" ht="15.75" customHeight="1">
      <c r="A930" s="125"/>
      <c r="B930" s="125"/>
      <c r="C930" s="125"/>
      <c r="D930" s="125"/>
      <c r="E930" s="125"/>
      <c r="F930" s="126"/>
      <c r="G930" s="125"/>
      <c r="H930" s="125"/>
      <c r="I930" s="125"/>
      <c r="J930" s="125"/>
      <c r="K930" s="125"/>
      <c r="L930" s="125"/>
      <c r="M930" s="125"/>
      <c r="N930" s="129"/>
      <c r="O930" s="125"/>
      <c r="P930" s="173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spans="1:26" ht="15.75" customHeight="1">
      <c r="A931" s="125"/>
      <c r="B931" s="125"/>
      <c r="C931" s="125"/>
      <c r="D931" s="125"/>
      <c r="E931" s="125"/>
      <c r="F931" s="126"/>
      <c r="G931" s="125"/>
      <c r="H931" s="125"/>
      <c r="I931" s="125"/>
      <c r="J931" s="125"/>
      <c r="K931" s="125"/>
      <c r="L931" s="125"/>
      <c r="M931" s="125"/>
      <c r="N931" s="129"/>
      <c r="O931" s="125"/>
      <c r="P931" s="173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spans="1:26" ht="15.75" customHeight="1">
      <c r="A932" s="125"/>
      <c r="B932" s="125"/>
      <c r="C932" s="125"/>
      <c r="D932" s="125"/>
      <c r="E932" s="125"/>
      <c r="F932" s="126"/>
      <c r="G932" s="125"/>
      <c r="H932" s="125"/>
      <c r="I932" s="125"/>
      <c r="J932" s="125"/>
      <c r="K932" s="125"/>
      <c r="L932" s="125"/>
      <c r="M932" s="125"/>
      <c r="N932" s="129"/>
      <c r="O932" s="125"/>
      <c r="P932" s="173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spans="1:26" ht="15.75" customHeight="1">
      <c r="A933" s="125"/>
      <c r="B933" s="125"/>
      <c r="C933" s="125"/>
      <c r="D933" s="125"/>
      <c r="E933" s="125"/>
      <c r="F933" s="126"/>
      <c r="G933" s="125"/>
      <c r="H933" s="125"/>
      <c r="I933" s="125"/>
      <c r="J933" s="125"/>
      <c r="K933" s="125"/>
      <c r="L933" s="125"/>
      <c r="M933" s="125"/>
      <c r="N933" s="129"/>
      <c r="O933" s="125"/>
      <c r="P933" s="173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spans="1:26" ht="15.75" customHeight="1">
      <c r="A934" s="125"/>
      <c r="B934" s="125"/>
      <c r="C934" s="125"/>
      <c r="D934" s="125"/>
      <c r="E934" s="125"/>
      <c r="F934" s="126"/>
      <c r="G934" s="125"/>
      <c r="H934" s="125"/>
      <c r="I934" s="125"/>
      <c r="J934" s="125"/>
      <c r="K934" s="125"/>
      <c r="L934" s="125"/>
      <c r="M934" s="125"/>
      <c r="N934" s="129"/>
      <c r="O934" s="125"/>
      <c r="P934" s="173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spans="1:26" ht="15.75" customHeight="1">
      <c r="A935" s="125"/>
      <c r="B935" s="125"/>
      <c r="C935" s="125"/>
      <c r="D935" s="125"/>
      <c r="E935" s="125"/>
      <c r="F935" s="126"/>
      <c r="G935" s="125"/>
      <c r="H935" s="125"/>
      <c r="I935" s="125"/>
      <c r="J935" s="125"/>
      <c r="K935" s="125"/>
      <c r="L935" s="125"/>
      <c r="M935" s="125"/>
      <c r="N935" s="129"/>
      <c r="O935" s="125"/>
      <c r="P935" s="173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spans="1:26" ht="15.75" customHeight="1">
      <c r="A936" s="125"/>
      <c r="B936" s="125"/>
      <c r="C936" s="125"/>
      <c r="D936" s="125"/>
      <c r="E936" s="125"/>
      <c r="F936" s="126"/>
      <c r="G936" s="125"/>
      <c r="H936" s="125"/>
      <c r="I936" s="125"/>
      <c r="J936" s="125"/>
      <c r="K936" s="125"/>
      <c r="L936" s="125"/>
      <c r="M936" s="125"/>
      <c r="N936" s="129"/>
      <c r="O936" s="125"/>
      <c r="P936" s="173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spans="1:26" ht="15.75" customHeight="1">
      <c r="A937" s="125"/>
      <c r="B937" s="125"/>
      <c r="C937" s="125"/>
      <c r="D937" s="125"/>
      <c r="E937" s="125"/>
      <c r="F937" s="126"/>
      <c r="G937" s="125"/>
      <c r="H937" s="125"/>
      <c r="I937" s="125"/>
      <c r="J937" s="125"/>
      <c r="K937" s="125"/>
      <c r="L937" s="125"/>
      <c r="M937" s="125"/>
      <c r="N937" s="129"/>
      <c r="O937" s="125"/>
      <c r="P937" s="173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spans="1:26" ht="15.75" customHeight="1">
      <c r="A938" s="125"/>
      <c r="B938" s="125"/>
      <c r="C938" s="125"/>
      <c r="D938" s="125"/>
      <c r="E938" s="125"/>
      <c r="F938" s="126"/>
      <c r="G938" s="125"/>
      <c r="H938" s="125"/>
      <c r="I938" s="125"/>
      <c r="J938" s="125"/>
      <c r="K938" s="125"/>
      <c r="L938" s="125"/>
      <c r="M938" s="125"/>
      <c r="N938" s="129"/>
      <c r="O938" s="125"/>
      <c r="P938" s="173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spans="1:26" ht="15.75" customHeight="1">
      <c r="A939" s="125"/>
      <c r="B939" s="125"/>
      <c r="C939" s="125"/>
      <c r="D939" s="125"/>
      <c r="E939" s="125"/>
      <c r="F939" s="126"/>
      <c r="G939" s="125"/>
      <c r="H939" s="125"/>
      <c r="I939" s="125"/>
      <c r="J939" s="125"/>
      <c r="K939" s="125"/>
      <c r="L939" s="125"/>
      <c r="M939" s="125"/>
      <c r="N939" s="129"/>
      <c r="O939" s="125"/>
      <c r="P939" s="173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spans="1:26" ht="15.75" customHeight="1">
      <c r="A940" s="125"/>
      <c r="B940" s="125"/>
      <c r="C940" s="125"/>
      <c r="D940" s="125"/>
      <c r="E940" s="125"/>
      <c r="F940" s="126"/>
      <c r="G940" s="125"/>
      <c r="H940" s="125"/>
      <c r="I940" s="125"/>
      <c r="J940" s="125"/>
      <c r="K940" s="125"/>
      <c r="L940" s="125"/>
      <c r="M940" s="125"/>
      <c r="N940" s="129"/>
      <c r="O940" s="125"/>
      <c r="P940" s="173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spans="1:26" ht="15.75" customHeight="1">
      <c r="A941" s="125"/>
      <c r="B941" s="125"/>
      <c r="C941" s="125"/>
      <c r="D941" s="125"/>
      <c r="E941" s="125"/>
      <c r="F941" s="126"/>
      <c r="G941" s="125"/>
      <c r="H941" s="125"/>
      <c r="I941" s="125"/>
      <c r="J941" s="125"/>
      <c r="K941" s="125"/>
      <c r="L941" s="125"/>
      <c r="M941" s="125"/>
      <c r="N941" s="129"/>
      <c r="O941" s="125"/>
      <c r="P941" s="173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spans="1:26" ht="15.75" customHeight="1">
      <c r="A942" s="125"/>
      <c r="B942" s="125"/>
      <c r="C942" s="125"/>
      <c r="D942" s="125"/>
      <c r="E942" s="125"/>
      <c r="F942" s="126"/>
      <c r="G942" s="125"/>
      <c r="H942" s="125"/>
      <c r="I942" s="125"/>
      <c r="J942" s="125"/>
      <c r="K942" s="125"/>
      <c r="L942" s="125"/>
      <c r="M942" s="125"/>
      <c r="N942" s="129"/>
      <c r="O942" s="125"/>
      <c r="P942" s="173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spans="1:26" ht="15.75" customHeight="1">
      <c r="A943" s="125"/>
      <c r="B943" s="125"/>
      <c r="C943" s="125"/>
      <c r="D943" s="125"/>
      <c r="E943" s="125"/>
      <c r="F943" s="126"/>
      <c r="G943" s="125"/>
      <c r="H943" s="125"/>
      <c r="I943" s="125"/>
      <c r="J943" s="125"/>
      <c r="K943" s="125"/>
      <c r="L943" s="125"/>
      <c r="M943" s="125"/>
      <c r="N943" s="129"/>
      <c r="O943" s="125"/>
      <c r="P943" s="173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spans="1:26" ht="15.75" customHeight="1">
      <c r="A944" s="125"/>
      <c r="B944" s="125"/>
      <c r="C944" s="125"/>
      <c r="D944" s="125"/>
      <c r="E944" s="125"/>
      <c r="F944" s="126"/>
      <c r="G944" s="125"/>
      <c r="H944" s="125"/>
      <c r="I944" s="125"/>
      <c r="J944" s="125"/>
      <c r="K944" s="125"/>
      <c r="L944" s="125"/>
      <c r="M944" s="125"/>
      <c r="N944" s="129"/>
      <c r="O944" s="125"/>
      <c r="P944" s="173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spans="1:26" ht="15.75" customHeight="1">
      <c r="A945" s="125"/>
      <c r="B945" s="125"/>
      <c r="C945" s="125"/>
      <c r="D945" s="125"/>
      <c r="E945" s="125"/>
      <c r="F945" s="126"/>
      <c r="G945" s="125"/>
      <c r="H945" s="125"/>
      <c r="I945" s="125"/>
      <c r="J945" s="125"/>
      <c r="K945" s="125"/>
      <c r="L945" s="125"/>
      <c r="M945" s="125"/>
      <c r="N945" s="129"/>
      <c r="O945" s="125"/>
      <c r="P945" s="173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spans="1:26" ht="15.75" customHeight="1">
      <c r="A946" s="125"/>
      <c r="B946" s="125"/>
      <c r="C946" s="125"/>
      <c r="D946" s="125"/>
      <c r="E946" s="125"/>
      <c r="F946" s="126"/>
      <c r="G946" s="125"/>
      <c r="H946" s="125"/>
      <c r="I946" s="125"/>
      <c r="J946" s="125"/>
      <c r="K946" s="125"/>
      <c r="L946" s="125"/>
      <c r="M946" s="125"/>
      <c r="N946" s="129"/>
      <c r="O946" s="125"/>
      <c r="P946" s="173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spans="1:26" ht="15.75" customHeight="1">
      <c r="A947" s="125"/>
      <c r="B947" s="125"/>
      <c r="C947" s="125"/>
      <c r="D947" s="125"/>
      <c r="E947" s="125"/>
      <c r="F947" s="126"/>
      <c r="G947" s="125"/>
      <c r="H947" s="125"/>
      <c r="I947" s="125"/>
      <c r="J947" s="125"/>
      <c r="K947" s="125"/>
      <c r="L947" s="125"/>
      <c r="M947" s="125"/>
      <c r="N947" s="129"/>
      <c r="O947" s="125"/>
      <c r="P947" s="173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spans="1:26" ht="15.75" customHeight="1">
      <c r="A948" s="125"/>
      <c r="B948" s="125"/>
      <c r="C948" s="125"/>
      <c r="D948" s="125"/>
      <c r="E948" s="125"/>
      <c r="F948" s="126"/>
      <c r="G948" s="125"/>
      <c r="H948" s="125"/>
      <c r="I948" s="125"/>
      <c r="J948" s="125"/>
      <c r="K948" s="125"/>
      <c r="L948" s="125"/>
      <c r="M948" s="125"/>
      <c r="N948" s="129"/>
      <c r="O948" s="125"/>
      <c r="P948" s="173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spans="1:26" ht="15.75" customHeight="1">
      <c r="A949" s="125"/>
      <c r="B949" s="125"/>
      <c r="C949" s="125"/>
      <c r="D949" s="125"/>
      <c r="E949" s="125"/>
      <c r="F949" s="126"/>
      <c r="G949" s="125"/>
      <c r="H949" s="125"/>
      <c r="I949" s="125"/>
      <c r="J949" s="125"/>
      <c r="K949" s="125"/>
      <c r="L949" s="125"/>
      <c r="M949" s="125"/>
      <c r="N949" s="129"/>
      <c r="O949" s="125"/>
      <c r="P949" s="173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spans="1:26" ht="15.75" customHeight="1">
      <c r="A950" s="125"/>
      <c r="B950" s="125"/>
      <c r="C950" s="125"/>
      <c r="D950" s="125"/>
      <c r="E950" s="125"/>
      <c r="F950" s="126"/>
      <c r="G950" s="125"/>
      <c r="H950" s="125"/>
      <c r="I950" s="125"/>
      <c r="J950" s="125"/>
      <c r="K950" s="125"/>
      <c r="L950" s="125"/>
      <c r="M950" s="125"/>
      <c r="N950" s="129"/>
      <c r="O950" s="125"/>
      <c r="P950" s="173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spans="1:26" ht="15.75" customHeight="1">
      <c r="A951" s="125"/>
      <c r="B951" s="125"/>
      <c r="C951" s="125"/>
      <c r="D951" s="125"/>
      <c r="E951" s="125"/>
      <c r="F951" s="126"/>
      <c r="G951" s="125"/>
      <c r="H951" s="125"/>
      <c r="I951" s="125"/>
      <c r="J951" s="125"/>
      <c r="K951" s="125"/>
      <c r="L951" s="125"/>
      <c r="M951" s="125"/>
      <c r="N951" s="129"/>
      <c r="O951" s="125"/>
      <c r="P951" s="173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spans="1:26" ht="15.75" customHeight="1">
      <c r="A952" s="125"/>
      <c r="B952" s="125"/>
      <c r="C952" s="125"/>
      <c r="D952" s="125"/>
      <c r="E952" s="125"/>
      <c r="F952" s="126"/>
      <c r="G952" s="125"/>
      <c r="H952" s="125"/>
      <c r="I952" s="125"/>
      <c r="J952" s="125"/>
      <c r="K952" s="125"/>
      <c r="L952" s="125"/>
      <c r="M952" s="125"/>
      <c r="N952" s="129"/>
      <c r="O952" s="125"/>
      <c r="P952" s="173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spans="1:26" ht="15.75" customHeight="1">
      <c r="A953" s="125"/>
      <c r="B953" s="125"/>
      <c r="C953" s="125"/>
      <c r="D953" s="125"/>
      <c r="E953" s="125"/>
      <c r="F953" s="126"/>
      <c r="G953" s="125"/>
      <c r="H953" s="125"/>
      <c r="I953" s="125"/>
      <c r="J953" s="125"/>
      <c r="K953" s="125"/>
      <c r="L953" s="125"/>
      <c r="M953" s="125"/>
      <c r="N953" s="129"/>
      <c r="O953" s="125"/>
      <c r="P953" s="173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spans="1:26" ht="15.75" customHeight="1">
      <c r="A954" s="125"/>
      <c r="B954" s="125"/>
      <c r="C954" s="125"/>
      <c r="D954" s="125"/>
      <c r="E954" s="125"/>
      <c r="F954" s="126"/>
      <c r="G954" s="125"/>
      <c r="H954" s="125"/>
      <c r="I954" s="125"/>
      <c r="J954" s="125"/>
      <c r="K954" s="125"/>
      <c r="L954" s="125"/>
      <c r="M954" s="125"/>
      <c r="N954" s="129"/>
      <c r="O954" s="125"/>
      <c r="P954" s="173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spans="1:26" ht="15.75" customHeight="1">
      <c r="A955" s="125"/>
      <c r="B955" s="125"/>
      <c r="C955" s="125"/>
      <c r="D955" s="125"/>
      <c r="E955" s="125"/>
      <c r="F955" s="126"/>
      <c r="G955" s="125"/>
      <c r="H955" s="125"/>
      <c r="I955" s="125"/>
      <c r="J955" s="125"/>
      <c r="K955" s="125"/>
      <c r="L955" s="125"/>
      <c r="M955" s="125"/>
      <c r="N955" s="129"/>
      <c r="O955" s="125"/>
      <c r="P955" s="173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spans="1:26" ht="15.75" customHeight="1">
      <c r="A956" s="125"/>
      <c r="B956" s="125"/>
      <c r="C956" s="125"/>
      <c r="D956" s="125"/>
      <c r="E956" s="125"/>
      <c r="F956" s="126"/>
      <c r="G956" s="125"/>
      <c r="H956" s="125"/>
      <c r="I956" s="125"/>
      <c r="J956" s="125"/>
      <c r="K956" s="125"/>
      <c r="L956" s="125"/>
      <c r="M956" s="125"/>
      <c r="N956" s="129"/>
      <c r="O956" s="125"/>
      <c r="P956" s="173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spans="1:26" ht="15.75" customHeight="1">
      <c r="A957" s="125"/>
      <c r="B957" s="125"/>
      <c r="C957" s="125"/>
      <c r="D957" s="125"/>
      <c r="E957" s="125"/>
      <c r="F957" s="126"/>
      <c r="G957" s="125"/>
      <c r="H957" s="125"/>
      <c r="I957" s="125"/>
      <c r="J957" s="125"/>
      <c r="K957" s="125"/>
      <c r="L957" s="125"/>
      <c r="M957" s="125"/>
      <c r="N957" s="129"/>
      <c r="O957" s="125"/>
      <c r="P957" s="173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spans="1:26" ht="15.75" customHeight="1">
      <c r="A958" s="125"/>
      <c r="B958" s="125"/>
      <c r="C958" s="125"/>
      <c r="D958" s="125"/>
      <c r="E958" s="125"/>
      <c r="F958" s="126"/>
      <c r="G958" s="125"/>
      <c r="H958" s="125"/>
      <c r="I958" s="125"/>
      <c r="J958" s="125"/>
      <c r="K958" s="125"/>
      <c r="L958" s="125"/>
      <c r="M958" s="125"/>
      <c r="N958" s="129"/>
      <c r="O958" s="125"/>
      <c r="P958" s="173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spans="1:26" ht="15.75" customHeight="1">
      <c r="A959" s="125"/>
      <c r="B959" s="125"/>
      <c r="C959" s="125"/>
      <c r="D959" s="125"/>
      <c r="E959" s="125"/>
      <c r="F959" s="126"/>
      <c r="G959" s="125"/>
      <c r="H959" s="125"/>
      <c r="I959" s="125"/>
      <c r="J959" s="125"/>
      <c r="K959" s="125"/>
      <c r="L959" s="125"/>
      <c r="M959" s="125"/>
      <c r="N959" s="129"/>
      <c r="O959" s="125"/>
      <c r="P959" s="173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spans="1:26" ht="15.75" customHeight="1">
      <c r="A960" s="125"/>
      <c r="B960" s="125"/>
      <c r="C960" s="125"/>
      <c r="D960" s="125"/>
      <c r="E960" s="125"/>
      <c r="F960" s="126"/>
      <c r="G960" s="125"/>
      <c r="H960" s="125"/>
      <c r="I960" s="125"/>
      <c r="J960" s="125"/>
      <c r="K960" s="125"/>
      <c r="L960" s="125"/>
      <c r="M960" s="125"/>
      <c r="N960" s="129"/>
      <c r="O960" s="125"/>
      <c r="P960" s="173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spans="1:26" ht="15.75" customHeight="1">
      <c r="A961" s="125"/>
      <c r="B961" s="125"/>
      <c r="C961" s="125"/>
      <c r="D961" s="125"/>
      <c r="E961" s="125"/>
      <c r="F961" s="126"/>
      <c r="G961" s="125"/>
      <c r="H961" s="125"/>
      <c r="I961" s="125"/>
      <c r="J961" s="125"/>
      <c r="K961" s="125"/>
      <c r="L961" s="125"/>
      <c r="M961" s="125"/>
      <c r="N961" s="129"/>
      <c r="O961" s="125"/>
      <c r="P961" s="173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spans="1:26" ht="15.75" customHeight="1">
      <c r="A962" s="125"/>
      <c r="B962" s="125"/>
      <c r="C962" s="125"/>
      <c r="D962" s="125"/>
      <c r="E962" s="125"/>
      <c r="F962" s="126"/>
      <c r="G962" s="125"/>
      <c r="H962" s="125"/>
      <c r="I962" s="125"/>
      <c r="J962" s="125"/>
      <c r="K962" s="125"/>
      <c r="L962" s="125"/>
      <c r="M962" s="125"/>
      <c r="N962" s="129"/>
      <c r="O962" s="125"/>
      <c r="P962" s="173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spans="1:26" ht="15.75" customHeight="1">
      <c r="A963" s="125"/>
      <c r="B963" s="125"/>
      <c r="C963" s="125"/>
      <c r="D963" s="125"/>
      <c r="E963" s="125"/>
      <c r="F963" s="126"/>
      <c r="G963" s="125"/>
      <c r="H963" s="125"/>
      <c r="I963" s="125"/>
      <c r="J963" s="125"/>
      <c r="K963" s="125"/>
      <c r="L963" s="125"/>
      <c r="M963" s="125"/>
      <c r="N963" s="129"/>
      <c r="O963" s="125"/>
      <c r="P963" s="173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spans="1:26" ht="15.75" customHeight="1">
      <c r="A964" s="125"/>
      <c r="B964" s="125"/>
      <c r="C964" s="125"/>
      <c r="D964" s="125"/>
      <c r="E964" s="125"/>
      <c r="F964" s="126"/>
      <c r="G964" s="125"/>
      <c r="H964" s="125"/>
      <c r="I964" s="125"/>
      <c r="J964" s="125"/>
      <c r="K964" s="125"/>
      <c r="L964" s="125"/>
      <c r="M964" s="125"/>
      <c r="N964" s="129"/>
      <c r="O964" s="125"/>
      <c r="P964" s="173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spans="1:26" ht="15.75" customHeight="1">
      <c r="A965" s="125"/>
      <c r="B965" s="125"/>
      <c r="C965" s="125"/>
      <c r="D965" s="125"/>
      <c r="E965" s="125"/>
      <c r="F965" s="126"/>
      <c r="G965" s="125"/>
      <c r="H965" s="125"/>
      <c r="I965" s="125"/>
      <c r="J965" s="125"/>
      <c r="K965" s="125"/>
      <c r="L965" s="125"/>
      <c r="M965" s="125"/>
      <c r="N965" s="129"/>
      <c r="O965" s="125"/>
      <c r="P965" s="173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spans="1:26" ht="15.75" customHeight="1">
      <c r="A966" s="125"/>
      <c r="B966" s="125"/>
      <c r="C966" s="125"/>
      <c r="D966" s="125"/>
      <c r="E966" s="125"/>
      <c r="F966" s="126"/>
      <c r="G966" s="125"/>
      <c r="H966" s="125"/>
      <c r="I966" s="125"/>
      <c r="J966" s="125"/>
      <c r="K966" s="125"/>
      <c r="L966" s="125"/>
      <c r="M966" s="125"/>
      <c r="N966" s="129"/>
      <c r="O966" s="125"/>
      <c r="P966" s="173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spans="1:26" ht="15.75" customHeight="1">
      <c r="A967" s="125"/>
      <c r="B967" s="125"/>
      <c r="C967" s="125"/>
      <c r="D967" s="125"/>
      <c r="E967" s="125"/>
      <c r="F967" s="126"/>
      <c r="G967" s="125"/>
      <c r="H967" s="125"/>
      <c r="I967" s="125"/>
      <c r="J967" s="125"/>
      <c r="K967" s="125"/>
      <c r="L967" s="125"/>
      <c r="M967" s="125"/>
      <c r="N967" s="129"/>
      <c r="O967" s="125"/>
      <c r="P967" s="173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spans="1:26" ht="15.75" customHeight="1">
      <c r="A968" s="125"/>
      <c r="B968" s="125"/>
      <c r="C968" s="125"/>
      <c r="D968" s="125"/>
      <c r="E968" s="125"/>
      <c r="F968" s="126"/>
      <c r="G968" s="125"/>
      <c r="H968" s="125"/>
      <c r="I968" s="125"/>
      <c r="J968" s="125"/>
      <c r="K968" s="125"/>
      <c r="L968" s="125"/>
      <c r="M968" s="125"/>
      <c r="N968" s="129"/>
      <c r="O968" s="125"/>
      <c r="P968" s="173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spans="1:26" ht="15.75" customHeight="1">
      <c r="A969" s="125"/>
      <c r="B969" s="125"/>
      <c r="C969" s="125"/>
      <c r="D969" s="125"/>
      <c r="E969" s="125"/>
      <c r="F969" s="126"/>
      <c r="G969" s="125"/>
      <c r="H969" s="125"/>
      <c r="I969" s="125"/>
      <c r="J969" s="125"/>
      <c r="K969" s="125"/>
      <c r="L969" s="125"/>
      <c r="M969" s="125"/>
      <c r="N969" s="129"/>
      <c r="O969" s="125"/>
      <c r="P969" s="173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spans="1:26" ht="15.75" customHeight="1">
      <c r="A970" s="125"/>
      <c r="B970" s="125"/>
      <c r="C970" s="125"/>
      <c r="D970" s="125"/>
      <c r="E970" s="125"/>
      <c r="F970" s="126"/>
      <c r="G970" s="125"/>
      <c r="H970" s="125"/>
      <c r="I970" s="125"/>
      <c r="J970" s="125"/>
      <c r="K970" s="125"/>
      <c r="L970" s="125"/>
      <c r="M970" s="125"/>
      <c r="N970" s="129"/>
      <c r="O970" s="125"/>
      <c r="P970" s="173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spans="1:26" ht="15.75" customHeight="1">
      <c r="A971" s="125"/>
      <c r="B971" s="125"/>
      <c r="C971" s="125"/>
      <c r="D971" s="125"/>
      <c r="E971" s="125"/>
      <c r="F971" s="126"/>
      <c r="G971" s="125"/>
      <c r="H971" s="125"/>
      <c r="I971" s="125"/>
      <c r="J971" s="125"/>
      <c r="K971" s="125"/>
      <c r="L971" s="125"/>
      <c r="M971" s="125"/>
      <c r="N971" s="129"/>
      <c r="O971" s="125"/>
      <c r="P971" s="173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spans="1:26" ht="15.75" customHeight="1">
      <c r="A972" s="125"/>
      <c r="B972" s="125"/>
      <c r="C972" s="125"/>
      <c r="D972" s="125"/>
      <c r="E972" s="125"/>
      <c r="F972" s="126"/>
      <c r="G972" s="125"/>
      <c r="H972" s="125"/>
      <c r="I972" s="125"/>
      <c r="J972" s="125"/>
      <c r="K972" s="125"/>
      <c r="L972" s="125"/>
      <c r="M972" s="125"/>
      <c r="N972" s="129"/>
      <c r="O972" s="125"/>
      <c r="P972" s="173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spans="1:26" ht="15.75" customHeight="1">
      <c r="A973" s="125"/>
      <c r="B973" s="125"/>
      <c r="C973" s="125"/>
      <c r="D973" s="125"/>
      <c r="E973" s="125"/>
      <c r="F973" s="126"/>
      <c r="G973" s="125"/>
      <c r="H973" s="125"/>
      <c r="I973" s="125"/>
      <c r="J973" s="125"/>
      <c r="K973" s="125"/>
      <c r="L973" s="125"/>
      <c r="M973" s="125"/>
      <c r="N973" s="129"/>
      <c r="O973" s="125"/>
      <c r="P973" s="173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spans="1:26" ht="15.75" customHeight="1">
      <c r="A974" s="125"/>
      <c r="B974" s="125"/>
      <c r="C974" s="125"/>
      <c r="D974" s="125"/>
      <c r="E974" s="125"/>
      <c r="F974" s="126"/>
      <c r="G974" s="125"/>
      <c r="H974" s="125"/>
      <c r="I974" s="125"/>
      <c r="J974" s="125"/>
      <c r="K974" s="125"/>
      <c r="L974" s="125"/>
      <c r="M974" s="125"/>
      <c r="N974" s="129"/>
      <c r="O974" s="125"/>
      <c r="P974" s="173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spans="1:26" ht="15.75" customHeight="1">
      <c r="A975" s="125"/>
      <c r="B975" s="125"/>
      <c r="C975" s="125"/>
      <c r="D975" s="125"/>
      <c r="E975" s="125"/>
      <c r="F975" s="126"/>
      <c r="G975" s="125"/>
      <c r="H975" s="125"/>
      <c r="I975" s="125"/>
      <c r="J975" s="125"/>
      <c r="K975" s="125"/>
      <c r="L975" s="125"/>
      <c r="M975" s="125"/>
      <c r="N975" s="129"/>
      <c r="O975" s="125"/>
      <c r="P975" s="173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spans="1:26" ht="15.75" customHeight="1">
      <c r="A976" s="125"/>
      <c r="B976" s="125"/>
      <c r="C976" s="125"/>
      <c r="D976" s="125"/>
      <c r="E976" s="125"/>
      <c r="F976" s="126"/>
      <c r="G976" s="125"/>
      <c r="H976" s="125"/>
      <c r="I976" s="125"/>
      <c r="J976" s="125"/>
      <c r="K976" s="125"/>
      <c r="L976" s="125"/>
      <c r="M976" s="125"/>
      <c r="N976" s="129"/>
      <c r="O976" s="125"/>
      <c r="P976" s="173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spans="1:26" ht="15.75" customHeight="1">
      <c r="A977" s="125"/>
      <c r="B977" s="125"/>
      <c r="C977" s="125"/>
      <c r="D977" s="125"/>
      <c r="E977" s="125"/>
      <c r="F977" s="126"/>
      <c r="G977" s="125"/>
      <c r="H977" s="125"/>
      <c r="I977" s="125"/>
      <c r="J977" s="125"/>
      <c r="K977" s="125"/>
      <c r="L977" s="125"/>
      <c r="M977" s="125"/>
      <c r="N977" s="129"/>
      <c r="O977" s="125"/>
      <c r="P977" s="173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spans="1:26" ht="15.75" customHeight="1">
      <c r="A978" s="125"/>
      <c r="B978" s="125"/>
      <c r="C978" s="125"/>
      <c r="D978" s="125"/>
      <c r="E978" s="125"/>
      <c r="F978" s="126"/>
      <c r="G978" s="125"/>
      <c r="H978" s="125"/>
      <c r="I978" s="125"/>
      <c r="J978" s="125"/>
      <c r="K978" s="125"/>
      <c r="L978" s="125"/>
      <c r="M978" s="125"/>
      <c r="N978" s="129"/>
      <c r="O978" s="125"/>
      <c r="P978" s="173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spans="1:26" ht="15.75" customHeight="1">
      <c r="A979" s="125"/>
      <c r="B979" s="125"/>
      <c r="C979" s="125"/>
      <c r="D979" s="125"/>
      <c r="E979" s="125"/>
      <c r="F979" s="126"/>
      <c r="G979" s="125"/>
      <c r="H979" s="125"/>
      <c r="I979" s="125"/>
      <c r="J979" s="125"/>
      <c r="K979" s="125"/>
      <c r="L979" s="125"/>
      <c r="M979" s="125"/>
      <c r="N979" s="129"/>
      <c r="O979" s="125"/>
      <c r="P979" s="173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spans="1:26" ht="15.75" customHeight="1">
      <c r="A980" s="125"/>
      <c r="B980" s="125"/>
      <c r="C980" s="125"/>
      <c r="D980" s="125"/>
      <c r="E980" s="125"/>
      <c r="F980" s="126"/>
      <c r="G980" s="125"/>
      <c r="H980" s="125"/>
      <c r="I980" s="125"/>
      <c r="J980" s="125"/>
      <c r="K980" s="125"/>
      <c r="L980" s="125"/>
      <c r="M980" s="125"/>
      <c r="N980" s="129"/>
      <c r="O980" s="125"/>
      <c r="P980" s="173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spans="1:26" ht="15.75" customHeight="1">
      <c r="A981" s="125"/>
      <c r="B981" s="125"/>
      <c r="C981" s="125"/>
      <c r="D981" s="125"/>
      <c r="E981" s="125"/>
      <c r="F981" s="126"/>
      <c r="G981" s="125"/>
      <c r="H981" s="125"/>
      <c r="I981" s="125"/>
      <c r="J981" s="125"/>
      <c r="K981" s="125"/>
      <c r="L981" s="125"/>
      <c r="M981" s="125"/>
      <c r="N981" s="129"/>
      <c r="O981" s="125"/>
      <c r="P981" s="173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spans="1:26" ht="15.75" customHeight="1">
      <c r="A982" s="125"/>
      <c r="B982" s="125"/>
      <c r="C982" s="125"/>
      <c r="D982" s="125"/>
      <c r="E982" s="125"/>
      <c r="F982" s="126"/>
      <c r="G982" s="125"/>
      <c r="H982" s="125"/>
      <c r="I982" s="125"/>
      <c r="J982" s="125"/>
      <c r="K982" s="125"/>
      <c r="L982" s="125"/>
      <c r="M982" s="125"/>
      <c r="N982" s="129"/>
      <c r="O982" s="125"/>
      <c r="P982" s="173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spans="1:26" ht="15.75" customHeight="1">
      <c r="A983" s="125"/>
      <c r="B983" s="125"/>
      <c r="C983" s="125"/>
      <c r="D983" s="125"/>
      <c r="E983" s="125"/>
      <c r="F983" s="126"/>
      <c r="G983" s="125"/>
      <c r="H983" s="125"/>
      <c r="I983" s="125"/>
      <c r="J983" s="125"/>
      <c r="K983" s="125"/>
      <c r="L983" s="125"/>
      <c r="M983" s="125"/>
      <c r="N983" s="129"/>
      <c r="O983" s="125"/>
      <c r="P983" s="173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spans="1:26" ht="15.75" customHeight="1">
      <c r="A984" s="125"/>
      <c r="B984" s="125"/>
      <c r="C984" s="125"/>
      <c r="D984" s="125"/>
      <c r="E984" s="125"/>
      <c r="F984" s="126"/>
      <c r="G984" s="125"/>
      <c r="H984" s="125"/>
      <c r="I984" s="125"/>
      <c r="J984" s="125"/>
      <c r="K984" s="125"/>
      <c r="L984" s="125"/>
      <c r="M984" s="125"/>
      <c r="N984" s="129"/>
      <c r="O984" s="125"/>
      <c r="P984" s="173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spans="1:26" ht="15.75" customHeight="1">
      <c r="A985" s="125"/>
      <c r="B985" s="125"/>
      <c r="C985" s="125"/>
      <c r="D985" s="125"/>
      <c r="E985" s="125"/>
      <c r="F985" s="126"/>
      <c r="G985" s="125"/>
      <c r="H985" s="125"/>
      <c r="I985" s="125"/>
      <c r="J985" s="125"/>
      <c r="K985" s="125"/>
      <c r="L985" s="125"/>
      <c r="M985" s="125"/>
      <c r="N985" s="129"/>
      <c r="O985" s="125"/>
      <c r="P985" s="173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spans="1:26" ht="15.75" customHeight="1">
      <c r="A986" s="125"/>
      <c r="B986" s="125"/>
      <c r="C986" s="125"/>
      <c r="D986" s="125"/>
      <c r="E986" s="125"/>
      <c r="F986" s="126"/>
      <c r="G986" s="125"/>
      <c r="H986" s="125"/>
      <c r="I986" s="125"/>
      <c r="J986" s="125"/>
      <c r="K986" s="125"/>
      <c r="L986" s="125"/>
      <c r="M986" s="125"/>
      <c r="N986" s="129"/>
      <c r="O986" s="125"/>
      <c r="P986" s="173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spans="1:26" ht="15.75" customHeight="1">
      <c r="A987" s="125"/>
      <c r="B987" s="125"/>
      <c r="C987" s="125"/>
      <c r="D987" s="125"/>
      <c r="E987" s="125"/>
      <c r="F987" s="126"/>
      <c r="G987" s="125"/>
      <c r="H987" s="125"/>
      <c r="I987" s="125"/>
      <c r="J987" s="125"/>
      <c r="K987" s="125"/>
      <c r="L987" s="125"/>
      <c r="M987" s="125"/>
      <c r="N987" s="129"/>
      <c r="O987" s="125"/>
      <c r="P987" s="173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spans="1:26" ht="15.75" customHeight="1">
      <c r="A988" s="125"/>
      <c r="B988" s="125"/>
      <c r="C988" s="125"/>
      <c r="D988" s="125"/>
      <c r="E988" s="125"/>
      <c r="F988" s="126"/>
      <c r="G988" s="125"/>
      <c r="H988" s="125"/>
      <c r="I988" s="125"/>
      <c r="J988" s="125"/>
      <c r="K988" s="125"/>
      <c r="L988" s="125"/>
      <c r="M988" s="125"/>
      <c r="N988" s="129"/>
      <c r="O988" s="125"/>
      <c r="P988" s="173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spans="1:26" ht="15.75" customHeight="1">
      <c r="A989" s="125"/>
      <c r="B989" s="125"/>
      <c r="C989" s="125"/>
      <c r="D989" s="125"/>
      <c r="E989" s="125"/>
      <c r="F989" s="126"/>
      <c r="G989" s="125"/>
      <c r="H989" s="125"/>
      <c r="I989" s="125"/>
      <c r="J989" s="125"/>
      <c r="K989" s="125"/>
      <c r="L989" s="125"/>
      <c r="M989" s="125"/>
      <c r="N989" s="129"/>
      <c r="O989" s="125"/>
      <c r="P989" s="173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spans="1:26" ht="15.75" customHeight="1">
      <c r="A990" s="125"/>
      <c r="B990" s="125"/>
      <c r="C990" s="125"/>
      <c r="D990" s="125"/>
      <c r="E990" s="125"/>
      <c r="F990" s="126"/>
      <c r="G990" s="125"/>
      <c r="H990" s="125"/>
      <c r="I990" s="125"/>
      <c r="J990" s="125"/>
      <c r="K990" s="125"/>
      <c r="L990" s="125"/>
      <c r="M990" s="125"/>
      <c r="N990" s="129"/>
      <c r="O990" s="125"/>
      <c r="P990" s="173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spans="1:26" ht="15.75" customHeight="1">
      <c r="A991" s="125"/>
      <c r="B991" s="125"/>
      <c r="C991" s="125"/>
      <c r="D991" s="125"/>
      <c r="E991" s="125"/>
      <c r="F991" s="126"/>
      <c r="G991" s="125"/>
      <c r="H991" s="125"/>
      <c r="I991" s="125"/>
      <c r="J991" s="125"/>
      <c r="K991" s="125"/>
      <c r="L991" s="125"/>
      <c r="M991" s="125"/>
      <c r="N991" s="129"/>
      <c r="O991" s="125"/>
      <c r="P991" s="173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spans="1:26" ht="15.75" customHeight="1">
      <c r="A992" s="125"/>
      <c r="B992" s="125"/>
      <c r="C992" s="125"/>
      <c r="D992" s="125"/>
      <c r="E992" s="125"/>
      <c r="F992" s="126"/>
      <c r="G992" s="125"/>
      <c r="H992" s="125"/>
      <c r="I992" s="125"/>
      <c r="J992" s="125"/>
      <c r="K992" s="125"/>
      <c r="L992" s="125"/>
      <c r="M992" s="125"/>
      <c r="N992" s="129"/>
      <c r="O992" s="125"/>
      <c r="P992" s="173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spans="1:26" ht="15.75" customHeight="1">
      <c r="A993" s="125"/>
      <c r="B993" s="125"/>
      <c r="C993" s="125"/>
      <c r="D993" s="125"/>
      <c r="E993" s="125"/>
      <c r="F993" s="126"/>
      <c r="G993" s="125"/>
      <c r="H993" s="125"/>
      <c r="I993" s="125"/>
      <c r="J993" s="125"/>
      <c r="K993" s="125"/>
      <c r="L993" s="125"/>
      <c r="M993" s="125"/>
      <c r="N993" s="129"/>
      <c r="O993" s="125"/>
      <c r="P993" s="173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spans="1:26" ht="15.75" customHeight="1">
      <c r="A994" s="125"/>
      <c r="B994" s="125"/>
      <c r="C994" s="125"/>
      <c r="D994" s="125"/>
      <c r="E994" s="125"/>
      <c r="F994" s="126"/>
      <c r="G994" s="125"/>
      <c r="H994" s="125"/>
      <c r="I994" s="125"/>
      <c r="J994" s="125"/>
      <c r="K994" s="125"/>
      <c r="L994" s="125"/>
      <c r="M994" s="125"/>
      <c r="N994" s="129"/>
      <c r="O994" s="125"/>
      <c r="P994" s="173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spans="1:26" ht="15.75" customHeight="1">
      <c r="A995" s="125"/>
      <c r="B995" s="125"/>
      <c r="C995" s="125"/>
      <c r="D995" s="125"/>
      <c r="E995" s="125"/>
      <c r="F995" s="126"/>
      <c r="G995" s="125"/>
      <c r="H995" s="125"/>
      <c r="I995" s="125"/>
      <c r="J995" s="125"/>
      <c r="K995" s="125"/>
      <c r="L995" s="125"/>
      <c r="M995" s="125"/>
      <c r="N995" s="129"/>
      <c r="O995" s="125"/>
      <c r="P995" s="173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spans="1:26" ht="15.75" customHeight="1">
      <c r="A996" s="125"/>
      <c r="B996" s="125"/>
      <c r="C996" s="125"/>
      <c r="D996" s="125"/>
      <c r="E996" s="125"/>
      <c r="F996" s="126"/>
      <c r="G996" s="125"/>
      <c r="H996" s="125"/>
      <c r="I996" s="125"/>
      <c r="J996" s="125"/>
      <c r="K996" s="125"/>
      <c r="L996" s="125"/>
      <c r="M996" s="125"/>
      <c r="N996" s="129"/>
      <c r="O996" s="125"/>
      <c r="P996" s="173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spans="1:26" ht="15.75" customHeight="1">
      <c r="A997" s="125"/>
      <c r="B997" s="125"/>
      <c r="C997" s="125"/>
      <c r="D997" s="125"/>
      <c r="E997" s="125"/>
      <c r="F997" s="126"/>
      <c r="G997" s="125"/>
      <c r="H997" s="125"/>
      <c r="I997" s="125"/>
      <c r="J997" s="125"/>
      <c r="K997" s="125"/>
      <c r="L997" s="125"/>
      <c r="M997" s="125"/>
      <c r="N997" s="129"/>
      <c r="O997" s="125"/>
      <c r="P997" s="173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spans="1:26" ht="15.75" customHeight="1">
      <c r="A998" s="125"/>
      <c r="B998" s="125"/>
      <c r="C998" s="125"/>
      <c r="D998" s="125"/>
      <c r="E998" s="125"/>
      <c r="F998" s="126"/>
      <c r="G998" s="125"/>
      <c r="H998" s="125"/>
      <c r="I998" s="125"/>
      <c r="J998" s="125"/>
      <c r="K998" s="125"/>
      <c r="L998" s="125"/>
      <c r="M998" s="125"/>
      <c r="N998" s="129"/>
      <c r="O998" s="125"/>
      <c r="P998" s="173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spans="1:26" ht="15.75" customHeight="1">
      <c r="A999" s="125"/>
      <c r="B999" s="125"/>
      <c r="C999" s="125"/>
      <c r="D999" s="125"/>
      <c r="E999" s="125"/>
      <c r="F999" s="126"/>
      <c r="G999" s="125"/>
      <c r="H999" s="125"/>
      <c r="I999" s="125"/>
      <c r="J999" s="125"/>
      <c r="K999" s="125"/>
      <c r="L999" s="125"/>
      <c r="M999" s="125"/>
      <c r="N999" s="129"/>
      <c r="O999" s="125"/>
      <c r="P999" s="173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spans="1:26" ht="15.75" customHeight="1">
      <c r="A1000" s="125"/>
      <c r="B1000" s="125"/>
      <c r="C1000" s="125"/>
      <c r="D1000" s="125"/>
      <c r="E1000" s="125"/>
      <c r="F1000" s="126"/>
      <c r="G1000" s="125"/>
      <c r="H1000" s="125"/>
      <c r="I1000" s="125"/>
      <c r="J1000" s="125"/>
      <c r="K1000" s="125"/>
      <c r="L1000" s="125"/>
      <c r="M1000" s="125"/>
      <c r="N1000" s="129"/>
      <c r="O1000" s="125"/>
      <c r="P1000" s="173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autoFilter ref="B5:N140" xr:uid="{00000000-0009-0000-0000-000007000000}"/>
  <conditionalFormatting sqref="E6:E138">
    <cfRule type="containsText" dxfId="3" priority="1" operator="containsText" text="EZD">
      <formula>NOT(ISERROR(SEARCH(("EZD"),(E6))))</formula>
    </cfRule>
  </conditionalFormatting>
  <pageMargins left="0.7" right="0.7" top="0.75" bottom="0.75" header="0" footer="0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Z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 outlineLevelRow="1"/>
  <cols>
    <col min="1" max="1" width="6.28515625" customWidth="1"/>
    <col min="2" max="4" width="8.42578125" customWidth="1"/>
    <col min="5" max="5" width="25.42578125" customWidth="1"/>
    <col min="6" max="6" width="13.42578125" customWidth="1"/>
    <col min="7" max="12" width="12.5703125" customWidth="1"/>
    <col min="13" max="13" width="13" customWidth="1"/>
    <col min="14" max="14" width="11.42578125" customWidth="1"/>
    <col min="15" max="15" width="13.5703125" customWidth="1"/>
    <col min="16" max="16" width="8.42578125" customWidth="1"/>
    <col min="17" max="17" width="12.5703125" customWidth="1"/>
    <col min="18" max="26" width="8.42578125" customWidth="1"/>
  </cols>
  <sheetData>
    <row r="1" spans="1:26">
      <c r="A1" s="125"/>
      <c r="B1" s="125"/>
      <c r="C1" s="125"/>
      <c r="D1" s="125"/>
      <c r="E1" s="125"/>
      <c r="F1" s="126"/>
      <c r="G1" s="125"/>
      <c r="H1" s="125"/>
      <c r="I1" s="125"/>
      <c r="J1" s="125"/>
      <c r="K1" s="125"/>
      <c r="L1" s="125"/>
      <c r="M1" s="125"/>
      <c r="N1" s="129"/>
      <c r="O1" s="125"/>
      <c r="P1" s="173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>
      <c r="A2" s="125"/>
      <c r="B2" s="125"/>
      <c r="C2" s="125"/>
      <c r="D2" s="125"/>
      <c r="E2" s="125"/>
      <c r="F2" s="126"/>
      <c r="G2" s="126">
        <v>7</v>
      </c>
      <c r="H2" s="126">
        <f t="shared" ref="H2:M2" si="0">G2+2</f>
        <v>9</v>
      </c>
      <c r="I2" s="126">
        <f t="shared" si="0"/>
        <v>11</v>
      </c>
      <c r="J2" s="126">
        <f t="shared" si="0"/>
        <v>13</v>
      </c>
      <c r="K2" s="126">
        <f t="shared" si="0"/>
        <v>15</v>
      </c>
      <c r="L2" s="126">
        <f t="shared" si="0"/>
        <v>17</v>
      </c>
      <c r="M2" s="126">
        <f t="shared" si="0"/>
        <v>19</v>
      </c>
      <c r="N2" s="129"/>
      <c r="O2" s="125"/>
      <c r="P2" s="185"/>
      <c r="Q2" s="125" t="s">
        <v>318</v>
      </c>
      <c r="R2" s="125"/>
      <c r="S2" s="125"/>
      <c r="T2" s="125"/>
      <c r="U2" s="125"/>
      <c r="V2" s="125"/>
      <c r="W2" s="125"/>
      <c r="X2" s="125"/>
      <c r="Y2" s="125"/>
      <c r="Z2" s="125"/>
    </row>
    <row r="3" spans="1:26">
      <c r="A3" s="125"/>
      <c r="B3" s="125"/>
      <c r="C3" s="125"/>
      <c r="D3" s="125"/>
      <c r="E3" s="125" t="s">
        <v>2775</v>
      </c>
      <c r="F3" s="133" t="str">
        <f>"EST. OS "&amp;'KPS #48'!$B$2&amp;'KPS #48'!$C$2</f>
        <v>EST. OS 48</v>
      </c>
      <c r="G3" s="134" t="s">
        <v>2776</v>
      </c>
      <c r="H3" s="134" t="s">
        <v>2777</v>
      </c>
      <c r="I3" s="134" t="s">
        <v>2778</v>
      </c>
      <c r="J3" s="134" t="s">
        <v>2779</v>
      </c>
      <c r="K3" s="134" t="s">
        <v>2780</v>
      </c>
      <c r="L3" s="134" t="s">
        <v>2781</v>
      </c>
      <c r="M3" s="134" t="s">
        <v>2782</v>
      </c>
      <c r="N3" s="129"/>
      <c r="O3" s="173">
        <f>N4-O4</f>
        <v>0</v>
      </c>
      <c r="P3" s="190"/>
      <c r="Q3" s="125" t="s">
        <v>317</v>
      </c>
      <c r="R3" s="125"/>
      <c r="S3" s="125"/>
      <c r="T3" s="125"/>
      <c r="U3" s="125"/>
      <c r="V3" s="125"/>
      <c r="W3" s="125"/>
      <c r="X3" s="125"/>
      <c r="Y3" s="125"/>
      <c r="Z3" s="125"/>
    </row>
    <row r="4" spans="1:26">
      <c r="A4" s="136"/>
      <c r="B4" s="136" t="s">
        <v>2783</v>
      </c>
      <c r="C4" s="136"/>
      <c r="D4" s="136"/>
      <c r="E4" s="137" t="s">
        <v>107</v>
      </c>
      <c r="F4" s="233">
        <v>0</v>
      </c>
      <c r="G4" s="234">
        <f>IFERROR(VLOOKUP($E$4,'KPS #48'!$D:$W,G$2,0),0)</f>
        <v>750</v>
      </c>
      <c r="H4" s="234">
        <f>IFERROR(VLOOKUP($E$4,'KPS #48'!$D:$W,H$2,0),0)</f>
        <v>900</v>
      </c>
      <c r="I4" s="234">
        <f>IFERROR(VLOOKUP($E$4,'KPS #48'!$D:$W,I$2,0),0)</f>
        <v>400</v>
      </c>
      <c r="J4" s="234">
        <f>IFERROR(VLOOKUP($E$4,'KPS #48'!$D:$W,J$2,0),0)</f>
        <v>150</v>
      </c>
      <c r="K4" s="234">
        <f>IFERROR(VLOOKUP($E$4,'KPS #48'!$D:$W,K$2,0),0)</f>
        <v>100</v>
      </c>
      <c r="L4" s="234">
        <f>IFERROR(VLOOKUP($E$4,'KPS #48'!$D:$W,L$2,0),0)</f>
        <v>0</v>
      </c>
      <c r="M4" s="234">
        <f>IFERROR(VLOOKUP($E$4,'KPS #48'!$D:$W,M$2,0),0)</f>
        <v>0</v>
      </c>
      <c r="N4" s="235">
        <f>SUM(F4:M4)</f>
        <v>2300</v>
      </c>
      <c r="O4" s="142">
        <f>F140</f>
        <v>2300</v>
      </c>
      <c r="P4" s="161"/>
      <c r="Q4" s="125" t="s">
        <v>2784</v>
      </c>
      <c r="R4" s="125"/>
      <c r="S4" s="125"/>
      <c r="T4" s="125"/>
      <c r="U4" s="125"/>
      <c r="V4" s="125"/>
      <c r="W4" s="125"/>
      <c r="X4" s="125"/>
      <c r="Y4" s="125"/>
      <c r="Z4" s="125"/>
    </row>
    <row r="5" spans="1:26" ht="33.75">
      <c r="A5" s="143" t="s">
        <v>325</v>
      </c>
      <c r="B5" s="144" t="s">
        <v>326</v>
      </c>
      <c r="C5" s="144" t="s">
        <v>327</v>
      </c>
      <c r="D5" s="144" t="s">
        <v>2785</v>
      </c>
      <c r="E5" s="145" t="s">
        <v>327</v>
      </c>
      <c r="F5" s="236" t="s">
        <v>2786</v>
      </c>
      <c r="G5" s="237" t="s">
        <v>2786</v>
      </c>
      <c r="H5" s="238" t="s">
        <v>2786</v>
      </c>
      <c r="I5" s="238" t="s">
        <v>2786</v>
      </c>
      <c r="J5" s="238" t="s">
        <v>2786</v>
      </c>
      <c r="K5" s="238" t="s">
        <v>2786</v>
      </c>
      <c r="L5" s="238" t="s">
        <v>2786</v>
      </c>
      <c r="M5" s="239" t="s">
        <v>2786</v>
      </c>
      <c r="N5" s="149" t="s">
        <v>291</v>
      </c>
      <c r="O5" s="125"/>
      <c r="P5" s="173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4.25" customHeight="1" outlineLevel="1">
      <c r="A6" s="150">
        <v>1</v>
      </c>
      <c r="B6" s="150" t="s">
        <v>332</v>
      </c>
      <c r="C6" s="150" t="str">
        <f t="shared" ref="C6:C18" si="1">MID(E6,4,LEN(E6))</f>
        <v xml:space="preserve"> Medan 1</v>
      </c>
      <c r="D6" s="150" t="str">
        <f t="shared" ref="D6:D19" si="2">IFERROR(VLOOKUP($E$4&amp;C6,#REF!,2,FALSE),"")</f>
        <v/>
      </c>
      <c r="E6" s="240" t="s">
        <v>335</v>
      </c>
      <c r="F6" s="241"/>
      <c r="G6" s="242"/>
      <c r="H6" s="243"/>
      <c r="I6" s="243"/>
      <c r="J6" s="243"/>
      <c r="K6" s="243"/>
      <c r="L6" s="243"/>
      <c r="M6" s="244"/>
      <c r="N6" s="245">
        <f t="shared" ref="N6:N19" si="3">SUM(F6:M6)</f>
        <v>0</v>
      </c>
      <c r="O6" s="125"/>
      <c r="P6" s="173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4.25" customHeight="1" outlineLevel="1">
      <c r="A7" s="150">
        <v>1</v>
      </c>
      <c r="B7" s="150" t="s">
        <v>336</v>
      </c>
      <c r="C7" s="150" t="str">
        <f t="shared" si="1"/>
        <v xml:space="preserve"> Langkat</v>
      </c>
      <c r="D7" s="150" t="str">
        <f t="shared" si="2"/>
        <v/>
      </c>
      <c r="E7" s="240" t="s">
        <v>337</v>
      </c>
      <c r="F7" s="241"/>
      <c r="G7" s="242"/>
      <c r="H7" s="243"/>
      <c r="I7" s="243"/>
      <c r="J7" s="243"/>
      <c r="K7" s="243"/>
      <c r="L7" s="243"/>
      <c r="M7" s="244"/>
      <c r="N7" s="245">
        <f t="shared" si="3"/>
        <v>0</v>
      </c>
      <c r="O7" s="125"/>
      <c r="P7" s="173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4.25" customHeight="1" outlineLevel="1">
      <c r="A8" s="150">
        <v>1</v>
      </c>
      <c r="B8" s="150" t="s">
        <v>338</v>
      </c>
      <c r="C8" s="150" t="str">
        <f t="shared" si="1"/>
        <v xml:space="preserve"> Medan 2</v>
      </c>
      <c r="D8" s="150" t="str">
        <f t="shared" si="2"/>
        <v/>
      </c>
      <c r="E8" s="240" t="s">
        <v>339</v>
      </c>
      <c r="F8" s="241"/>
      <c r="G8" s="242"/>
      <c r="H8" s="243"/>
      <c r="I8" s="243"/>
      <c r="J8" s="243"/>
      <c r="K8" s="243"/>
      <c r="L8" s="243"/>
      <c r="M8" s="244"/>
      <c r="N8" s="245">
        <f t="shared" si="3"/>
        <v>0</v>
      </c>
      <c r="O8" s="125"/>
      <c r="P8" s="173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4.25" customHeight="1" outlineLevel="1">
      <c r="A9" s="150">
        <v>1</v>
      </c>
      <c r="B9" s="150" t="s">
        <v>340</v>
      </c>
      <c r="C9" s="150" t="str">
        <f t="shared" si="1"/>
        <v xml:space="preserve"> Tanah Karo</v>
      </c>
      <c r="D9" s="150" t="str">
        <f t="shared" si="2"/>
        <v/>
      </c>
      <c r="E9" s="240" t="s">
        <v>341</v>
      </c>
      <c r="F9" s="241"/>
      <c r="G9" s="242"/>
      <c r="H9" s="243"/>
      <c r="I9" s="243"/>
      <c r="J9" s="243"/>
      <c r="K9" s="243"/>
      <c r="L9" s="243"/>
      <c r="M9" s="244"/>
      <c r="N9" s="245">
        <f t="shared" si="3"/>
        <v>0</v>
      </c>
      <c r="O9" s="125"/>
      <c r="P9" s="173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4.25" customHeight="1" outlineLevel="1">
      <c r="A10" s="150">
        <v>1</v>
      </c>
      <c r="B10" s="150" t="s">
        <v>342</v>
      </c>
      <c r="C10" s="150" t="str">
        <f t="shared" si="1"/>
        <v xml:space="preserve"> Pematang Siantar</v>
      </c>
      <c r="D10" s="150" t="str">
        <f t="shared" si="2"/>
        <v/>
      </c>
      <c r="E10" s="240" t="s">
        <v>343</v>
      </c>
      <c r="F10" s="241"/>
      <c r="G10" s="242"/>
      <c r="H10" s="243"/>
      <c r="I10" s="243"/>
      <c r="J10" s="243"/>
      <c r="K10" s="243"/>
      <c r="L10" s="243"/>
      <c r="M10" s="244"/>
      <c r="N10" s="245">
        <f t="shared" si="3"/>
        <v>0</v>
      </c>
      <c r="O10" s="125"/>
      <c r="P10" s="173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4.25" customHeight="1" outlineLevel="1">
      <c r="A11" s="150">
        <v>1</v>
      </c>
      <c r="B11" s="150" t="s">
        <v>344</v>
      </c>
      <c r="C11" s="150" t="str">
        <f t="shared" si="1"/>
        <v xml:space="preserve"> Rantau Prapat</v>
      </c>
      <c r="D11" s="150" t="str">
        <f t="shared" si="2"/>
        <v/>
      </c>
      <c r="E11" s="240" t="s">
        <v>345</v>
      </c>
      <c r="F11" s="241"/>
      <c r="G11" s="242"/>
      <c r="H11" s="243"/>
      <c r="I11" s="243"/>
      <c r="J11" s="243"/>
      <c r="K11" s="243"/>
      <c r="L11" s="243"/>
      <c r="M11" s="244"/>
      <c r="N11" s="245">
        <f t="shared" si="3"/>
        <v>0</v>
      </c>
      <c r="O11" s="125"/>
      <c r="P11" s="173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ht="14.25" customHeight="1" outlineLevel="1">
      <c r="A12" s="150">
        <v>1</v>
      </c>
      <c r="B12" s="150" t="s">
        <v>346</v>
      </c>
      <c r="C12" s="150" t="str">
        <f t="shared" si="1"/>
        <v xml:space="preserve"> Kisaran</v>
      </c>
      <c r="D12" s="150" t="str">
        <f t="shared" si="2"/>
        <v/>
      </c>
      <c r="E12" s="240" t="s">
        <v>347</v>
      </c>
      <c r="F12" s="241"/>
      <c r="G12" s="242"/>
      <c r="H12" s="243"/>
      <c r="I12" s="243"/>
      <c r="J12" s="243"/>
      <c r="K12" s="243"/>
      <c r="L12" s="243"/>
      <c r="M12" s="244"/>
      <c r="N12" s="245">
        <f t="shared" si="3"/>
        <v>0</v>
      </c>
      <c r="O12" s="125"/>
      <c r="P12" s="173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ht="14.25" customHeight="1" outlineLevel="1">
      <c r="A13" s="150">
        <v>1</v>
      </c>
      <c r="B13" s="150" t="s">
        <v>348</v>
      </c>
      <c r="C13" s="150" t="str">
        <f t="shared" si="1"/>
        <v xml:space="preserve"> Banda Aceh</v>
      </c>
      <c r="D13" s="150" t="str">
        <f t="shared" si="2"/>
        <v/>
      </c>
      <c r="E13" s="240" t="s">
        <v>349</v>
      </c>
      <c r="F13" s="241"/>
      <c r="G13" s="242"/>
      <c r="H13" s="243"/>
      <c r="I13" s="243"/>
      <c r="J13" s="243"/>
      <c r="K13" s="243"/>
      <c r="L13" s="243"/>
      <c r="M13" s="244"/>
      <c r="N13" s="245">
        <f t="shared" si="3"/>
        <v>0</v>
      </c>
      <c r="O13" s="125"/>
      <c r="P13" s="173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ht="14.25" customHeight="1" outlineLevel="1">
      <c r="A14" s="150">
        <v>1</v>
      </c>
      <c r="B14" s="150" t="s">
        <v>350</v>
      </c>
      <c r="C14" s="150" t="str">
        <f t="shared" si="1"/>
        <v xml:space="preserve"> Meulaboh</v>
      </c>
      <c r="D14" s="150" t="str">
        <f t="shared" si="2"/>
        <v/>
      </c>
      <c r="E14" s="240" t="s">
        <v>351</v>
      </c>
      <c r="F14" s="241"/>
      <c r="G14" s="242"/>
      <c r="H14" s="243"/>
      <c r="I14" s="243"/>
      <c r="J14" s="243"/>
      <c r="K14" s="243"/>
      <c r="L14" s="243"/>
      <c r="M14" s="244"/>
      <c r="N14" s="245">
        <f t="shared" si="3"/>
        <v>0</v>
      </c>
      <c r="O14" s="125"/>
      <c r="P14" s="173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ht="14.25" customHeight="1" outlineLevel="1">
      <c r="A15" s="150">
        <v>1</v>
      </c>
      <c r="B15" s="150" t="s">
        <v>352</v>
      </c>
      <c r="C15" s="150" t="str">
        <f t="shared" si="1"/>
        <v xml:space="preserve"> Lhokseumawe</v>
      </c>
      <c r="D15" s="150" t="str">
        <f t="shared" si="2"/>
        <v/>
      </c>
      <c r="E15" s="240" t="s">
        <v>353</v>
      </c>
      <c r="F15" s="241"/>
      <c r="G15" s="242"/>
      <c r="H15" s="243"/>
      <c r="I15" s="243"/>
      <c r="J15" s="243"/>
      <c r="K15" s="243"/>
      <c r="L15" s="243"/>
      <c r="M15" s="244"/>
      <c r="N15" s="245">
        <f t="shared" si="3"/>
        <v>0</v>
      </c>
      <c r="O15" s="125"/>
      <c r="P15" s="173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ht="14.25" customHeight="1" outlineLevel="1">
      <c r="A16" s="150">
        <v>1</v>
      </c>
      <c r="B16" s="150" t="s">
        <v>354</v>
      </c>
      <c r="C16" s="150" t="str">
        <f t="shared" si="1"/>
        <v xml:space="preserve"> Langsa</v>
      </c>
      <c r="D16" s="150" t="str">
        <f t="shared" si="2"/>
        <v/>
      </c>
      <c r="E16" s="240" t="s">
        <v>355</v>
      </c>
      <c r="F16" s="241"/>
      <c r="G16" s="242"/>
      <c r="H16" s="243"/>
      <c r="I16" s="243"/>
      <c r="J16" s="243"/>
      <c r="K16" s="243"/>
      <c r="L16" s="243"/>
      <c r="M16" s="244"/>
      <c r="N16" s="245">
        <f t="shared" si="3"/>
        <v>0</v>
      </c>
      <c r="O16" s="125"/>
      <c r="P16" s="173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ht="14.25" customHeight="1" outlineLevel="1">
      <c r="A17" s="150">
        <v>1</v>
      </c>
      <c r="B17" s="150" t="s">
        <v>356</v>
      </c>
      <c r="C17" s="150" t="str">
        <f t="shared" si="1"/>
        <v xml:space="preserve"> Padang Sidempuan</v>
      </c>
      <c r="D17" s="150" t="str">
        <f t="shared" si="2"/>
        <v/>
      </c>
      <c r="E17" s="240" t="s">
        <v>357</v>
      </c>
      <c r="F17" s="241"/>
      <c r="G17" s="242"/>
      <c r="H17" s="243"/>
      <c r="I17" s="243"/>
      <c r="J17" s="243"/>
      <c r="K17" s="243"/>
      <c r="L17" s="243"/>
      <c r="M17" s="244"/>
      <c r="N17" s="245">
        <f t="shared" si="3"/>
        <v>0</v>
      </c>
      <c r="O17" s="125"/>
      <c r="P17" s="173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ht="14.25" customHeight="1" outlineLevel="1">
      <c r="A18" s="150">
        <v>1</v>
      </c>
      <c r="B18" s="150" t="s">
        <v>358</v>
      </c>
      <c r="C18" s="150" t="str">
        <f t="shared" si="1"/>
        <v xml:space="preserve"> Sibolga</v>
      </c>
      <c r="D18" s="150" t="str">
        <f t="shared" si="2"/>
        <v/>
      </c>
      <c r="E18" s="240" t="s">
        <v>359</v>
      </c>
      <c r="F18" s="246"/>
      <c r="G18" s="242"/>
      <c r="H18" s="243"/>
      <c r="I18" s="243"/>
      <c r="J18" s="243"/>
      <c r="K18" s="243"/>
      <c r="L18" s="243"/>
      <c r="M18" s="244"/>
      <c r="N18" s="247">
        <f t="shared" si="3"/>
        <v>0</v>
      </c>
      <c r="O18" s="125"/>
      <c r="P18" s="173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ht="14.25" customHeight="1" outlineLevel="1">
      <c r="A19" s="157">
        <v>1</v>
      </c>
      <c r="B19" s="157" t="s">
        <v>360</v>
      </c>
      <c r="C19" s="157" t="s">
        <v>361</v>
      </c>
      <c r="D19" s="157" t="str">
        <f t="shared" si="2"/>
        <v/>
      </c>
      <c r="E19" s="157" t="s">
        <v>363</v>
      </c>
      <c r="F19" s="246">
        <v>900</v>
      </c>
      <c r="G19" s="248"/>
      <c r="H19" s="249"/>
      <c r="I19" s="250"/>
      <c r="J19" s="250"/>
      <c r="K19" s="250"/>
      <c r="L19" s="243"/>
      <c r="M19" s="244"/>
      <c r="N19" s="247">
        <f t="shared" si="3"/>
        <v>900</v>
      </c>
      <c r="O19" s="125"/>
      <c r="P19" s="173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>
      <c r="A20" s="162" t="s">
        <v>364</v>
      </c>
      <c r="B20" s="162"/>
      <c r="C20" s="162"/>
      <c r="D20" s="162">
        <v>1</v>
      </c>
      <c r="E20" s="162" t="s">
        <v>365</v>
      </c>
      <c r="F20" s="251">
        <f t="shared" ref="F20:N20" si="4">SUM(F6:F19)</f>
        <v>900</v>
      </c>
      <c r="G20" s="251">
        <f t="shared" si="4"/>
        <v>0</v>
      </c>
      <c r="H20" s="251">
        <f t="shared" si="4"/>
        <v>0</v>
      </c>
      <c r="I20" s="251">
        <f t="shared" si="4"/>
        <v>0</v>
      </c>
      <c r="J20" s="251">
        <f t="shared" si="4"/>
        <v>0</v>
      </c>
      <c r="K20" s="251">
        <f t="shared" si="4"/>
        <v>0</v>
      </c>
      <c r="L20" s="251">
        <f t="shared" si="4"/>
        <v>0</v>
      </c>
      <c r="M20" s="251">
        <f t="shared" si="4"/>
        <v>0</v>
      </c>
      <c r="N20" s="251">
        <f t="shared" si="4"/>
        <v>900</v>
      </c>
      <c r="O20" s="125"/>
      <c r="P20" s="173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ht="14.25" hidden="1" customHeight="1" outlineLevel="1">
      <c r="A21" s="168">
        <v>10</v>
      </c>
      <c r="B21" s="168" t="s">
        <v>366</v>
      </c>
      <c r="C21" s="168" t="str">
        <f t="shared" ref="C21:C29" si="5">MID(E21,4,LEN(E21))</f>
        <v xml:space="preserve"> Padang</v>
      </c>
      <c r="D21" s="168" t="str">
        <f t="shared" ref="D21:D29" si="6">IFERROR(VLOOKUP($E$4&amp;C21,#REF!,2,FALSE),"")</f>
        <v/>
      </c>
      <c r="E21" s="252" t="s">
        <v>368</v>
      </c>
      <c r="F21" s="246"/>
      <c r="G21" s="242"/>
      <c r="H21" s="243"/>
      <c r="I21" s="249"/>
      <c r="J21" s="243"/>
      <c r="K21" s="243"/>
      <c r="L21" s="243"/>
      <c r="M21" s="244"/>
      <c r="N21" s="247">
        <f t="shared" ref="N21:N29" si="7">SUM(F21:M21)</f>
        <v>0</v>
      </c>
      <c r="O21" s="125"/>
      <c r="P21" s="173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ht="14.25" hidden="1" customHeight="1" outlineLevel="1">
      <c r="A22" s="168">
        <v>4</v>
      </c>
      <c r="B22" s="168" t="s">
        <v>369</v>
      </c>
      <c r="C22" s="168" t="str">
        <f t="shared" si="5"/>
        <v xml:space="preserve"> Solok</v>
      </c>
      <c r="D22" s="168" t="str">
        <f t="shared" si="6"/>
        <v/>
      </c>
      <c r="E22" s="253" t="s">
        <v>371</v>
      </c>
      <c r="F22" s="246"/>
      <c r="G22" s="242"/>
      <c r="H22" s="243"/>
      <c r="I22" s="243"/>
      <c r="J22" s="243"/>
      <c r="K22" s="249"/>
      <c r="L22" s="243"/>
      <c r="M22" s="244"/>
      <c r="N22" s="247">
        <f t="shared" si="7"/>
        <v>0</v>
      </c>
      <c r="O22" s="125"/>
      <c r="P22" s="173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ht="14.25" hidden="1" customHeight="1" outlineLevel="1">
      <c r="A23" s="168">
        <v>4</v>
      </c>
      <c r="B23" s="168" t="s">
        <v>372</v>
      </c>
      <c r="C23" s="168" t="str">
        <f t="shared" si="5"/>
        <v xml:space="preserve"> Bukittinggi</v>
      </c>
      <c r="D23" s="168" t="str">
        <f t="shared" si="6"/>
        <v/>
      </c>
      <c r="E23" s="253" t="s">
        <v>374</v>
      </c>
      <c r="F23" s="246"/>
      <c r="G23" s="242"/>
      <c r="H23" s="243"/>
      <c r="I23" s="243"/>
      <c r="J23" s="243"/>
      <c r="K23" s="249"/>
      <c r="L23" s="249"/>
      <c r="M23" s="244"/>
      <c r="N23" s="247">
        <f t="shared" si="7"/>
        <v>0</v>
      </c>
      <c r="O23" s="125"/>
      <c r="P23" s="173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ht="14.25" hidden="1" customHeight="1" outlineLevel="1">
      <c r="A24" s="168">
        <v>12</v>
      </c>
      <c r="B24" s="168" t="s">
        <v>375</v>
      </c>
      <c r="C24" s="168" t="str">
        <f t="shared" si="5"/>
        <v xml:space="preserve"> Pekanbaru</v>
      </c>
      <c r="D24" s="168" t="str">
        <f t="shared" si="6"/>
        <v/>
      </c>
      <c r="E24" s="252" t="s">
        <v>376</v>
      </c>
      <c r="F24" s="246"/>
      <c r="G24" s="242"/>
      <c r="H24" s="243"/>
      <c r="I24" s="243"/>
      <c r="J24" s="249"/>
      <c r="K24" s="243"/>
      <c r="L24" s="243"/>
      <c r="M24" s="244"/>
      <c r="N24" s="247">
        <f t="shared" si="7"/>
        <v>0</v>
      </c>
      <c r="O24" s="125"/>
      <c r="P24" s="173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ht="14.25" hidden="1" customHeight="1" outlineLevel="1">
      <c r="A25" s="168">
        <v>10</v>
      </c>
      <c r="B25" s="168" t="s">
        <v>377</v>
      </c>
      <c r="C25" s="168" t="str">
        <f t="shared" si="5"/>
        <v xml:space="preserve"> Duri</v>
      </c>
      <c r="D25" s="168" t="str">
        <f t="shared" si="6"/>
        <v/>
      </c>
      <c r="E25" s="252" t="s">
        <v>379</v>
      </c>
      <c r="F25" s="246"/>
      <c r="G25" s="242"/>
      <c r="H25" s="243"/>
      <c r="I25" s="243"/>
      <c r="J25" s="249"/>
      <c r="K25" s="249"/>
      <c r="L25" s="243"/>
      <c r="M25" s="244"/>
      <c r="N25" s="247">
        <f t="shared" si="7"/>
        <v>0</v>
      </c>
      <c r="O25" s="125"/>
      <c r="P25" s="173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4.25" hidden="1" customHeight="1" outlineLevel="1">
      <c r="A26" s="168">
        <v>5</v>
      </c>
      <c r="B26" s="168" t="s">
        <v>380</v>
      </c>
      <c r="C26" s="168" t="str">
        <f t="shared" si="5"/>
        <v xml:space="preserve"> Air Molek</v>
      </c>
      <c r="D26" s="168" t="str">
        <f t="shared" si="6"/>
        <v/>
      </c>
      <c r="E26" s="252" t="s">
        <v>381</v>
      </c>
      <c r="F26" s="246"/>
      <c r="G26" s="242"/>
      <c r="H26" s="243"/>
      <c r="I26" s="243"/>
      <c r="J26" s="243"/>
      <c r="K26" s="249"/>
      <c r="L26" s="243"/>
      <c r="M26" s="244"/>
      <c r="N26" s="247">
        <f t="shared" si="7"/>
        <v>0</v>
      </c>
      <c r="O26" s="125"/>
      <c r="P26" s="173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4.25" hidden="1" customHeight="1" outlineLevel="1">
      <c r="A27" s="168">
        <v>14</v>
      </c>
      <c r="B27" s="168" t="s">
        <v>382</v>
      </c>
      <c r="C27" s="168" t="str">
        <f t="shared" si="5"/>
        <v xml:space="preserve"> Batam</v>
      </c>
      <c r="D27" s="168" t="str">
        <f t="shared" si="6"/>
        <v/>
      </c>
      <c r="E27" s="252" t="s">
        <v>383</v>
      </c>
      <c r="F27" s="246"/>
      <c r="G27" s="242"/>
      <c r="H27" s="243"/>
      <c r="I27" s="243"/>
      <c r="J27" s="249"/>
      <c r="K27" s="243"/>
      <c r="L27" s="243"/>
      <c r="M27" s="244"/>
      <c r="N27" s="247">
        <f t="shared" si="7"/>
        <v>0</v>
      </c>
      <c r="O27" s="125"/>
      <c r="P27" s="173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4.25" hidden="1" customHeight="1" outlineLevel="1">
      <c r="A28" s="168"/>
      <c r="B28" s="168" t="s">
        <v>384</v>
      </c>
      <c r="C28" s="168" t="str">
        <f t="shared" si="5"/>
        <v xml:space="preserve"> Tanjung Pinang</v>
      </c>
      <c r="D28" s="168" t="str">
        <f t="shared" si="6"/>
        <v/>
      </c>
      <c r="E28" s="252" t="s">
        <v>386</v>
      </c>
      <c r="F28" s="246"/>
      <c r="G28" s="242"/>
      <c r="H28" s="243"/>
      <c r="I28" s="249"/>
      <c r="J28" s="243"/>
      <c r="K28" s="243"/>
      <c r="L28" s="243"/>
      <c r="M28" s="244"/>
      <c r="N28" s="247">
        <f t="shared" si="7"/>
        <v>0</v>
      </c>
      <c r="O28" s="125"/>
      <c r="P28" s="173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ht="14.25" hidden="1" customHeight="1" outlineLevel="1">
      <c r="A29" s="168"/>
      <c r="B29" s="168" t="s">
        <v>387</v>
      </c>
      <c r="C29" s="168" t="str">
        <f t="shared" si="5"/>
        <v xml:space="preserve"> Tanjung Balai Karimun</v>
      </c>
      <c r="D29" s="168" t="str">
        <f t="shared" si="6"/>
        <v/>
      </c>
      <c r="E29" s="252" t="s">
        <v>389</v>
      </c>
      <c r="F29" s="246"/>
      <c r="G29" s="242"/>
      <c r="H29" s="243"/>
      <c r="I29" s="243"/>
      <c r="J29" s="249"/>
      <c r="K29" s="243"/>
      <c r="L29" s="243"/>
      <c r="M29" s="244"/>
      <c r="N29" s="247">
        <f t="shared" si="7"/>
        <v>0</v>
      </c>
      <c r="O29" s="125"/>
      <c r="P29" s="173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ht="15.75" customHeight="1" collapsed="1">
      <c r="A30" s="162" t="s">
        <v>390</v>
      </c>
      <c r="B30" s="162"/>
      <c r="C30" s="162"/>
      <c r="D30" s="162">
        <v>1</v>
      </c>
      <c r="E30" s="162" t="s">
        <v>391</v>
      </c>
      <c r="F30" s="251">
        <f t="shared" ref="F30:N30" si="8">SUM(F21:F29)</f>
        <v>0</v>
      </c>
      <c r="G30" s="251">
        <f t="shared" si="8"/>
        <v>0</v>
      </c>
      <c r="H30" s="251">
        <f t="shared" si="8"/>
        <v>0</v>
      </c>
      <c r="I30" s="251">
        <f t="shared" si="8"/>
        <v>0</v>
      </c>
      <c r="J30" s="251">
        <f t="shared" si="8"/>
        <v>0</v>
      </c>
      <c r="K30" s="251">
        <f t="shared" si="8"/>
        <v>0</v>
      </c>
      <c r="L30" s="251">
        <f t="shared" si="8"/>
        <v>0</v>
      </c>
      <c r="M30" s="251">
        <f t="shared" si="8"/>
        <v>0</v>
      </c>
      <c r="N30" s="251">
        <f t="shared" si="8"/>
        <v>0</v>
      </c>
      <c r="O30" s="125"/>
      <c r="P30" s="173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4.25" hidden="1" customHeight="1" outlineLevel="1">
      <c r="A31" s="168">
        <v>3</v>
      </c>
      <c r="B31" s="168" t="s">
        <v>392</v>
      </c>
      <c r="C31" s="168" t="str">
        <f t="shared" ref="C31:C38" si="9">MID(E31,4,LEN(E31))</f>
        <v xml:space="preserve"> Palembang Inner</v>
      </c>
      <c r="D31" s="168" t="str">
        <f t="shared" ref="D31:D38" si="10">IFERROR(VLOOKUP($E$4&amp;C31,#REF!,2,FALSE),"")</f>
        <v/>
      </c>
      <c r="E31" s="252" t="s">
        <v>394</v>
      </c>
      <c r="F31" s="246"/>
      <c r="G31" s="248"/>
      <c r="H31" s="254"/>
      <c r="I31" s="243"/>
      <c r="J31" s="243"/>
      <c r="K31" s="243"/>
      <c r="L31" s="249"/>
      <c r="M31" s="244"/>
      <c r="N31" s="247">
        <f t="shared" ref="N31:N33" si="11">SUM(F31:M31)</f>
        <v>0</v>
      </c>
      <c r="O31" s="125"/>
      <c r="P31" s="173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26" ht="14.25" hidden="1" customHeight="1" outlineLevel="1">
      <c r="A32" s="168">
        <v>3</v>
      </c>
      <c r="B32" s="168" t="s">
        <v>395</v>
      </c>
      <c r="C32" s="168" t="str">
        <f t="shared" si="9"/>
        <v xml:space="preserve"> Palembang Outer</v>
      </c>
      <c r="D32" s="168" t="str">
        <f t="shared" si="10"/>
        <v/>
      </c>
      <c r="E32" s="252" t="s">
        <v>396</v>
      </c>
      <c r="F32" s="246"/>
      <c r="G32" s="242"/>
      <c r="H32" s="249"/>
      <c r="I32" s="243"/>
      <c r="J32" s="243"/>
      <c r="K32" s="243"/>
      <c r="L32" s="249"/>
      <c r="M32" s="244"/>
      <c r="N32" s="247">
        <f t="shared" si="11"/>
        <v>0</v>
      </c>
      <c r="O32" s="125"/>
      <c r="P32" s="173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 ht="14.25" hidden="1" customHeight="1" outlineLevel="1">
      <c r="A33" s="168">
        <v>3</v>
      </c>
      <c r="B33" s="168" t="s">
        <v>397</v>
      </c>
      <c r="C33" s="168" t="str">
        <f t="shared" si="9"/>
        <v xml:space="preserve"> Pangkal Pinang</v>
      </c>
      <c r="D33" s="168" t="str">
        <f t="shared" si="10"/>
        <v/>
      </c>
      <c r="E33" s="252" t="s">
        <v>399</v>
      </c>
      <c r="F33" s="246"/>
      <c r="G33" s="242"/>
      <c r="H33" s="243"/>
      <c r="I33" s="249"/>
      <c r="J33" s="243"/>
      <c r="K33" s="243"/>
      <c r="L33" s="243"/>
      <c r="M33" s="244"/>
      <c r="N33" s="247">
        <f t="shared" si="11"/>
        <v>0</v>
      </c>
      <c r="O33" s="125"/>
      <c r="P33" s="173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 ht="14.25" hidden="1" customHeight="1" outlineLevel="1">
      <c r="A34" s="168"/>
      <c r="B34" s="168" t="s">
        <v>397</v>
      </c>
      <c r="C34" s="168" t="str">
        <f t="shared" si="9"/>
        <v xml:space="preserve"> Tanjung Pandan</v>
      </c>
      <c r="D34" s="168" t="str">
        <f t="shared" si="10"/>
        <v/>
      </c>
      <c r="E34" s="252" t="s">
        <v>2787</v>
      </c>
      <c r="F34" s="246"/>
      <c r="G34" s="242"/>
      <c r="H34" s="243"/>
      <c r="I34" s="243"/>
      <c r="J34" s="249"/>
      <c r="K34" s="243"/>
      <c r="L34" s="243"/>
      <c r="M34" s="244"/>
      <c r="N34" s="247"/>
      <c r="O34" s="125"/>
      <c r="P34" s="173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 ht="14.25" hidden="1" customHeight="1" outlineLevel="1">
      <c r="A35" s="168">
        <v>3</v>
      </c>
      <c r="B35" s="168" t="s">
        <v>400</v>
      </c>
      <c r="C35" s="168" t="str">
        <f t="shared" si="9"/>
        <v xml:space="preserve"> Lahat</v>
      </c>
      <c r="D35" s="168" t="str">
        <f t="shared" si="10"/>
        <v/>
      </c>
      <c r="E35" s="252" t="s">
        <v>402</v>
      </c>
      <c r="F35" s="246"/>
      <c r="G35" s="242"/>
      <c r="H35" s="249"/>
      <c r="I35" s="243"/>
      <c r="J35" s="243"/>
      <c r="K35" s="249"/>
      <c r="L35" s="243"/>
      <c r="M35" s="244"/>
      <c r="N35" s="247">
        <f t="shared" ref="N35:N38" si="12">SUM(F35:M35)</f>
        <v>0</v>
      </c>
      <c r="O35" s="125"/>
      <c r="P35" s="173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 ht="14.25" hidden="1" customHeight="1" outlineLevel="1">
      <c r="A36" s="168">
        <v>3</v>
      </c>
      <c r="B36" s="168" t="s">
        <v>403</v>
      </c>
      <c r="C36" s="168" t="str">
        <f t="shared" si="9"/>
        <v xml:space="preserve"> Batu Raja</v>
      </c>
      <c r="D36" s="168" t="str">
        <f t="shared" si="10"/>
        <v/>
      </c>
      <c r="E36" s="252" t="s">
        <v>405</v>
      </c>
      <c r="F36" s="246"/>
      <c r="G36" s="242"/>
      <c r="H36" s="249"/>
      <c r="I36" s="243"/>
      <c r="J36" s="243"/>
      <c r="K36" s="249"/>
      <c r="L36" s="243"/>
      <c r="M36" s="244"/>
      <c r="N36" s="247">
        <f t="shared" si="12"/>
        <v>0</v>
      </c>
      <c r="O36" s="125"/>
      <c r="P36" s="173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 ht="14.25" hidden="1" customHeight="1" outlineLevel="1">
      <c r="A37" s="168">
        <v>4</v>
      </c>
      <c r="B37" s="168" t="s">
        <v>406</v>
      </c>
      <c r="C37" s="168" t="str">
        <f t="shared" si="9"/>
        <v xml:space="preserve"> Jambi</v>
      </c>
      <c r="D37" s="168" t="str">
        <f t="shared" si="10"/>
        <v/>
      </c>
      <c r="E37" s="252" t="s">
        <v>407</v>
      </c>
      <c r="F37" s="246"/>
      <c r="G37" s="242"/>
      <c r="H37" s="249"/>
      <c r="I37" s="243"/>
      <c r="J37" s="243"/>
      <c r="K37" s="249"/>
      <c r="L37" s="243"/>
      <c r="M37" s="244"/>
      <c r="N37" s="247">
        <f t="shared" si="12"/>
        <v>0</v>
      </c>
      <c r="O37" s="125"/>
      <c r="P37" s="173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 ht="14.25" hidden="1" customHeight="1" outlineLevel="1">
      <c r="A38" s="168">
        <v>4</v>
      </c>
      <c r="B38" s="168" t="s">
        <v>408</v>
      </c>
      <c r="C38" s="168" t="str">
        <f t="shared" si="9"/>
        <v xml:space="preserve"> Muara Bungo</v>
      </c>
      <c r="D38" s="168" t="str">
        <f t="shared" si="10"/>
        <v/>
      </c>
      <c r="E38" s="252" t="s">
        <v>409</v>
      </c>
      <c r="F38" s="246"/>
      <c r="G38" s="242"/>
      <c r="H38" s="249"/>
      <c r="I38" s="243"/>
      <c r="J38" s="243"/>
      <c r="K38" s="249"/>
      <c r="L38" s="243"/>
      <c r="M38" s="244"/>
      <c r="N38" s="247">
        <f t="shared" si="12"/>
        <v>0</v>
      </c>
      <c r="O38" s="125"/>
      <c r="P38" s="173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 ht="15.75" customHeight="1" collapsed="1">
      <c r="A39" s="162" t="s">
        <v>410</v>
      </c>
      <c r="B39" s="162"/>
      <c r="C39" s="162"/>
      <c r="D39" s="162">
        <v>1</v>
      </c>
      <c r="E39" s="162" t="s">
        <v>411</v>
      </c>
      <c r="F39" s="251">
        <f t="shared" ref="F39:N39" si="13">SUM(F31:F38)</f>
        <v>0</v>
      </c>
      <c r="G39" s="251">
        <f t="shared" si="13"/>
        <v>0</v>
      </c>
      <c r="H39" s="251">
        <f t="shared" si="13"/>
        <v>0</v>
      </c>
      <c r="I39" s="251">
        <f t="shared" si="13"/>
        <v>0</v>
      </c>
      <c r="J39" s="251">
        <f t="shared" si="13"/>
        <v>0</v>
      </c>
      <c r="K39" s="251">
        <f t="shared" si="13"/>
        <v>0</v>
      </c>
      <c r="L39" s="251">
        <f t="shared" si="13"/>
        <v>0</v>
      </c>
      <c r="M39" s="251">
        <f t="shared" si="13"/>
        <v>0</v>
      </c>
      <c r="N39" s="251">
        <f t="shared" si="13"/>
        <v>0</v>
      </c>
      <c r="O39" s="125"/>
      <c r="P39" s="173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 ht="14.25" hidden="1" customHeight="1" outlineLevel="1">
      <c r="A40" s="168">
        <v>3</v>
      </c>
      <c r="B40" s="168" t="s">
        <v>412</v>
      </c>
      <c r="C40" s="168" t="str">
        <f t="shared" ref="C40:C47" si="14">MID(E40,4,LEN(E40))</f>
        <v xml:space="preserve"> Lampung</v>
      </c>
      <c r="D40" s="168" t="str">
        <f t="shared" ref="D40:D47" si="15">IFERROR(VLOOKUP($E$4&amp;C40,#REF!,2,FALSE),"")</f>
        <v/>
      </c>
      <c r="E40" s="252" t="s">
        <v>413</v>
      </c>
      <c r="F40" s="246"/>
      <c r="G40" s="248"/>
      <c r="H40" s="243"/>
      <c r="I40" s="249"/>
      <c r="J40" s="243"/>
      <c r="K40" s="243"/>
      <c r="L40" s="249"/>
      <c r="M40" s="255"/>
      <c r="N40" s="247">
        <f t="shared" ref="N40:N47" si="16">SUM(F40:M40)</f>
        <v>0</v>
      </c>
      <c r="O40" s="125"/>
      <c r="P40" s="173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 ht="14.25" hidden="1" customHeight="1" outlineLevel="1">
      <c r="A41" s="168">
        <v>3</v>
      </c>
      <c r="B41" s="168" t="s">
        <v>414</v>
      </c>
      <c r="C41" s="168" t="str">
        <f t="shared" si="14"/>
        <v xml:space="preserve"> Kalianda</v>
      </c>
      <c r="D41" s="168" t="str">
        <f t="shared" si="15"/>
        <v/>
      </c>
      <c r="E41" s="253" t="s">
        <v>415</v>
      </c>
      <c r="F41" s="246"/>
      <c r="G41" s="242"/>
      <c r="H41" s="243"/>
      <c r="I41" s="243"/>
      <c r="J41" s="243"/>
      <c r="K41" s="243"/>
      <c r="L41" s="243"/>
      <c r="M41" s="244"/>
      <c r="N41" s="247">
        <f t="shared" si="16"/>
        <v>0</v>
      </c>
      <c r="O41" s="125"/>
      <c r="P41" s="173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 ht="14.25" hidden="1" customHeight="1" outlineLevel="1">
      <c r="A42" s="168">
        <v>3</v>
      </c>
      <c r="B42" s="168" t="s">
        <v>416</v>
      </c>
      <c r="C42" s="168" t="str">
        <f t="shared" si="14"/>
        <v xml:space="preserve"> Pringsewu</v>
      </c>
      <c r="D42" s="168" t="str">
        <f t="shared" si="15"/>
        <v/>
      </c>
      <c r="E42" s="252" t="s">
        <v>417</v>
      </c>
      <c r="F42" s="246"/>
      <c r="G42" s="242"/>
      <c r="H42" s="243"/>
      <c r="I42" s="249"/>
      <c r="J42" s="243"/>
      <c r="K42" s="243"/>
      <c r="L42" s="249"/>
      <c r="M42" s="244"/>
      <c r="N42" s="247">
        <f t="shared" si="16"/>
        <v>0</v>
      </c>
      <c r="O42" s="125"/>
      <c r="P42" s="173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 ht="14.25" hidden="1" customHeight="1" outlineLevel="1">
      <c r="A43" s="168">
        <v>3</v>
      </c>
      <c r="B43" s="168" t="s">
        <v>418</v>
      </c>
      <c r="C43" s="168" t="str">
        <f t="shared" si="14"/>
        <v xml:space="preserve"> Kota Bumi</v>
      </c>
      <c r="D43" s="168" t="str">
        <f t="shared" si="15"/>
        <v/>
      </c>
      <c r="E43" s="252" t="s">
        <v>419</v>
      </c>
      <c r="F43" s="246"/>
      <c r="G43" s="242"/>
      <c r="H43" s="243"/>
      <c r="I43" s="249"/>
      <c r="J43" s="243"/>
      <c r="K43" s="243"/>
      <c r="L43" s="249"/>
      <c r="M43" s="244"/>
      <c r="N43" s="247">
        <f t="shared" si="16"/>
        <v>0</v>
      </c>
      <c r="O43" s="125"/>
      <c r="P43" s="173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 ht="14.25" hidden="1" customHeight="1" outlineLevel="1">
      <c r="A44" s="168">
        <v>3</v>
      </c>
      <c r="B44" s="168" t="s">
        <v>420</v>
      </c>
      <c r="C44" s="168" t="str">
        <f t="shared" si="14"/>
        <v xml:space="preserve"> Tuba</v>
      </c>
      <c r="D44" s="168" t="str">
        <f t="shared" si="15"/>
        <v/>
      </c>
      <c r="E44" s="252" t="s">
        <v>421</v>
      </c>
      <c r="F44" s="246"/>
      <c r="G44" s="242"/>
      <c r="H44" s="243"/>
      <c r="I44" s="249"/>
      <c r="J44" s="243"/>
      <c r="K44" s="243"/>
      <c r="L44" s="249"/>
      <c r="M44" s="244"/>
      <c r="N44" s="247">
        <f t="shared" si="16"/>
        <v>0</v>
      </c>
      <c r="O44" s="125"/>
      <c r="P44" s="173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spans="1:26" ht="14.25" hidden="1" customHeight="1" outlineLevel="1">
      <c r="A45" s="168">
        <v>3</v>
      </c>
      <c r="B45" s="168" t="s">
        <v>422</v>
      </c>
      <c r="C45" s="168" t="str">
        <f t="shared" si="14"/>
        <v xml:space="preserve"> Metro</v>
      </c>
      <c r="D45" s="168" t="str">
        <f t="shared" si="15"/>
        <v/>
      </c>
      <c r="E45" s="252" t="s">
        <v>423</v>
      </c>
      <c r="F45" s="246"/>
      <c r="G45" s="242"/>
      <c r="H45" s="249"/>
      <c r="I45" s="243"/>
      <c r="J45" s="243"/>
      <c r="K45" s="243"/>
      <c r="L45" s="249"/>
      <c r="M45" s="244"/>
      <c r="N45" s="247">
        <f t="shared" si="16"/>
        <v>0</v>
      </c>
      <c r="O45" s="125"/>
      <c r="P45" s="173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spans="1:26" ht="14.25" hidden="1" customHeight="1" outlineLevel="1">
      <c r="A46" s="168">
        <v>4</v>
      </c>
      <c r="B46" s="168" t="s">
        <v>424</v>
      </c>
      <c r="C46" s="168" t="str">
        <f t="shared" si="14"/>
        <v xml:space="preserve"> Bengkulu</v>
      </c>
      <c r="D46" s="168" t="str">
        <f t="shared" si="15"/>
        <v/>
      </c>
      <c r="E46" s="252" t="s">
        <v>425</v>
      </c>
      <c r="F46" s="246"/>
      <c r="G46" s="242"/>
      <c r="H46" s="249"/>
      <c r="I46" s="243"/>
      <c r="J46" s="243"/>
      <c r="K46" s="249"/>
      <c r="L46" s="243"/>
      <c r="M46" s="244"/>
      <c r="N46" s="247">
        <f t="shared" si="16"/>
        <v>0</v>
      </c>
      <c r="O46" s="125"/>
      <c r="P46" s="173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spans="1:26" ht="14.25" hidden="1" customHeight="1" outlineLevel="1">
      <c r="A47" s="168">
        <v>4</v>
      </c>
      <c r="B47" s="168" t="s">
        <v>426</v>
      </c>
      <c r="C47" s="168" t="str">
        <f t="shared" si="14"/>
        <v xml:space="preserve"> Lubuk Linggau</v>
      </c>
      <c r="D47" s="168" t="str">
        <f t="shared" si="15"/>
        <v/>
      </c>
      <c r="E47" s="252" t="s">
        <v>427</v>
      </c>
      <c r="F47" s="246"/>
      <c r="G47" s="242"/>
      <c r="H47" s="249"/>
      <c r="I47" s="243"/>
      <c r="J47" s="243"/>
      <c r="K47" s="249"/>
      <c r="L47" s="243"/>
      <c r="M47" s="244"/>
      <c r="N47" s="247">
        <f t="shared" si="16"/>
        <v>0</v>
      </c>
      <c r="O47" s="125"/>
      <c r="P47" s="173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spans="1:26" ht="15.75" customHeight="1" collapsed="1">
      <c r="A48" s="162" t="s">
        <v>410</v>
      </c>
      <c r="B48" s="162"/>
      <c r="C48" s="162"/>
      <c r="D48" s="162">
        <v>1</v>
      </c>
      <c r="E48" s="162" t="s">
        <v>428</v>
      </c>
      <c r="F48" s="251">
        <f t="shared" ref="F48:N48" si="17">SUM(F40:F47)</f>
        <v>0</v>
      </c>
      <c r="G48" s="251">
        <f t="shared" si="17"/>
        <v>0</v>
      </c>
      <c r="H48" s="251">
        <f t="shared" si="17"/>
        <v>0</v>
      </c>
      <c r="I48" s="251">
        <f t="shared" si="17"/>
        <v>0</v>
      </c>
      <c r="J48" s="251">
        <f t="shared" si="17"/>
        <v>0</v>
      </c>
      <c r="K48" s="251">
        <f t="shared" si="17"/>
        <v>0</v>
      </c>
      <c r="L48" s="251">
        <f t="shared" si="17"/>
        <v>0</v>
      </c>
      <c r="M48" s="251">
        <f t="shared" si="17"/>
        <v>0</v>
      </c>
      <c r="N48" s="251">
        <f t="shared" si="17"/>
        <v>0</v>
      </c>
      <c r="O48" s="125"/>
      <c r="P48" s="173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spans="1:26" ht="14.25" hidden="1" customHeight="1" outlineLevel="1">
      <c r="A49" s="168"/>
      <c r="B49" s="168" t="s">
        <v>449</v>
      </c>
      <c r="C49" s="168" t="s">
        <v>430</v>
      </c>
      <c r="D49" s="168" t="str">
        <f t="shared" ref="D49:D57" si="18">IFERROR(VLOOKUP($E$4&amp;C49,#REF!,2,FALSE),"")</f>
        <v/>
      </c>
      <c r="E49" s="252" t="s">
        <v>450</v>
      </c>
      <c r="F49" s="246"/>
      <c r="G49" s="242"/>
      <c r="H49" s="250"/>
      <c r="I49" s="243"/>
      <c r="J49" s="249"/>
      <c r="K49" s="243"/>
      <c r="L49" s="250"/>
      <c r="M49" s="255"/>
      <c r="N49" s="247">
        <f t="shared" ref="N49:N57" si="19">SUM(F49:M49)</f>
        <v>0</v>
      </c>
      <c r="O49" s="125"/>
      <c r="P49" s="173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spans="1:26" ht="14.25" hidden="1" customHeight="1" outlineLevel="1">
      <c r="A50" s="168"/>
      <c r="B50" s="168" t="s">
        <v>436</v>
      </c>
      <c r="C50" s="168" t="s">
        <v>437</v>
      </c>
      <c r="D50" s="168" t="str">
        <f t="shared" si="18"/>
        <v/>
      </c>
      <c r="E50" s="252" t="s">
        <v>2788</v>
      </c>
      <c r="F50" s="246"/>
      <c r="G50" s="248"/>
      <c r="H50" s="256"/>
      <c r="I50" s="249"/>
      <c r="J50" s="256"/>
      <c r="K50" s="249"/>
      <c r="L50" s="256"/>
      <c r="M50" s="255"/>
      <c r="N50" s="247">
        <f t="shared" si="19"/>
        <v>0</v>
      </c>
      <c r="O50" s="125"/>
      <c r="P50" s="173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spans="1:26" ht="14.25" hidden="1" customHeight="1" outlineLevel="1">
      <c r="A51" s="168"/>
      <c r="B51" s="168" t="s">
        <v>429</v>
      </c>
      <c r="C51" s="168" t="s">
        <v>430</v>
      </c>
      <c r="D51" s="168" t="str">
        <f t="shared" si="18"/>
        <v/>
      </c>
      <c r="E51" s="253" t="s">
        <v>432</v>
      </c>
      <c r="F51" s="246"/>
      <c r="G51" s="242"/>
      <c r="H51" s="250"/>
      <c r="I51" s="243"/>
      <c r="J51" s="249"/>
      <c r="K51" s="243"/>
      <c r="L51" s="250"/>
      <c r="M51" s="255"/>
      <c r="N51" s="247">
        <f t="shared" si="19"/>
        <v>0</v>
      </c>
      <c r="O51" s="125"/>
      <c r="P51" s="173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spans="1:26" ht="14.25" hidden="1" customHeight="1" outlineLevel="1">
      <c r="A52" s="168"/>
      <c r="B52" s="168" t="s">
        <v>433</v>
      </c>
      <c r="C52" s="168" t="s">
        <v>434</v>
      </c>
      <c r="D52" s="168" t="str">
        <f t="shared" si="18"/>
        <v/>
      </c>
      <c r="E52" s="253" t="s">
        <v>435</v>
      </c>
      <c r="F52" s="246"/>
      <c r="G52" s="242"/>
      <c r="H52" s="243"/>
      <c r="I52" s="243"/>
      <c r="J52" s="243"/>
      <c r="K52" s="243"/>
      <c r="L52" s="243"/>
      <c r="M52" s="244"/>
      <c r="N52" s="247">
        <f t="shared" si="19"/>
        <v>0</v>
      </c>
      <c r="O52" s="125"/>
      <c r="P52" s="173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14.25" hidden="1" customHeight="1" outlineLevel="1">
      <c r="A53" s="168"/>
      <c r="B53" s="168" t="s">
        <v>439</v>
      </c>
      <c r="C53" s="168" t="s">
        <v>437</v>
      </c>
      <c r="D53" s="168" t="str">
        <f t="shared" si="18"/>
        <v/>
      </c>
      <c r="E53" s="253" t="s">
        <v>440</v>
      </c>
      <c r="F53" s="246"/>
      <c r="G53" s="248"/>
      <c r="H53" s="249"/>
      <c r="I53" s="243"/>
      <c r="J53" s="249"/>
      <c r="K53" s="243"/>
      <c r="L53" s="249"/>
      <c r="M53" s="244"/>
      <c r="N53" s="247">
        <f t="shared" si="19"/>
        <v>0</v>
      </c>
      <c r="O53" s="125"/>
      <c r="P53" s="173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spans="1:26" ht="14.25" hidden="1" customHeight="1" outlineLevel="1">
      <c r="A54" s="168"/>
      <c r="B54" s="168" t="s">
        <v>441</v>
      </c>
      <c r="C54" s="168" t="s">
        <v>442</v>
      </c>
      <c r="D54" s="168" t="str">
        <f t="shared" si="18"/>
        <v/>
      </c>
      <c r="E54" s="253" t="s">
        <v>443</v>
      </c>
      <c r="F54" s="246"/>
      <c r="G54" s="242"/>
      <c r="H54" s="243"/>
      <c r="I54" s="243"/>
      <c r="J54" s="243"/>
      <c r="K54" s="243"/>
      <c r="L54" s="243"/>
      <c r="M54" s="244"/>
      <c r="N54" s="247">
        <f t="shared" si="19"/>
        <v>0</v>
      </c>
      <c r="O54" s="125"/>
      <c r="P54" s="173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spans="1:26" ht="14.25" hidden="1" customHeight="1" outlineLevel="1">
      <c r="A55" s="168"/>
      <c r="B55" s="168" t="s">
        <v>444</v>
      </c>
      <c r="C55" s="168" t="s">
        <v>442</v>
      </c>
      <c r="D55" s="168" t="str">
        <f t="shared" si="18"/>
        <v/>
      </c>
      <c r="E55" s="253" t="s">
        <v>445</v>
      </c>
      <c r="F55" s="246"/>
      <c r="G55" s="242"/>
      <c r="H55" s="243"/>
      <c r="I55" s="243"/>
      <c r="J55" s="243"/>
      <c r="K55" s="243"/>
      <c r="L55" s="243"/>
      <c r="M55" s="244"/>
      <c r="N55" s="247">
        <f t="shared" si="19"/>
        <v>0</v>
      </c>
      <c r="O55" s="125"/>
      <c r="P55" s="173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spans="1:26" ht="14.25" hidden="1" customHeight="1" outlineLevel="1">
      <c r="A56" s="168"/>
      <c r="B56" s="168" t="s">
        <v>446</v>
      </c>
      <c r="C56" s="168" t="s">
        <v>447</v>
      </c>
      <c r="D56" s="168" t="str">
        <f t="shared" si="18"/>
        <v/>
      </c>
      <c r="E56" s="253" t="s">
        <v>448</v>
      </c>
      <c r="F56" s="246"/>
      <c r="G56" s="242"/>
      <c r="H56" s="243"/>
      <c r="I56" s="243"/>
      <c r="J56" s="243"/>
      <c r="K56" s="243"/>
      <c r="L56" s="243"/>
      <c r="M56" s="244"/>
      <c r="N56" s="247">
        <f t="shared" si="19"/>
        <v>0</v>
      </c>
      <c r="O56" s="125"/>
      <c r="P56" s="173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spans="1:26" ht="14.25" hidden="1" customHeight="1" outlineLevel="1">
      <c r="A57" s="168"/>
      <c r="B57" s="168" t="s">
        <v>451</v>
      </c>
      <c r="C57" s="168" t="str">
        <f>MID(E57,4,LEN(E57))</f>
        <v xml:space="preserve"> Depok</v>
      </c>
      <c r="D57" s="168" t="str">
        <f t="shared" si="18"/>
        <v/>
      </c>
      <c r="E57" s="253" t="s">
        <v>452</v>
      </c>
      <c r="F57" s="246"/>
      <c r="G57" s="242"/>
      <c r="H57" s="243"/>
      <c r="I57" s="243"/>
      <c r="J57" s="243"/>
      <c r="K57" s="243"/>
      <c r="L57" s="243"/>
      <c r="M57" s="244"/>
      <c r="N57" s="247">
        <f t="shared" si="19"/>
        <v>0</v>
      </c>
      <c r="O57" s="125"/>
      <c r="P57" s="173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spans="1:26" ht="15.75" customHeight="1" collapsed="1">
      <c r="A58" s="162" t="s">
        <v>453</v>
      </c>
      <c r="B58" s="162"/>
      <c r="C58" s="162"/>
      <c r="D58" s="162">
        <v>1</v>
      </c>
      <c r="E58" s="162" t="s">
        <v>454</v>
      </c>
      <c r="F58" s="251">
        <f t="shared" ref="F58:N58" si="20">SUM(F49:F57)</f>
        <v>0</v>
      </c>
      <c r="G58" s="251">
        <f t="shared" si="20"/>
        <v>0</v>
      </c>
      <c r="H58" s="251">
        <f t="shared" si="20"/>
        <v>0</v>
      </c>
      <c r="I58" s="251">
        <f t="shared" si="20"/>
        <v>0</v>
      </c>
      <c r="J58" s="251">
        <f t="shared" si="20"/>
        <v>0</v>
      </c>
      <c r="K58" s="251">
        <f t="shared" si="20"/>
        <v>0</v>
      </c>
      <c r="L58" s="251">
        <f t="shared" si="20"/>
        <v>0</v>
      </c>
      <c r="M58" s="251">
        <f t="shared" si="20"/>
        <v>0</v>
      </c>
      <c r="N58" s="251">
        <f t="shared" si="20"/>
        <v>0</v>
      </c>
      <c r="O58" s="125"/>
      <c r="P58" s="173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spans="1:26" ht="14.25" hidden="1" customHeight="1" outlineLevel="1">
      <c r="A59" s="168"/>
      <c r="B59" s="168" t="s">
        <v>455</v>
      </c>
      <c r="C59" s="168" t="str">
        <f>MID(E59,4,LEN(E59))</f>
        <v xml:space="preserve"> Tangerang</v>
      </c>
      <c r="D59" s="168" t="str">
        <f t="shared" ref="D59:D67" si="21">IFERROR(VLOOKUP($E$4&amp;C59,#REF!,2,FALSE),"")</f>
        <v/>
      </c>
      <c r="E59" s="252" t="s">
        <v>457</v>
      </c>
      <c r="F59" s="246"/>
      <c r="G59" s="242"/>
      <c r="H59" s="250"/>
      <c r="I59" s="243"/>
      <c r="J59" s="250"/>
      <c r="K59" s="243"/>
      <c r="L59" s="256"/>
      <c r="M59" s="255"/>
      <c r="N59" s="247">
        <f t="shared" ref="N59:N67" si="22">SUM(F59:M59)</f>
        <v>0</v>
      </c>
      <c r="O59" s="125"/>
      <c r="P59" s="173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spans="1:26" ht="14.25" hidden="1" customHeight="1" outlineLevel="1">
      <c r="A60" s="168"/>
      <c r="B60" s="168" t="s">
        <v>458</v>
      </c>
      <c r="C60" s="168" t="s">
        <v>456</v>
      </c>
      <c r="D60" s="168" t="str">
        <f t="shared" si="21"/>
        <v/>
      </c>
      <c r="E60" s="252" t="s">
        <v>459</v>
      </c>
      <c r="F60" s="246"/>
      <c r="G60" s="242"/>
      <c r="H60" s="250"/>
      <c r="I60" s="243"/>
      <c r="J60" s="250"/>
      <c r="K60" s="243"/>
      <c r="L60" s="256"/>
      <c r="M60" s="255"/>
      <c r="N60" s="247">
        <f t="shared" si="22"/>
        <v>0</v>
      </c>
      <c r="O60" s="125"/>
      <c r="P60" s="173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spans="1:26" ht="14.25" hidden="1" customHeight="1" outlineLevel="1">
      <c r="A61" s="168"/>
      <c r="B61" s="168" t="s">
        <v>460</v>
      </c>
      <c r="C61" s="168" t="str">
        <f>MID(E61,4,LEN(E61))</f>
        <v xml:space="preserve"> Bogor</v>
      </c>
      <c r="D61" s="168" t="str">
        <f t="shared" si="21"/>
        <v/>
      </c>
      <c r="E61" s="252" t="s">
        <v>462</v>
      </c>
      <c r="F61" s="246"/>
      <c r="G61" s="257"/>
      <c r="H61" s="243"/>
      <c r="I61" s="250"/>
      <c r="J61" s="256"/>
      <c r="K61" s="249"/>
      <c r="L61" s="256"/>
      <c r="M61" s="255"/>
      <c r="N61" s="247">
        <f t="shared" si="22"/>
        <v>0</v>
      </c>
      <c r="O61" s="125"/>
      <c r="P61" s="173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4.25" hidden="1" customHeight="1" outlineLevel="1">
      <c r="A62" s="168"/>
      <c r="B62" s="168" t="s">
        <v>463</v>
      </c>
      <c r="C62" s="168" t="s">
        <v>461</v>
      </c>
      <c r="D62" s="168" t="str">
        <f t="shared" si="21"/>
        <v/>
      </c>
      <c r="E62" s="252" t="s">
        <v>464</v>
      </c>
      <c r="F62" s="246"/>
      <c r="G62" s="242"/>
      <c r="H62" s="243"/>
      <c r="I62" s="243"/>
      <c r="J62" s="243"/>
      <c r="K62" s="243"/>
      <c r="L62" s="243"/>
      <c r="M62" s="244"/>
      <c r="N62" s="247">
        <f t="shared" si="22"/>
        <v>0</v>
      </c>
      <c r="O62" s="125"/>
      <c r="P62" s="173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spans="1:26" ht="14.25" hidden="1" customHeight="1" outlineLevel="1">
      <c r="A63" s="168"/>
      <c r="B63" s="168" t="s">
        <v>465</v>
      </c>
      <c r="C63" s="168" t="str">
        <f t="shared" ref="C63:C67" si="23">MID(E63,4,LEN(E63))</f>
        <v xml:space="preserve"> Karawang</v>
      </c>
      <c r="D63" s="168" t="str">
        <f t="shared" si="21"/>
        <v/>
      </c>
      <c r="E63" s="252" t="s">
        <v>468</v>
      </c>
      <c r="F63" s="246"/>
      <c r="G63" s="242"/>
      <c r="H63" s="243"/>
      <c r="I63" s="243"/>
      <c r="J63" s="243"/>
      <c r="K63" s="243"/>
      <c r="L63" s="243"/>
      <c r="M63" s="244"/>
      <c r="N63" s="247">
        <f t="shared" si="22"/>
        <v>0</v>
      </c>
      <c r="O63" s="125"/>
      <c r="P63" s="173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spans="1:26" ht="14.25" hidden="1" customHeight="1" outlineLevel="1">
      <c r="A64" s="168"/>
      <c r="B64" s="168" t="s">
        <v>469</v>
      </c>
      <c r="C64" s="168" t="str">
        <f t="shared" si="23"/>
        <v xml:space="preserve"> Serang</v>
      </c>
      <c r="D64" s="168" t="str">
        <f t="shared" si="21"/>
        <v/>
      </c>
      <c r="E64" s="252" t="s">
        <v>471</v>
      </c>
      <c r="F64" s="246"/>
      <c r="G64" s="258"/>
      <c r="H64" s="256"/>
      <c r="I64" s="259"/>
      <c r="J64" s="256"/>
      <c r="K64" s="243"/>
      <c r="L64" s="250"/>
      <c r="M64" s="244"/>
      <c r="N64" s="247">
        <f t="shared" si="22"/>
        <v>0</v>
      </c>
      <c r="O64" s="125"/>
      <c r="P64" s="173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4.25" hidden="1" customHeight="1" outlineLevel="1">
      <c r="A65" s="168"/>
      <c r="B65" s="168" t="s">
        <v>478</v>
      </c>
      <c r="C65" s="168" t="str">
        <f t="shared" si="23"/>
        <v xml:space="preserve"> Labuan (rangkas)</v>
      </c>
      <c r="D65" s="168" t="str">
        <f t="shared" si="21"/>
        <v/>
      </c>
      <c r="E65" s="252" t="s">
        <v>2789</v>
      </c>
      <c r="F65" s="246"/>
      <c r="G65" s="242"/>
      <c r="H65" s="259"/>
      <c r="I65" s="243"/>
      <c r="J65" s="243"/>
      <c r="K65" s="259"/>
      <c r="L65" s="243"/>
      <c r="M65" s="244"/>
      <c r="N65" s="247">
        <f t="shared" si="22"/>
        <v>0</v>
      </c>
      <c r="O65" s="125"/>
      <c r="P65" s="173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spans="1:26" ht="14.25" hidden="1" customHeight="1" outlineLevel="1">
      <c r="A66" s="168"/>
      <c r="B66" s="168" t="s">
        <v>472</v>
      </c>
      <c r="C66" s="168" t="str">
        <f t="shared" si="23"/>
        <v xml:space="preserve"> Pondok Pinang</v>
      </c>
      <c r="D66" s="168" t="str">
        <f t="shared" si="21"/>
        <v/>
      </c>
      <c r="E66" s="253" t="s">
        <v>474</v>
      </c>
      <c r="F66" s="246"/>
      <c r="G66" s="242"/>
      <c r="H66" s="243"/>
      <c r="I66" s="243"/>
      <c r="J66" s="243"/>
      <c r="K66" s="243"/>
      <c r="L66" s="243"/>
      <c r="M66" s="244"/>
      <c r="N66" s="247">
        <f t="shared" si="22"/>
        <v>0</v>
      </c>
      <c r="O66" s="125"/>
      <c r="P66" s="173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spans="1:26" ht="14.25" hidden="1" customHeight="1" outlineLevel="1">
      <c r="A67" s="168"/>
      <c r="B67" s="168" t="s">
        <v>475</v>
      </c>
      <c r="C67" s="168" t="str">
        <f t="shared" si="23"/>
        <v xml:space="preserve"> Bekasi</v>
      </c>
      <c r="D67" s="168" t="str">
        <f t="shared" si="21"/>
        <v/>
      </c>
      <c r="E67" s="253" t="s">
        <v>477</v>
      </c>
      <c r="F67" s="246"/>
      <c r="G67" s="242"/>
      <c r="H67" s="243"/>
      <c r="I67" s="243"/>
      <c r="J67" s="243"/>
      <c r="K67" s="243"/>
      <c r="L67" s="243"/>
      <c r="M67" s="244"/>
      <c r="N67" s="247">
        <f t="shared" si="22"/>
        <v>0</v>
      </c>
      <c r="O67" s="125"/>
      <c r="P67" s="173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spans="1:26" ht="15.75" customHeight="1" collapsed="1">
      <c r="A68" s="162" t="s">
        <v>453</v>
      </c>
      <c r="B68" s="162"/>
      <c r="C68" s="162"/>
      <c r="D68" s="162">
        <v>1</v>
      </c>
      <c r="E68" s="162" t="s">
        <v>481</v>
      </c>
      <c r="F68" s="251">
        <f t="shared" ref="F68:N68" si="24">SUM(F59:F67)</f>
        <v>0</v>
      </c>
      <c r="G68" s="251">
        <f t="shared" si="24"/>
        <v>0</v>
      </c>
      <c r="H68" s="251">
        <f t="shared" si="24"/>
        <v>0</v>
      </c>
      <c r="I68" s="251">
        <f t="shared" si="24"/>
        <v>0</v>
      </c>
      <c r="J68" s="251">
        <f t="shared" si="24"/>
        <v>0</v>
      </c>
      <c r="K68" s="251">
        <f t="shared" si="24"/>
        <v>0</v>
      </c>
      <c r="L68" s="251">
        <f t="shared" si="24"/>
        <v>0</v>
      </c>
      <c r="M68" s="251">
        <f t="shared" si="24"/>
        <v>0</v>
      </c>
      <c r="N68" s="251">
        <f t="shared" si="24"/>
        <v>0</v>
      </c>
      <c r="O68" s="125"/>
      <c r="P68" s="173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spans="1:26" ht="14.25" hidden="1" customHeight="1" outlineLevel="1">
      <c r="A69" s="168"/>
      <c r="B69" s="168" t="s">
        <v>486</v>
      </c>
      <c r="C69" s="168" t="str">
        <f>MID(E69,4,LEN(E69))</f>
        <v xml:space="preserve"> Bandung</v>
      </c>
      <c r="D69" s="168" t="str">
        <f t="shared" ref="D69:D79" si="25">IFERROR(VLOOKUP($E$4&amp;C69,#REF!,2,FALSE),"")</f>
        <v/>
      </c>
      <c r="E69" s="252" t="s">
        <v>487</v>
      </c>
      <c r="F69" s="246"/>
      <c r="G69" s="257"/>
      <c r="H69" s="259"/>
      <c r="I69" s="250"/>
      <c r="J69" s="250"/>
      <c r="K69" s="259"/>
      <c r="L69" s="256"/>
      <c r="M69" s="260"/>
      <c r="N69" s="247">
        <f t="shared" ref="N69:N79" si="26">SUM(F69:M69)</f>
        <v>0</v>
      </c>
      <c r="O69" s="125"/>
      <c r="P69" s="173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spans="1:26" ht="14.25" hidden="1" customHeight="1" outlineLevel="1">
      <c r="A70" s="168"/>
      <c r="B70" s="168" t="s">
        <v>488</v>
      </c>
      <c r="C70" s="168" t="s">
        <v>489</v>
      </c>
      <c r="D70" s="168" t="str">
        <f t="shared" si="25"/>
        <v/>
      </c>
      <c r="E70" s="253" t="s">
        <v>490</v>
      </c>
      <c r="F70" s="246"/>
      <c r="G70" s="242"/>
      <c r="H70" s="243"/>
      <c r="I70" s="243"/>
      <c r="J70" s="243"/>
      <c r="K70" s="243"/>
      <c r="L70" s="243"/>
      <c r="M70" s="244"/>
      <c r="N70" s="247">
        <f t="shared" si="26"/>
        <v>0</v>
      </c>
      <c r="O70" s="125"/>
      <c r="P70" s="173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spans="1:26" ht="14.25" hidden="1" customHeight="1" outlineLevel="1">
      <c r="A71" s="168"/>
      <c r="B71" s="168" t="s">
        <v>491</v>
      </c>
      <c r="C71" s="168" t="str">
        <f>MID(E71,4,LEN(E71))</f>
        <v xml:space="preserve"> Sumedang</v>
      </c>
      <c r="D71" s="168" t="str">
        <f t="shared" si="25"/>
        <v/>
      </c>
      <c r="E71" s="252" t="s">
        <v>492</v>
      </c>
      <c r="F71" s="246"/>
      <c r="G71" s="242"/>
      <c r="H71" s="243"/>
      <c r="I71" s="259"/>
      <c r="J71" s="243"/>
      <c r="K71" s="243"/>
      <c r="L71" s="243"/>
      <c r="M71" s="260"/>
      <c r="N71" s="247">
        <f t="shared" si="26"/>
        <v>0</v>
      </c>
      <c r="O71" s="125"/>
      <c r="P71" s="173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spans="1:26" ht="14.25" hidden="1" customHeight="1" outlineLevel="1">
      <c r="A72" s="168"/>
      <c r="B72" s="168" t="s">
        <v>493</v>
      </c>
      <c r="C72" s="168" t="s">
        <v>494</v>
      </c>
      <c r="D72" s="168" t="str">
        <f t="shared" si="25"/>
        <v/>
      </c>
      <c r="E72" s="252" t="s">
        <v>495</v>
      </c>
      <c r="F72" s="246"/>
      <c r="G72" s="242"/>
      <c r="H72" s="259"/>
      <c r="I72" s="243"/>
      <c r="J72" s="243"/>
      <c r="K72" s="243"/>
      <c r="L72" s="259"/>
      <c r="M72" s="244"/>
      <c r="N72" s="247">
        <f t="shared" si="26"/>
        <v>0</v>
      </c>
      <c r="O72" s="125"/>
      <c r="P72" s="173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spans="1:26" ht="14.25" hidden="1" customHeight="1" outlineLevel="1">
      <c r="A73" s="168"/>
      <c r="B73" s="168" t="s">
        <v>496</v>
      </c>
      <c r="C73" s="168" t="str">
        <f t="shared" ref="C73:C79" si="27">MID(E73,4,LEN(E73))</f>
        <v xml:space="preserve"> Padalarang</v>
      </c>
      <c r="D73" s="168" t="str">
        <f t="shared" si="25"/>
        <v/>
      </c>
      <c r="E73" s="253" t="s">
        <v>497</v>
      </c>
      <c r="F73" s="246"/>
      <c r="G73" s="242"/>
      <c r="H73" s="243"/>
      <c r="I73" s="243"/>
      <c r="J73" s="243"/>
      <c r="K73" s="243"/>
      <c r="L73" s="243"/>
      <c r="M73" s="244"/>
      <c r="N73" s="247">
        <f t="shared" si="26"/>
        <v>0</v>
      </c>
      <c r="O73" s="125"/>
      <c r="P73" s="173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spans="1:26" ht="14.25" hidden="1" customHeight="1" outlineLevel="1">
      <c r="A74" s="168"/>
      <c r="B74" s="168" t="s">
        <v>498</v>
      </c>
      <c r="C74" s="168" t="str">
        <f t="shared" si="27"/>
        <v xml:space="preserve"> Sukabumi</v>
      </c>
      <c r="D74" s="168" t="str">
        <f t="shared" si="25"/>
        <v/>
      </c>
      <c r="E74" s="252" t="s">
        <v>500</v>
      </c>
      <c r="F74" s="246"/>
      <c r="G74" s="242"/>
      <c r="H74" s="250"/>
      <c r="I74" s="243"/>
      <c r="J74" s="261"/>
      <c r="K74" s="262"/>
      <c r="L74" s="263"/>
      <c r="M74" s="264"/>
      <c r="N74" s="247">
        <f t="shared" si="26"/>
        <v>0</v>
      </c>
      <c r="O74" s="125"/>
      <c r="P74" s="173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spans="1:26" ht="14.25" hidden="1" customHeight="1" outlineLevel="1">
      <c r="A75" s="168"/>
      <c r="B75" s="168" t="s">
        <v>501</v>
      </c>
      <c r="C75" s="168" t="str">
        <f t="shared" si="27"/>
        <v xml:space="preserve"> Cianjur</v>
      </c>
      <c r="D75" s="168" t="str">
        <f t="shared" si="25"/>
        <v/>
      </c>
      <c r="E75" s="252" t="s">
        <v>502</v>
      </c>
      <c r="F75" s="246"/>
      <c r="G75" s="242"/>
      <c r="H75" s="250"/>
      <c r="I75" s="243"/>
      <c r="J75" s="261"/>
      <c r="K75" s="243"/>
      <c r="L75" s="263"/>
      <c r="M75" s="264"/>
      <c r="N75" s="247">
        <f t="shared" si="26"/>
        <v>0</v>
      </c>
      <c r="O75" s="125"/>
      <c r="P75" s="173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spans="1:26" ht="14.25" hidden="1" customHeight="1" outlineLevel="1">
      <c r="A76" s="168"/>
      <c r="B76" s="168" t="s">
        <v>503</v>
      </c>
      <c r="C76" s="168" t="str">
        <f t="shared" si="27"/>
        <v xml:space="preserve"> Tasikmalaya</v>
      </c>
      <c r="D76" s="168" t="str">
        <f t="shared" si="25"/>
        <v/>
      </c>
      <c r="E76" s="252" t="s">
        <v>504</v>
      </c>
      <c r="F76" s="246"/>
      <c r="G76" s="242"/>
      <c r="H76" s="250"/>
      <c r="I76" s="243"/>
      <c r="J76" s="243"/>
      <c r="K76" s="261"/>
      <c r="L76" s="263"/>
      <c r="M76" s="244"/>
      <c r="N76" s="247">
        <f t="shared" si="26"/>
        <v>0</v>
      </c>
      <c r="O76" s="125"/>
      <c r="P76" s="173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spans="1:26" ht="14.25" hidden="1" customHeight="1" outlineLevel="1">
      <c r="A77" s="168"/>
      <c r="B77" s="168" t="s">
        <v>505</v>
      </c>
      <c r="C77" s="168" t="str">
        <f t="shared" si="27"/>
        <v xml:space="preserve"> Garut</v>
      </c>
      <c r="D77" s="168" t="str">
        <f t="shared" si="25"/>
        <v/>
      </c>
      <c r="E77" s="252" t="s">
        <v>506</v>
      </c>
      <c r="F77" s="246"/>
      <c r="G77" s="242"/>
      <c r="H77" s="250"/>
      <c r="I77" s="243"/>
      <c r="J77" s="243"/>
      <c r="K77" s="261"/>
      <c r="L77" s="263"/>
      <c r="M77" s="244"/>
      <c r="N77" s="247">
        <f t="shared" si="26"/>
        <v>0</v>
      </c>
      <c r="O77" s="125"/>
      <c r="P77" s="173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spans="1:26" ht="14.25" hidden="1" customHeight="1" outlineLevel="1">
      <c r="A78" s="168"/>
      <c r="B78" s="168" t="s">
        <v>507</v>
      </c>
      <c r="C78" s="168" t="str">
        <f t="shared" si="27"/>
        <v xml:space="preserve"> Cirebon</v>
      </c>
      <c r="D78" s="168" t="str">
        <f t="shared" si="25"/>
        <v/>
      </c>
      <c r="E78" s="252" t="s">
        <v>508</v>
      </c>
      <c r="F78" s="246"/>
      <c r="G78" s="242"/>
      <c r="H78" s="250"/>
      <c r="I78" s="243"/>
      <c r="J78" s="263"/>
      <c r="K78" s="261"/>
      <c r="L78" s="263"/>
      <c r="M78" s="244"/>
      <c r="N78" s="247">
        <f t="shared" si="26"/>
        <v>0</v>
      </c>
      <c r="O78" s="125"/>
      <c r="P78" s="173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spans="1:26" ht="14.25" hidden="1" customHeight="1" outlineLevel="1">
      <c r="A79" s="168"/>
      <c r="B79" s="168" t="s">
        <v>509</v>
      </c>
      <c r="C79" s="168" t="str">
        <f t="shared" si="27"/>
        <v xml:space="preserve"> Indramayu</v>
      </c>
      <c r="D79" s="168" t="str">
        <f t="shared" si="25"/>
        <v/>
      </c>
      <c r="E79" s="252" t="s">
        <v>510</v>
      </c>
      <c r="F79" s="246"/>
      <c r="G79" s="242"/>
      <c r="H79" s="261"/>
      <c r="I79" s="243"/>
      <c r="J79" s="261"/>
      <c r="K79" s="243"/>
      <c r="L79" s="243"/>
      <c r="M79" s="264"/>
      <c r="N79" s="247">
        <f t="shared" si="26"/>
        <v>0</v>
      </c>
      <c r="O79" s="125"/>
      <c r="P79" s="173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spans="1:26" ht="15.75" customHeight="1" collapsed="1">
      <c r="A80" s="162" t="s">
        <v>453</v>
      </c>
      <c r="B80" s="162"/>
      <c r="C80" s="162"/>
      <c r="D80" s="162">
        <v>1</v>
      </c>
      <c r="E80" s="162" t="s">
        <v>511</v>
      </c>
      <c r="F80" s="251">
        <f t="shared" ref="F80:N80" si="28">SUM(F69:F79)</f>
        <v>0</v>
      </c>
      <c r="G80" s="251">
        <f t="shared" si="28"/>
        <v>0</v>
      </c>
      <c r="H80" s="251">
        <f t="shared" si="28"/>
        <v>0</v>
      </c>
      <c r="I80" s="251">
        <f t="shared" si="28"/>
        <v>0</v>
      </c>
      <c r="J80" s="251">
        <f t="shared" si="28"/>
        <v>0</v>
      </c>
      <c r="K80" s="251">
        <f t="shared" si="28"/>
        <v>0</v>
      </c>
      <c r="L80" s="251">
        <f t="shared" si="28"/>
        <v>0</v>
      </c>
      <c r="M80" s="251">
        <f t="shared" si="28"/>
        <v>0</v>
      </c>
      <c r="N80" s="251">
        <f t="shared" si="28"/>
        <v>0</v>
      </c>
      <c r="O80" s="125"/>
      <c r="P80" s="173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spans="1:26" ht="14.25" hidden="1" customHeight="1" outlineLevel="1">
      <c r="A81" s="168"/>
      <c r="B81" s="168" t="s">
        <v>512</v>
      </c>
      <c r="C81" s="168" t="str">
        <f t="shared" ref="C81:C87" si="29">MID(E81,4,LEN(E81))</f>
        <v xml:space="preserve"> Purwokerto</v>
      </c>
      <c r="D81" s="168" t="str">
        <f t="shared" ref="D81:D87" si="30">IFERROR(VLOOKUP($E$4&amp;C81,#REF!,2,FALSE),"")</f>
        <v/>
      </c>
      <c r="E81" s="252" t="s">
        <v>513</v>
      </c>
      <c r="F81" s="246"/>
      <c r="G81" s="242"/>
      <c r="H81" s="243"/>
      <c r="I81" s="250"/>
      <c r="J81" s="243"/>
      <c r="K81" s="243"/>
      <c r="L81" s="256"/>
      <c r="M81" s="255"/>
      <c r="N81" s="247">
        <f t="shared" ref="N81:N87" si="31">SUM(F81:M81)</f>
        <v>0</v>
      </c>
      <c r="O81" s="125"/>
      <c r="P81" s="173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spans="1:26" ht="14.25" hidden="1" customHeight="1" outlineLevel="1">
      <c r="A82" s="168"/>
      <c r="B82" s="168" t="s">
        <v>514</v>
      </c>
      <c r="C82" s="168" t="str">
        <f t="shared" si="29"/>
        <v xml:space="preserve"> Cilacap</v>
      </c>
      <c r="D82" s="168" t="str">
        <f t="shared" si="30"/>
        <v/>
      </c>
      <c r="E82" s="252" t="s">
        <v>515</v>
      </c>
      <c r="F82" s="246"/>
      <c r="G82" s="242"/>
      <c r="H82" s="243"/>
      <c r="I82" s="249"/>
      <c r="J82" s="256"/>
      <c r="K82" s="249"/>
      <c r="L82" s="250"/>
      <c r="M82" s="244"/>
      <c r="N82" s="247">
        <f t="shared" si="31"/>
        <v>0</v>
      </c>
      <c r="O82" s="125"/>
      <c r="P82" s="173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spans="1:26" ht="14.25" hidden="1" customHeight="1" outlineLevel="1">
      <c r="A83" s="168"/>
      <c r="B83" s="168" t="s">
        <v>516</v>
      </c>
      <c r="C83" s="168" t="str">
        <f t="shared" si="29"/>
        <v xml:space="preserve"> Yogyakarta</v>
      </c>
      <c r="D83" s="168" t="str">
        <f t="shared" si="30"/>
        <v/>
      </c>
      <c r="E83" s="252" t="s">
        <v>518</v>
      </c>
      <c r="F83" s="246"/>
      <c r="G83" s="242"/>
      <c r="H83" s="249"/>
      <c r="I83" s="256"/>
      <c r="J83" s="249"/>
      <c r="K83" s="243"/>
      <c r="L83" s="256"/>
      <c r="M83" s="255"/>
      <c r="N83" s="247">
        <f t="shared" si="31"/>
        <v>0</v>
      </c>
      <c r="O83" s="125"/>
      <c r="P83" s="173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spans="1:26" ht="14.25" hidden="1" customHeight="1" outlineLevel="1">
      <c r="A84" s="168"/>
      <c r="B84" s="168" t="s">
        <v>519</v>
      </c>
      <c r="C84" s="168" t="str">
        <f t="shared" si="29"/>
        <v xml:space="preserve"> Magelang</v>
      </c>
      <c r="D84" s="168" t="str">
        <f t="shared" si="30"/>
        <v/>
      </c>
      <c r="E84" s="252" t="s">
        <v>520</v>
      </c>
      <c r="F84" s="246"/>
      <c r="G84" s="242"/>
      <c r="H84" s="249"/>
      <c r="I84" s="256"/>
      <c r="J84" s="249"/>
      <c r="K84" s="243"/>
      <c r="L84" s="243"/>
      <c r="M84" s="265"/>
      <c r="N84" s="247">
        <f t="shared" si="31"/>
        <v>0</v>
      </c>
      <c r="O84" s="125"/>
      <c r="P84" s="173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spans="1:26" ht="14.25" hidden="1" customHeight="1" outlineLevel="1">
      <c r="A85" s="168"/>
      <c r="B85" s="168" t="s">
        <v>521</v>
      </c>
      <c r="C85" s="168" t="str">
        <f t="shared" si="29"/>
        <v xml:space="preserve"> Surakarta</v>
      </c>
      <c r="D85" s="168" t="str">
        <f t="shared" si="30"/>
        <v/>
      </c>
      <c r="E85" s="252" t="s">
        <v>522</v>
      </c>
      <c r="F85" s="246"/>
      <c r="G85" s="242"/>
      <c r="H85" s="249"/>
      <c r="I85" s="256"/>
      <c r="J85" s="249"/>
      <c r="K85" s="256"/>
      <c r="L85" s="243"/>
      <c r="M85" s="265"/>
      <c r="N85" s="247">
        <f t="shared" si="31"/>
        <v>0</v>
      </c>
      <c r="O85" s="125"/>
      <c r="P85" s="173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spans="1:26" ht="14.25" hidden="1" customHeight="1" outlineLevel="1">
      <c r="A86" s="168"/>
      <c r="B86" s="168" t="s">
        <v>523</v>
      </c>
      <c r="C86" s="168" t="str">
        <f t="shared" si="29"/>
        <v xml:space="preserve"> Salatiga</v>
      </c>
      <c r="D86" s="168" t="str">
        <f t="shared" si="30"/>
        <v/>
      </c>
      <c r="E86" s="253" t="s">
        <v>524</v>
      </c>
      <c r="F86" s="246"/>
      <c r="G86" s="242"/>
      <c r="H86" s="249"/>
      <c r="I86" s="256"/>
      <c r="J86" s="249"/>
      <c r="K86" s="243"/>
      <c r="L86" s="243"/>
      <c r="M86" s="265"/>
      <c r="N86" s="247">
        <f t="shared" si="31"/>
        <v>0</v>
      </c>
      <c r="O86" s="125"/>
      <c r="P86" s="173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spans="1:26" ht="14.25" hidden="1" customHeight="1" outlineLevel="1">
      <c r="A87" s="168"/>
      <c r="B87" s="168" t="s">
        <v>525</v>
      </c>
      <c r="C87" s="168" t="str">
        <f t="shared" si="29"/>
        <v xml:space="preserve"> Madiun</v>
      </c>
      <c r="D87" s="168" t="str">
        <f t="shared" si="30"/>
        <v/>
      </c>
      <c r="E87" s="252" t="s">
        <v>526</v>
      </c>
      <c r="F87" s="246"/>
      <c r="G87" s="242"/>
      <c r="H87" s="243"/>
      <c r="I87" s="256"/>
      <c r="J87" s="243"/>
      <c r="K87" s="256"/>
      <c r="L87" s="243"/>
      <c r="M87" s="266"/>
      <c r="N87" s="247">
        <f t="shared" si="31"/>
        <v>0</v>
      </c>
      <c r="O87" s="125"/>
      <c r="P87" s="173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6" ht="15.75" customHeight="1" collapsed="1">
      <c r="A88" s="162" t="s">
        <v>453</v>
      </c>
      <c r="B88" s="162"/>
      <c r="C88" s="162"/>
      <c r="D88" s="162">
        <v>1</v>
      </c>
      <c r="E88" s="162" t="s">
        <v>527</v>
      </c>
      <c r="F88" s="251">
        <f t="shared" ref="F88:N88" si="32">SUM(F81:F87)</f>
        <v>0</v>
      </c>
      <c r="G88" s="251">
        <f t="shared" si="32"/>
        <v>0</v>
      </c>
      <c r="H88" s="251">
        <f t="shared" si="32"/>
        <v>0</v>
      </c>
      <c r="I88" s="251">
        <f t="shared" si="32"/>
        <v>0</v>
      </c>
      <c r="J88" s="251">
        <f t="shared" si="32"/>
        <v>0</v>
      </c>
      <c r="K88" s="251">
        <f t="shared" si="32"/>
        <v>0</v>
      </c>
      <c r="L88" s="251">
        <f t="shared" si="32"/>
        <v>0</v>
      </c>
      <c r="M88" s="251">
        <f t="shared" si="32"/>
        <v>0</v>
      </c>
      <c r="N88" s="251">
        <f t="shared" si="32"/>
        <v>0</v>
      </c>
      <c r="O88" s="125"/>
      <c r="P88" s="173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spans="1:26" ht="14.25" hidden="1" customHeight="1" outlineLevel="1">
      <c r="A89" s="168"/>
      <c r="B89" s="168" t="s">
        <v>528</v>
      </c>
      <c r="C89" s="168" t="str">
        <f t="shared" ref="C89:C94" si="33">MID(E89,4,LEN(E89))</f>
        <v xml:space="preserve"> Semarang</v>
      </c>
      <c r="D89" s="168" t="str">
        <f t="shared" ref="D89:D99" si="34">IFERROR(VLOOKUP($E$4&amp;C89,#REF!,2,FALSE),"")</f>
        <v/>
      </c>
      <c r="E89" s="252" t="s">
        <v>529</v>
      </c>
      <c r="F89" s="246"/>
      <c r="G89" s="242"/>
      <c r="H89" s="249"/>
      <c r="I89" s="263"/>
      <c r="J89" s="256"/>
      <c r="K89" s="249"/>
      <c r="L89" s="243"/>
      <c r="M89" s="266"/>
      <c r="N89" s="247">
        <f t="shared" ref="N89:N94" si="35">SUM(F89:M89)</f>
        <v>0</v>
      </c>
      <c r="O89" s="125"/>
      <c r="P89" s="173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spans="1:26" ht="14.25" hidden="1" customHeight="1" outlineLevel="1">
      <c r="A90" s="168"/>
      <c r="B90" s="168" t="s">
        <v>530</v>
      </c>
      <c r="C90" s="168" t="str">
        <f t="shared" si="33"/>
        <v xml:space="preserve"> Pati</v>
      </c>
      <c r="D90" s="168" t="str">
        <f t="shared" si="34"/>
        <v/>
      </c>
      <c r="E90" s="252" t="s">
        <v>531</v>
      </c>
      <c r="F90" s="246"/>
      <c r="G90" s="242"/>
      <c r="H90" s="243"/>
      <c r="I90" s="250"/>
      <c r="J90" s="243"/>
      <c r="K90" s="243"/>
      <c r="L90" s="249"/>
      <c r="M90" s="266"/>
      <c r="N90" s="247">
        <f t="shared" si="35"/>
        <v>0</v>
      </c>
      <c r="O90" s="125"/>
      <c r="P90" s="173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spans="1:26" ht="14.25" hidden="1" customHeight="1" outlineLevel="1">
      <c r="A91" s="168"/>
      <c r="B91" s="168" t="s">
        <v>532</v>
      </c>
      <c r="C91" s="168" t="str">
        <f t="shared" si="33"/>
        <v xml:space="preserve"> Tuban</v>
      </c>
      <c r="D91" s="168" t="str">
        <f t="shared" si="34"/>
        <v/>
      </c>
      <c r="E91" s="252" t="s">
        <v>533</v>
      </c>
      <c r="F91" s="246"/>
      <c r="G91" s="242"/>
      <c r="H91" s="243"/>
      <c r="I91" s="250"/>
      <c r="J91" s="243"/>
      <c r="K91" s="243"/>
      <c r="L91" s="249"/>
      <c r="M91" s="266"/>
      <c r="N91" s="247">
        <f t="shared" si="35"/>
        <v>0</v>
      </c>
      <c r="O91" s="125"/>
      <c r="P91" s="173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spans="1:26" ht="14.25" hidden="1" customHeight="1" outlineLevel="1">
      <c r="A92" s="168"/>
      <c r="B92" s="168" t="s">
        <v>534</v>
      </c>
      <c r="C92" s="168" t="str">
        <f t="shared" si="33"/>
        <v xml:space="preserve"> Kediri</v>
      </c>
      <c r="D92" s="168" t="str">
        <f t="shared" si="34"/>
        <v/>
      </c>
      <c r="E92" s="252" t="s">
        <v>535</v>
      </c>
      <c r="F92" s="246"/>
      <c r="G92" s="242"/>
      <c r="H92" s="256"/>
      <c r="I92" s="267"/>
      <c r="J92" s="256"/>
      <c r="K92" s="243"/>
      <c r="L92" s="243"/>
      <c r="M92" s="266"/>
      <c r="N92" s="247">
        <f t="shared" si="35"/>
        <v>0</v>
      </c>
      <c r="O92" s="125"/>
      <c r="P92" s="173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spans="1:26" ht="14.25" hidden="1" customHeight="1" outlineLevel="1">
      <c r="A93" s="168"/>
      <c r="B93" s="168" t="s">
        <v>536</v>
      </c>
      <c r="C93" s="168" t="str">
        <f t="shared" si="33"/>
        <v xml:space="preserve"> Tegal</v>
      </c>
      <c r="D93" s="168" t="str">
        <f t="shared" si="34"/>
        <v/>
      </c>
      <c r="E93" s="252" t="s">
        <v>537</v>
      </c>
      <c r="F93" s="246"/>
      <c r="G93" s="242"/>
      <c r="H93" s="256"/>
      <c r="I93" s="254"/>
      <c r="J93" s="256"/>
      <c r="K93" s="243"/>
      <c r="L93" s="268"/>
      <c r="M93" s="244"/>
      <c r="N93" s="247">
        <f t="shared" si="35"/>
        <v>0</v>
      </c>
      <c r="O93" s="125"/>
      <c r="P93" s="173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spans="1:26" ht="14.25" hidden="1" customHeight="1" outlineLevel="1">
      <c r="A94" s="168"/>
      <c r="B94" s="168" t="s">
        <v>538</v>
      </c>
      <c r="C94" s="168" t="str">
        <f t="shared" si="33"/>
        <v xml:space="preserve"> Pekalongan</v>
      </c>
      <c r="D94" s="168" t="str">
        <f t="shared" si="34"/>
        <v/>
      </c>
      <c r="E94" s="252" t="s">
        <v>539</v>
      </c>
      <c r="F94" s="246"/>
      <c r="G94" s="242"/>
      <c r="H94" s="256"/>
      <c r="I94" s="254"/>
      <c r="J94" s="256"/>
      <c r="K94" s="243"/>
      <c r="L94" s="256"/>
      <c r="M94" s="269"/>
      <c r="N94" s="247">
        <f t="shared" si="35"/>
        <v>0</v>
      </c>
      <c r="O94" s="125"/>
      <c r="P94" s="173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spans="1:26" ht="15.75" customHeight="1" collapsed="1">
      <c r="A95" s="162" t="s">
        <v>453</v>
      </c>
      <c r="B95" s="162"/>
      <c r="C95" s="162"/>
      <c r="D95" s="162" t="str">
        <f t="shared" si="34"/>
        <v/>
      </c>
      <c r="E95" s="162" t="s">
        <v>540</v>
      </c>
      <c r="F95" s="251">
        <f t="shared" ref="F95:N95" si="36">SUM(F89:F94)</f>
        <v>0</v>
      </c>
      <c r="G95" s="251">
        <f t="shared" si="36"/>
        <v>0</v>
      </c>
      <c r="H95" s="251">
        <f t="shared" si="36"/>
        <v>0</v>
      </c>
      <c r="I95" s="251">
        <f t="shared" si="36"/>
        <v>0</v>
      </c>
      <c r="J95" s="251">
        <f t="shared" si="36"/>
        <v>0</v>
      </c>
      <c r="K95" s="251">
        <f t="shared" si="36"/>
        <v>0</v>
      </c>
      <c r="L95" s="251">
        <f t="shared" si="36"/>
        <v>0</v>
      </c>
      <c r="M95" s="251">
        <f t="shared" si="36"/>
        <v>0</v>
      </c>
      <c r="N95" s="251">
        <f t="shared" si="36"/>
        <v>0</v>
      </c>
      <c r="O95" s="125"/>
      <c r="P95" s="173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spans="1:26" ht="14.25" hidden="1" customHeight="1" outlineLevel="1">
      <c r="A96" s="168"/>
      <c r="B96" s="168" t="s">
        <v>541</v>
      </c>
      <c r="C96" s="168" t="str">
        <f t="shared" ref="C96:C99" si="37">MID(E96,4,LEN(E96))</f>
        <v xml:space="preserve"> Surabaya</v>
      </c>
      <c r="D96" s="168" t="str">
        <f t="shared" si="34"/>
        <v/>
      </c>
      <c r="E96" s="252" t="s">
        <v>542</v>
      </c>
      <c r="F96" s="246"/>
      <c r="G96" s="242"/>
      <c r="H96" s="256"/>
      <c r="I96" s="256"/>
      <c r="J96" s="256"/>
      <c r="K96" s="256"/>
      <c r="L96" s="243"/>
      <c r="M96" s="266"/>
      <c r="N96" s="247">
        <f t="shared" ref="N96:N99" si="38">SUM(F96:M96)</f>
        <v>0</v>
      </c>
      <c r="O96" s="125"/>
      <c r="P96" s="173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spans="1:26" ht="14.25" hidden="1" customHeight="1" outlineLevel="1">
      <c r="A97" s="168"/>
      <c r="B97" s="168" t="s">
        <v>543</v>
      </c>
      <c r="C97" s="168" t="str">
        <f t="shared" si="37"/>
        <v xml:space="preserve"> Pamekasan</v>
      </c>
      <c r="D97" s="168" t="str">
        <f t="shared" si="34"/>
        <v/>
      </c>
      <c r="E97" s="252" t="s">
        <v>544</v>
      </c>
      <c r="F97" s="246"/>
      <c r="G97" s="242"/>
      <c r="H97" s="256"/>
      <c r="I97" s="243"/>
      <c r="J97" s="256"/>
      <c r="K97" s="256"/>
      <c r="L97" s="243"/>
      <c r="M97" s="266"/>
      <c r="N97" s="247">
        <f t="shared" si="38"/>
        <v>0</v>
      </c>
      <c r="O97" s="125"/>
      <c r="P97" s="173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spans="1:26" ht="14.25" hidden="1" customHeight="1" outlineLevel="1">
      <c r="A98" s="168"/>
      <c r="B98" s="168" t="s">
        <v>545</v>
      </c>
      <c r="C98" s="168" t="str">
        <f t="shared" si="37"/>
        <v xml:space="preserve"> Sidoarjo</v>
      </c>
      <c r="D98" s="168" t="str">
        <f t="shared" si="34"/>
        <v/>
      </c>
      <c r="E98" s="253" t="s">
        <v>546</v>
      </c>
      <c r="F98" s="246"/>
      <c r="G98" s="242"/>
      <c r="H98" s="256"/>
      <c r="I98" s="256"/>
      <c r="J98" s="256"/>
      <c r="K98" s="256"/>
      <c r="L98" s="243"/>
      <c r="M98" s="266"/>
      <c r="N98" s="247">
        <f t="shared" si="38"/>
        <v>0</v>
      </c>
      <c r="O98" s="125"/>
      <c r="P98" s="173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spans="1:26" ht="14.25" hidden="1" customHeight="1" outlineLevel="1">
      <c r="A99" s="168"/>
      <c r="B99" s="168" t="s">
        <v>547</v>
      </c>
      <c r="C99" s="168" t="str">
        <f t="shared" si="37"/>
        <v xml:space="preserve"> Malang</v>
      </c>
      <c r="D99" s="168" t="str">
        <f t="shared" si="34"/>
        <v/>
      </c>
      <c r="E99" s="252" t="s">
        <v>548</v>
      </c>
      <c r="F99" s="246"/>
      <c r="G99" s="242"/>
      <c r="H99" s="243"/>
      <c r="I99" s="243"/>
      <c r="J99" s="256"/>
      <c r="K99" s="243"/>
      <c r="L99" s="243"/>
      <c r="M99" s="266"/>
      <c r="N99" s="247">
        <f t="shared" si="38"/>
        <v>0</v>
      </c>
      <c r="O99" s="125"/>
      <c r="P99" s="173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spans="1:26" ht="14.25" hidden="1" customHeight="1" outlineLevel="1">
      <c r="A100" s="168"/>
      <c r="B100" s="168" t="s">
        <v>549</v>
      </c>
      <c r="C100" s="168" t="s">
        <v>550</v>
      </c>
      <c r="D100" s="168"/>
      <c r="E100" s="252" t="s">
        <v>551</v>
      </c>
      <c r="F100" s="246"/>
      <c r="G100" s="242"/>
      <c r="H100" s="243"/>
      <c r="I100" s="243"/>
      <c r="J100" s="243"/>
      <c r="K100" s="243"/>
      <c r="L100" s="243"/>
      <c r="M100" s="244"/>
      <c r="N100" s="247"/>
      <c r="O100" s="125"/>
      <c r="P100" s="173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spans="1:26" ht="14.25" hidden="1" customHeight="1" outlineLevel="1">
      <c r="A101" s="168"/>
      <c r="B101" s="168" t="s">
        <v>552</v>
      </c>
      <c r="C101" s="168" t="str">
        <f t="shared" ref="C101:C105" si="39">MID(E101,4,LEN(E101))</f>
        <v xml:space="preserve"> Mojokerto</v>
      </c>
      <c r="D101" s="168" t="str">
        <f t="shared" ref="D101:D105" si="40">IFERROR(VLOOKUP($E$4&amp;C101,#REF!,2,FALSE),"")</f>
        <v/>
      </c>
      <c r="E101" s="252" t="s">
        <v>553</v>
      </c>
      <c r="F101" s="246"/>
      <c r="G101" s="242"/>
      <c r="H101" s="243"/>
      <c r="I101" s="256"/>
      <c r="J101" s="256"/>
      <c r="K101" s="243"/>
      <c r="L101" s="243"/>
      <c r="M101" s="266"/>
      <c r="N101" s="247">
        <f t="shared" ref="N101:N105" si="41">SUM(F101:M101)</f>
        <v>0</v>
      </c>
      <c r="O101" s="125"/>
      <c r="P101" s="173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 ht="14.25" hidden="1" customHeight="1" outlineLevel="1">
      <c r="A102" s="168"/>
      <c r="B102" s="168" t="s">
        <v>554</v>
      </c>
      <c r="C102" s="168" t="str">
        <f t="shared" si="39"/>
        <v xml:space="preserve"> Jember</v>
      </c>
      <c r="D102" s="168" t="str">
        <f t="shared" si="40"/>
        <v/>
      </c>
      <c r="E102" s="252" t="s">
        <v>555</v>
      </c>
      <c r="F102" s="246"/>
      <c r="G102" s="242"/>
      <c r="H102" s="243"/>
      <c r="I102" s="256"/>
      <c r="J102" s="243"/>
      <c r="K102" s="243"/>
      <c r="L102" s="243"/>
      <c r="M102" s="266"/>
      <c r="N102" s="247">
        <f t="shared" si="41"/>
        <v>0</v>
      </c>
      <c r="O102" s="125"/>
      <c r="P102" s="173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 ht="14.25" hidden="1" customHeight="1" outlineLevel="1">
      <c r="A103" s="168"/>
      <c r="B103" s="168" t="s">
        <v>556</v>
      </c>
      <c r="C103" s="168" t="str">
        <f t="shared" si="39"/>
        <v xml:space="preserve"> Banyuwangi</v>
      </c>
      <c r="D103" s="168" t="str">
        <f t="shared" si="40"/>
        <v/>
      </c>
      <c r="E103" s="252" t="s">
        <v>557</v>
      </c>
      <c r="F103" s="246"/>
      <c r="G103" s="242"/>
      <c r="H103" s="243"/>
      <c r="I103" s="256"/>
      <c r="J103" s="243"/>
      <c r="K103" s="243"/>
      <c r="L103" s="243"/>
      <c r="M103" s="266"/>
      <c r="N103" s="247">
        <f t="shared" si="41"/>
        <v>0</v>
      </c>
      <c r="O103" s="125"/>
      <c r="P103" s="173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spans="1:26" ht="14.25" hidden="1" customHeight="1" outlineLevel="1">
      <c r="A104" s="168"/>
      <c r="B104" s="168" t="s">
        <v>558</v>
      </c>
      <c r="C104" s="168" t="str">
        <f t="shared" si="39"/>
        <v xml:space="preserve"> Probolinggo</v>
      </c>
      <c r="D104" s="168" t="str">
        <f t="shared" si="40"/>
        <v/>
      </c>
      <c r="E104" s="252" t="s">
        <v>559</v>
      </c>
      <c r="F104" s="246"/>
      <c r="G104" s="242"/>
      <c r="H104" s="243"/>
      <c r="I104" s="256"/>
      <c r="J104" s="243"/>
      <c r="K104" s="243"/>
      <c r="L104" s="243"/>
      <c r="M104" s="266"/>
      <c r="N104" s="247">
        <f t="shared" si="41"/>
        <v>0</v>
      </c>
      <c r="O104" s="125"/>
      <c r="P104" s="173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spans="1:26" ht="14.25" hidden="1" customHeight="1" outlineLevel="1">
      <c r="A105" s="168"/>
      <c r="B105" s="168" t="s">
        <v>560</v>
      </c>
      <c r="C105" s="168" t="str">
        <f t="shared" si="39"/>
        <v xml:space="preserve"> Gresik</v>
      </c>
      <c r="D105" s="168" t="str">
        <f t="shared" si="40"/>
        <v/>
      </c>
      <c r="E105" s="252" t="s">
        <v>561</v>
      </c>
      <c r="F105" s="246"/>
      <c r="G105" s="242"/>
      <c r="H105" s="243"/>
      <c r="I105" s="256"/>
      <c r="J105" s="243"/>
      <c r="K105" s="256"/>
      <c r="L105" s="243"/>
      <c r="M105" s="266"/>
      <c r="N105" s="247">
        <f t="shared" si="41"/>
        <v>0</v>
      </c>
      <c r="O105" s="125"/>
      <c r="P105" s="173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spans="1:26" ht="15.75" customHeight="1" collapsed="1">
      <c r="A106" s="162" t="s">
        <v>453</v>
      </c>
      <c r="B106" s="162"/>
      <c r="C106" s="162"/>
      <c r="D106" s="162">
        <v>1</v>
      </c>
      <c r="E106" s="162" t="s">
        <v>562</v>
      </c>
      <c r="F106" s="251">
        <f t="shared" ref="F106:N106" si="42">SUM(F96:F105)</f>
        <v>0</v>
      </c>
      <c r="G106" s="251">
        <f t="shared" si="42"/>
        <v>0</v>
      </c>
      <c r="H106" s="251">
        <f t="shared" si="42"/>
        <v>0</v>
      </c>
      <c r="I106" s="251">
        <f t="shared" si="42"/>
        <v>0</v>
      </c>
      <c r="J106" s="251">
        <f t="shared" si="42"/>
        <v>0</v>
      </c>
      <c r="K106" s="251">
        <f t="shared" si="42"/>
        <v>0</v>
      </c>
      <c r="L106" s="251">
        <f t="shared" si="42"/>
        <v>0</v>
      </c>
      <c r="M106" s="251">
        <f t="shared" si="42"/>
        <v>0</v>
      </c>
      <c r="N106" s="251">
        <f t="shared" si="42"/>
        <v>0</v>
      </c>
      <c r="O106" s="125"/>
      <c r="P106" s="173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spans="1:26" ht="14.25" customHeight="1" outlineLevel="1">
      <c r="A107" s="150"/>
      <c r="B107" s="193" t="s">
        <v>563</v>
      </c>
      <c r="C107" s="193" t="str">
        <f t="shared" ref="C107:C111" si="43">MID(E107,4,LEN(E107))</f>
        <v xml:space="preserve"> Denpasar</v>
      </c>
      <c r="D107" s="193" t="str">
        <f t="shared" ref="D107:D119" si="44">IFERROR(VLOOKUP($E$4&amp;C107,#REF!,2,FALSE),"")</f>
        <v/>
      </c>
      <c r="E107" s="199" t="s">
        <v>565</v>
      </c>
      <c r="F107" s="270"/>
      <c r="G107" s="242"/>
      <c r="H107" s="256"/>
      <c r="I107" s="249"/>
      <c r="J107" s="256"/>
      <c r="K107" s="243"/>
      <c r="L107" s="250"/>
      <c r="M107" s="244"/>
      <c r="N107" s="271">
        <f t="shared" ref="N107:N111" si="45">SUM(F107:M107)</f>
        <v>0</v>
      </c>
      <c r="O107" s="125"/>
      <c r="P107" s="173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spans="1:26" ht="14.25" customHeight="1" outlineLevel="1">
      <c r="A108" s="150"/>
      <c r="B108" s="193" t="s">
        <v>566</v>
      </c>
      <c r="C108" s="193" t="str">
        <f t="shared" si="43"/>
        <v xml:space="preserve"> Singaraja</v>
      </c>
      <c r="D108" s="193" t="str">
        <f t="shared" si="44"/>
        <v/>
      </c>
      <c r="E108" s="199" t="s">
        <v>567</v>
      </c>
      <c r="F108" s="270"/>
      <c r="G108" s="242"/>
      <c r="H108" s="243"/>
      <c r="I108" s="256"/>
      <c r="J108" s="243"/>
      <c r="K108" s="243"/>
      <c r="L108" s="243"/>
      <c r="M108" s="266"/>
      <c r="N108" s="271">
        <f t="shared" si="45"/>
        <v>0</v>
      </c>
      <c r="O108" s="125"/>
      <c r="P108" s="173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spans="1:26" ht="14.25" customHeight="1" outlineLevel="1">
      <c r="A109" s="150"/>
      <c r="B109" s="193" t="s">
        <v>568</v>
      </c>
      <c r="C109" s="193" t="str">
        <f t="shared" si="43"/>
        <v xml:space="preserve"> Mataram</v>
      </c>
      <c r="D109" s="193" t="str">
        <f t="shared" si="44"/>
        <v/>
      </c>
      <c r="E109" s="199" t="s">
        <v>569</v>
      </c>
      <c r="F109" s="270"/>
      <c r="G109" s="242"/>
      <c r="H109" s="256"/>
      <c r="I109" s="243"/>
      <c r="J109" s="256"/>
      <c r="K109" s="243"/>
      <c r="L109" s="256"/>
      <c r="M109" s="244"/>
      <c r="N109" s="271">
        <f t="shared" si="45"/>
        <v>0</v>
      </c>
      <c r="O109" s="125"/>
      <c r="P109" s="173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spans="1:26" ht="14.25" customHeight="1" outlineLevel="1">
      <c r="A110" s="150"/>
      <c r="B110" s="193" t="s">
        <v>570</v>
      </c>
      <c r="C110" s="193" t="str">
        <f t="shared" si="43"/>
        <v xml:space="preserve"> Ende</v>
      </c>
      <c r="D110" s="193" t="str">
        <f t="shared" si="44"/>
        <v/>
      </c>
      <c r="E110" s="199" t="s">
        <v>572</v>
      </c>
      <c r="F110" s="270"/>
      <c r="G110" s="242"/>
      <c r="H110" s="243"/>
      <c r="I110" s="256"/>
      <c r="J110" s="243"/>
      <c r="K110" s="243"/>
      <c r="L110" s="243"/>
      <c r="M110" s="244"/>
      <c r="N110" s="271">
        <f t="shared" si="45"/>
        <v>0</v>
      </c>
      <c r="O110" s="125"/>
      <c r="P110" s="173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spans="1:26" ht="14.25" customHeight="1" outlineLevel="1">
      <c r="A111" s="150"/>
      <c r="B111" s="193" t="s">
        <v>576</v>
      </c>
      <c r="C111" s="193" t="str">
        <f t="shared" si="43"/>
        <v xml:space="preserve"> Kupang</v>
      </c>
      <c r="D111" s="193" t="str">
        <f t="shared" si="44"/>
        <v/>
      </c>
      <c r="E111" s="199" t="s">
        <v>577</v>
      </c>
      <c r="F111" s="270">
        <v>1400</v>
      </c>
      <c r="G111" s="272"/>
      <c r="H111" s="256"/>
      <c r="I111" s="256"/>
      <c r="J111" s="243"/>
      <c r="K111" s="243"/>
      <c r="L111" s="243"/>
      <c r="M111" s="244"/>
      <c r="N111" s="271">
        <f t="shared" si="45"/>
        <v>1400</v>
      </c>
      <c r="O111" s="125"/>
      <c r="P111" s="173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spans="1:26" ht="15.75" customHeight="1">
      <c r="A112" s="162" t="s">
        <v>453</v>
      </c>
      <c r="B112" s="162"/>
      <c r="C112" s="162"/>
      <c r="D112" s="162" t="str">
        <f t="shared" si="44"/>
        <v/>
      </c>
      <c r="E112" s="162" t="s">
        <v>578</v>
      </c>
      <c r="F112" s="251">
        <f t="shared" ref="F112:N112" si="46">SUM(F107:F111)</f>
        <v>1400</v>
      </c>
      <c r="G112" s="251">
        <f t="shared" si="46"/>
        <v>0</v>
      </c>
      <c r="H112" s="251">
        <f t="shared" si="46"/>
        <v>0</v>
      </c>
      <c r="I112" s="251">
        <f t="shared" si="46"/>
        <v>0</v>
      </c>
      <c r="J112" s="251">
        <f t="shared" si="46"/>
        <v>0</v>
      </c>
      <c r="K112" s="251">
        <f t="shared" si="46"/>
        <v>0</v>
      </c>
      <c r="L112" s="251">
        <f t="shared" si="46"/>
        <v>0</v>
      </c>
      <c r="M112" s="251">
        <f t="shared" si="46"/>
        <v>0</v>
      </c>
      <c r="N112" s="251">
        <f t="shared" si="46"/>
        <v>1400</v>
      </c>
      <c r="O112" s="125"/>
      <c r="P112" s="173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spans="1:26" ht="14.25" hidden="1" customHeight="1" outlineLevel="1">
      <c r="A113" s="168" t="s">
        <v>579</v>
      </c>
      <c r="B113" s="193" t="s">
        <v>580</v>
      </c>
      <c r="C113" s="193" t="str">
        <f t="shared" ref="C113:C118" si="47">MID(E113,4,LEN(E113))</f>
        <v xml:space="preserve"> Banjarmasin</v>
      </c>
      <c r="D113" s="193" t="str">
        <f t="shared" si="44"/>
        <v/>
      </c>
      <c r="E113" s="199" t="s">
        <v>581</v>
      </c>
      <c r="F113" s="273"/>
      <c r="G113" s="242"/>
      <c r="H113" s="256"/>
      <c r="I113" s="256"/>
      <c r="J113" s="243"/>
      <c r="K113" s="243"/>
      <c r="L113" s="243"/>
      <c r="M113" s="244"/>
      <c r="N113" s="271">
        <f t="shared" ref="N113:N119" si="48">SUM(F113:M113)</f>
        <v>0</v>
      </c>
      <c r="O113" s="125"/>
      <c r="P113" s="173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spans="1:26" ht="14.25" hidden="1" customHeight="1" outlineLevel="1">
      <c r="A114" s="168"/>
      <c r="B114" s="193" t="s">
        <v>582</v>
      </c>
      <c r="C114" s="193" t="str">
        <f t="shared" si="47"/>
        <v xml:space="preserve"> Barabai</v>
      </c>
      <c r="D114" s="193" t="str">
        <f t="shared" si="44"/>
        <v/>
      </c>
      <c r="E114" s="199" t="s">
        <v>583</v>
      </c>
      <c r="F114" s="270"/>
      <c r="G114" s="242"/>
      <c r="H114" s="243"/>
      <c r="I114" s="256"/>
      <c r="J114" s="243"/>
      <c r="K114" s="243"/>
      <c r="L114" s="243"/>
      <c r="M114" s="244"/>
      <c r="N114" s="271">
        <f t="shared" si="48"/>
        <v>0</v>
      </c>
      <c r="O114" s="125"/>
      <c r="P114" s="173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spans="1:26" ht="14.25" hidden="1" customHeight="1" outlineLevel="1">
      <c r="A115" s="196"/>
      <c r="B115" s="193" t="s">
        <v>584</v>
      </c>
      <c r="C115" s="193" t="str">
        <f t="shared" si="47"/>
        <v xml:space="preserve"> Samarinda</v>
      </c>
      <c r="D115" s="193" t="str">
        <f t="shared" si="44"/>
        <v/>
      </c>
      <c r="E115" s="274" t="s">
        <v>586</v>
      </c>
      <c r="F115" s="270"/>
      <c r="G115" s="242"/>
      <c r="H115" s="256"/>
      <c r="I115" s="243"/>
      <c r="J115" s="249"/>
      <c r="K115" s="243"/>
      <c r="L115" s="243"/>
      <c r="M115" s="244"/>
      <c r="N115" s="271">
        <f t="shared" si="48"/>
        <v>0</v>
      </c>
      <c r="O115" s="125"/>
      <c r="P115" s="173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spans="1:26" ht="14.25" hidden="1" customHeight="1" outlineLevel="1">
      <c r="A116" s="196"/>
      <c r="B116" s="193" t="s">
        <v>587</v>
      </c>
      <c r="C116" s="193" t="str">
        <f t="shared" si="47"/>
        <v xml:space="preserve"> Berau</v>
      </c>
      <c r="D116" s="193" t="str">
        <f t="shared" si="44"/>
        <v/>
      </c>
      <c r="E116" s="274" t="s">
        <v>588</v>
      </c>
      <c r="F116" s="270"/>
      <c r="G116" s="242"/>
      <c r="H116" s="243"/>
      <c r="I116" s="243"/>
      <c r="J116" s="243"/>
      <c r="K116" s="243"/>
      <c r="L116" s="243"/>
      <c r="M116" s="244"/>
      <c r="N116" s="271">
        <f t="shared" si="48"/>
        <v>0</v>
      </c>
      <c r="O116" s="125"/>
      <c r="P116" s="173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spans="1:26" ht="14.25" hidden="1" customHeight="1" outlineLevel="1">
      <c r="A117" s="196"/>
      <c r="B117" s="193" t="s">
        <v>589</v>
      </c>
      <c r="C117" s="193" t="str">
        <f t="shared" si="47"/>
        <v xml:space="preserve"> Sengatta</v>
      </c>
      <c r="D117" s="193" t="str">
        <f t="shared" si="44"/>
        <v/>
      </c>
      <c r="E117" s="274" t="s">
        <v>590</v>
      </c>
      <c r="F117" s="270"/>
      <c r="G117" s="242"/>
      <c r="H117" s="243"/>
      <c r="I117" s="243"/>
      <c r="J117" s="243"/>
      <c r="K117" s="243"/>
      <c r="L117" s="243"/>
      <c r="M117" s="244"/>
      <c r="N117" s="271">
        <f t="shared" si="48"/>
        <v>0</v>
      </c>
      <c r="O117" s="125"/>
      <c r="P117" s="173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spans="1:26" ht="14.25" hidden="1" customHeight="1" outlineLevel="1">
      <c r="A118" s="168"/>
      <c r="B118" s="193" t="s">
        <v>591</v>
      </c>
      <c r="C118" s="193" t="str">
        <f t="shared" si="47"/>
        <v xml:space="preserve"> Balikpapan</v>
      </c>
      <c r="D118" s="193" t="str">
        <f t="shared" si="44"/>
        <v/>
      </c>
      <c r="E118" s="199" t="s">
        <v>593</v>
      </c>
      <c r="F118" s="273"/>
      <c r="G118" s="242"/>
      <c r="H118" s="256"/>
      <c r="I118" s="243"/>
      <c r="J118" s="250"/>
      <c r="K118" s="243"/>
      <c r="L118" s="243"/>
      <c r="M118" s="244"/>
      <c r="N118" s="271">
        <f t="shared" si="48"/>
        <v>0</v>
      </c>
      <c r="O118" s="125"/>
      <c r="P118" s="173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spans="1:26" ht="14.25" hidden="1" customHeight="1" outlineLevel="1">
      <c r="A119" s="196"/>
      <c r="B119" s="193" t="s">
        <v>594</v>
      </c>
      <c r="C119" s="193" t="s">
        <v>595</v>
      </c>
      <c r="D119" s="193" t="str">
        <f t="shared" si="44"/>
        <v/>
      </c>
      <c r="E119" s="199" t="s">
        <v>596</v>
      </c>
      <c r="F119" s="273"/>
      <c r="G119" s="242"/>
      <c r="H119" s="256"/>
      <c r="I119" s="243"/>
      <c r="J119" s="249"/>
      <c r="K119" s="243"/>
      <c r="L119" s="243"/>
      <c r="M119" s="244"/>
      <c r="N119" s="271">
        <f t="shared" si="48"/>
        <v>0</v>
      </c>
      <c r="O119" s="125"/>
      <c r="P119" s="173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spans="1:26" ht="15.75" customHeight="1" collapsed="1">
      <c r="A120" s="162" t="s">
        <v>597</v>
      </c>
      <c r="B120" s="162"/>
      <c r="C120" s="162"/>
      <c r="D120" s="162">
        <v>1</v>
      </c>
      <c r="E120" s="162" t="s">
        <v>598</v>
      </c>
      <c r="F120" s="251">
        <f t="shared" ref="F120:N120" si="49">SUM(F113:F119)</f>
        <v>0</v>
      </c>
      <c r="G120" s="251">
        <f t="shared" si="49"/>
        <v>0</v>
      </c>
      <c r="H120" s="251">
        <f t="shared" si="49"/>
        <v>0</v>
      </c>
      <c r="I120" s="251">
        <f t="shared" si="49"/>
        <v>0</v>
      </c>
      <c r="J120" s="251">
        <f t="shared" si="49"/>
        <v>0</v>
      </c>
      <c r="K120" s="251">
        <f t="shared" si="49"/>
        <v>0</v>
      </c>
      <c r="L120" s="251">
        <f t="shared" si="49"/>
        <v>0</v>
      </c>
      <c r="M120" s="251">
        <f t="shared" si="49"/>
        <v>0</v>
      </c>
      <c r="N120" s="251">
        <f t="shared" si="49"/>
        <v>0</v>
      </c>
      <c r="O120" s="125"/>
      <c r="P120" s="173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spans="1:26" ht="14.25" hidden="1" customHeight="1" outlineLevel="1">
      <c r="A121" s="168"/>
      <c r="B121" s="193" t="s">
        <v>599</v>
      </c>
      <c r="C121" s="193" t="str">
        <f t="shared" ref="C121:C123" si="50">MID(E121,4,LEN(E121))</f>
        <v xml:space="preserve"> Pontianak</v>
      </c>
      <c r="D121" s="193" t="str">
        <f t="shared" ref="D121:D123" si="51">IFERROR(VLOOKUP($E$4&amp;C121,#REF!,2,FALSE),"")</f>
        <v/>
      </c>
      <c r="E121" s="199" t="s">
        <v>600</v>
      </c>
      <c r="F121" s="270"/>
      <c r="G121" s="242"/>
      <c r="H121" s="243"/>
      <c r="I121" s="249"/>
      <c r="J121" s="243"/>
      <c r="K121" s="249"/>
      <c r="L121" s="243"/>
      <c r="M121" s="244"/>
      <c r="N121" s="271">
        <f t="shared" ref="N121:N123" si="52">SUM(F121:M121)</f>
        <v>0</v>
      </c>
      <c r="O121" s="125"/>
      <c r="P121" s="173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spans="1:26" ht="14.25" hidden="1" customHeight="1" outlineLevel="1">
      <c r="A122" s="168"/>
      <c r="B122" s="193" t="s">
        <v>601</v>
      </c>
      <c r="C122" s="193" t="str">
        <f t="shared" si="50"/>
        <v xml:space="preserve"> Sintang</v>
      </c>
      <c r="D122" s="193" t="str">
        <f t="shared" si="51"/>
        <v/>
      </c>
      <c r="E122" s="274" t="s">
        <v>602</v>
      </c>
      <c r="F122" s="270"/>
      <c r="G122" s="242"/>
      <c r="H122" s="243"/>
      <c r="I122" s="243"/>
      <c r="J122" s="243"/>
      <c r="K122" s="243"/>
      <c r="L122" s="243"/>
      <c r="M122" s="244"/>
      <c r="N122" s="271">
        <f t="shared" si="52"/>
        <v>0</v>
      </c>
      <c r="O122" s="125"/>
      <c r="P122" s="173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spans="1:26" ht="14.25" hidden="1" customHeight="1" outlineLevel="1">
      <c r="A123" s="168"/>
      <c r="B123" s="193" t="s">
        <v>603</v>
      </c>
      <c r="C123" s="193" t="str">
        <f t="shared" si="50"/>
        <v xml:space="preserve"> Palangkaraya</v>
      </c>
      <c r="D123" s="193" t="str">
        <f t="shared" si="51"/>
        <v/>
      </c>
      <c r="E123" s="274" t="s">
        <v>604</v>
      </c>
      <c r="F123" s="270"/>
      <c r="G123" s="242"/>
      <c r="H123" s="243"/>
      <c r="I123" s="243"/>
      <c r="J123" s="243"/>
      <c r="K123" s="243"/>
      <c r="L123" s="243"/>
      <c r="M123" s="244"/>
      <c r="N123" s="271">
        <f t="shared" si="52"/>
        <v>0</v>
      </c>
      <c r="O123" s="125"/>
      <c r="P123" s="173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spans="1:26" ht="15.75" customHeight="1" collapsed="1">
      <c r="A124" s="162" t="s">
        <v>597</v>
      </c>
      <c r="B124" s="162"/>
      <c r="C124" s="162"/>
      <c r="D124" s="162">
        <v>1</v>
      </c>
      <c r="E124" s="162" t="s">
        <v>605</v>
      </c>
      <c r="F124" s="251">
        <f t="shared" ref="F124:N124" si="53">SUM(F121:F123)</f>
        <v>0</v>
      </c>
      <c r="G124" s="251">
        <f t="shared" si="53"/>
        <v>0</v>
      </c>
      <c r="H124" s="251">
        <f t="shared" si="53"/>
        <v>0</v>
      </c>
      <c r="I124" s="251">
        <f t="shared" si="53"/>
        <v>0</v>
      </c>
      <c r="J124" s="251">
        <f t="shared" si="53"/>
        <v>0</v>
      </c>
      <c r="K124" s="251">
        <f t="shared" si="53"/>
        <v>0</v>
      </c>
      <c r="L124" s="251">
        <f t="shared" si="53"/>
        <v>0</v>
      </c>
      <c r="M124" s="251">
        <f t="shared" si="53"/>
        <v>0</v>
      </c>
      <c r="N124" s="251">
        <f t="shared" si="53"/>
        <v>0</v>
      </c>
      <c r="O124" s="125"/>
      <c r="P124" s="173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spans="1:26" ht="14.25" hidden="1" customHeight="1" outlineLevel="1">
      <c r="A125" s="168"/>
      <c r="B125" s="193" t="s">
        <v>606</v>
      </c>
      <c r="C125" s="193" t="str">
        <f t="shared" ref="C125:C130" si="54">MID(E125,4,LEN(E125))</f>
        <v xml:space="preserve"> Makassar</v>
      </c>
      <c r="D125" s="193" t="str">
        <f t="shared" ref="D125:D130" si="55">IFERROR(VLOOKUP($E$4&amp;C125,#REF!,2,FALSE),"")</f>
        <v/>
      </c>
      <c r="E125" s="199" t="s">
        <v>608</v>
      </c>
      <c r="F125" s="275"/>
      <c r="G125" s="242"/>
      <c r="H125" s="256"/>
      <c r="I125" s="249"/>
      <c r="J125" s="243"/>
      <c r="K125" s="256"/>
      <c r="L125" s="243"/>
      <c r="M125" s="244"/>
      <c r="N125" s="271">
        <f t="shared" ref="N125:N130" si="56">SUM(F125:M125)</f>
        <v>0</v>
      </c>
      <c r="O125" s="125"/>
      <c r="P125" s="173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spans="1:26" ht="14.25" hidden="1" customHeight="1" outlineLevel="1">
      <c r="A126" s="168"/>
      <c r="B126" s="193" t="s">
        <v>609</v>
      </c>
      <c r="C126" s="193" t="str">
        <f t="shared" si="54"/>
        <v xml:space="preserve"> Makassar 2</v>
      </c>
      <c r="D126" s="193" t="str">
        <f t="shared" si="55"/>
        <v/>
      </c>
      <c r="E126" s="199" t="s">
        <v>610</v>
      </c>
      <c r="F126" s="275"/>
      <c r="G126" s="242"/>
      <c r="H126" s="243"/>
      <c r="I126" s="243"/>
      <c r="J126" s="243"/>
      <c r="K126" s="243"/>
      <c r="L126" s="243"/>
      <c r="M126" s="244"/>
      <c r="N126" s="271">
        <f t="shared" si="56"/>
        <v>0</v>
      </c>
      <c r="O126" s="125"/>
      <c r="P126" s="173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spans="1:26" ht="14.25" hidden="1" customHeight="1" outlineLevel="1">
      <c r="A127" s="168"/>
      <c r="B127" s="193" t="s">
        <v>611</v>
      </c>
      <c r="C127" s="193" t="str">
        <f t="shared" si="54"/>
        <v xml:space="preserve"> Kendari</v>
      </c>
      <c r="D127" s="193" t="str">
        <f t="shared" si="55"/>
        <v/>
      </c>
      <c r="E127" s="199" t="s">
        <v>2756</v>
      </c>
      <c r="F127" s="275"/>
      <c r="G127" s="272"/>
      <c r="H127" s="243"/>
      <c r="I127" s="243"/>
      <c r="J127" s="243"/>
      <c r="K127" s="243"/>
      <c r="L127" s="243"/>
      <c r="M127" s="244"/>
      <c r="N127" s="271">
        <f t="shared" si="56"/>
        <v>0</v>
      </c>
      <c r="O127" s="125"/>
      <c r="P127" s="173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spans="1:26" ht="14.25" hidden="1" customHeight="1" outlineLevel="1">
      <c r="A128" s="168"/>
      <c r="B128" s="193" t="s">
        <v>614</v>
      </c>
      <c r="C128" s="193" t="str">
        <f t="shared" si="54"/>
        <v xml:space="preserve"> Parepare</v>
      </c>
      <c r="D128" s="193" t="str">
        <f t="shared" si="55"/>
        <v/>
      </c>
      <c r="E128" s="199" t="s">
        <v>616</v>
      </c>
      <c r="F128" s="275"/>
      <c r="G128" s="242"/>
      <c r="H128" s="256"/>
      <c r="I128" s="243"/>
      <c r="J128" s="243"/>
      <c r="K128" s="256"/>
      <c r="L128" s="243"/>
      <c r="M128" s="244"/>
      <c r="N128" s="271">
        <f t="shared" si="56"/>
        <v>0</v>
      </c>
      <c r="O128" s="125"/>
      <c r="P128" s="173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spans="1:26" ht="14.25" hidden="1" customHeight="1" outlineLevel="1">
      <c r="A129" s="168"/>
      <c r="B129" s="193" t="s">
        <v>617</v>
      </c>
      <c r="C129" s="193" t="str">
        <f t="shared" si="54"/>
        <v xml:space="preserve"> Palopo</v>
      </c>
      <c r="D129" s="193" t="str">
        <f t="shared" si="55"/>
        <v/>
      </c>
      <c r="E129" s="199" t="s">
        <v>618</v>
      </c>
      <c r="F129" s="275"/>
      <c r="G129" s="242"/>
      <c r="H129" s="243"/>
      <c r="I129" s="243"/>
      <c r="J129" s="243"/>
      <c r="K129" s="256"/>
      <c r="L129" s="243"/>
      <c r="M129" s="244"/>
      <c r="N129" s="271">
        <f t="shared" si="56"/>
        <v>0</v>
      </c>
      <c r="O129" s="167"/>
      <c r="P129" s="173"/>
      <c r="Q129" s="173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spans="1:26" ht="14.25" hidden="1" customHeight="1" outlineLevel="1">
      <c r="A130" s="168"/>
      <c r="B130" s="193" t="s">
        <v>619</v>
      </c>
      <c r="C130" s="193" t="str">
        <f t="shared" si="54"/>
        <v xml:space="preserve"> Palu</v>
      </c>
      <c r="D130" s="193" t="str">
        <f t="shared" si="55"/>
        <v/>
      </c>
      <c r="E130" s="199" t="s">
        <v>621</v>
      </c>
      <c r="F130" s="276"/>
      <c r="G130" s="242"/>
      <c r="H130" s="256"/>
      <c r="I130" s="243"/>
      <c r="J130" s="243"/>
      <c r="K130" s="243"/>
      <c r="L130" s="243"/>
      <c r="M130" s="244"/>
      <c r="N130" s="271">
        <f t="shared" si="56"/>
        <v>0</v>
      </c>
      <c r="O130" s="167"/>
      <c r="P130" s="173"/>
      <c r="Q130" s="173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spans="1:26" ht="15.75" customHeight="1" collapsed="1">
      <c r="A131" s="162" t="s">
        <v>622</v>
      </c>
      <c r="B131" s="162"/>
      <c r="C131" s="162"/>
      <c r="D131" s="162">
        <v>1</v>
      </c>
      <c r="E131" s="162" t="s">
        <v>623</v>
      </c>
      <c r="F131" s="251">
        <f t="shared" ref="F131:N131" si="57">SUM(F125:F130)</f>
        <v>0</v>
      </c>
      <c r="G131" s="251">
        <f t="shared" si="57"/>
        <v>0</v>
      </c>
      <c r="H131" s="251">
        <f t="shared" si="57"/>
        <v>0</v>
      </c>
      <c r="I131" s="251">
        <f t="shared" si="57"/>
        <v>0</v>
      </c>
      <c r="J131" s="251">
        <f t="shared" si="57"/>
        <v>0</v>
      </c>
      <c r="K131" s="251">
        <f t="shared" si="57"/>
        <v>0</v>
      </c>
      <c r="L131" s="251">
        <f t="shared" si="57"/>
        <v>0</v>
      </c>
      <c r="M131" s="251">
        <f t="shared" si="57"/>
        <v>0</v>
      </c>
      <c r="N131" s="251">
        <f t="shared" si="57"/>
        <v>0</v>
      </c>
      <c r="O131" s="167"/>
      <c r="P131" s="173"/>
      <c r="Q131" s="173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spans="1:26" ht="14.25" hidden="1" customHeight="1" outlineLevel="1">
      <c r="A132" s="168"/>
      <c r="B132" s="193" t="s">
        <v>624</v>
      </c>
      <c r="C132" s="193" t="str">
        <f t="shared" ref="C132:C138" si="58">MID(E132,4,LEN(E132))</f>
        <v xml:space="preserve"> Manado</v>
      </c>
      <c r="D132" s="193" t="str">
        <f t="shared" ref="D132:D138" si="59">IFERROR(VLOOKUP($E$4&amp;C132,#REF!,2,FALSE),"")</f>
        <v/>
      </c>
      <c r="E132" s="199" t="s">
        <v>625</v>
      </c>
      <c r="F132" s="275"/>
      <c r="G132" s="242"/>
      <c r="H132" s="256"/>
      <c r="I132" s="243"/>
      <c r="J132" s="256"/>
      <c r="K132" s="243"/>
      <c r="L132" s="243"/>
      <c r="M132" s="244"/>
      <c r="N132" s="271">
        <f>SUM(G132:M132)</f>
        <v>0</v>
      </c>
      <c r="O132" s="167"/>
      <c r="P132" s="173"/>
      <c r="Q132" s="173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spans="1:26" ht="14.25" hidden="1" customHeight="1" outlineLevel="1">
      <c r="A133" s="168"/>
      <c r="B133" s="193" t="s">
        <v>626</v>
      </c>
      <c r="C133" s="193" t="str">
        <f t="shared" si="58"/>
        <v xml:space="preserve"> Gorontalo</v>
      </c>
      <c r="D133" s="193" t="str">
        <f t="shared" si="59"/>
        <v/>
      </c>
      <c r="E133" s="199" t="s">
        <v>628</v>
      </c>
      <c r="F133" s="275"/>
      <c r="G133" s="272"/>
      <c r="H133" s="243"/>
      <c r="I133" s="243"/>
      <c r="J133" s="256"/>
      <c r="K133" s="243"/>
      <c r="L133" s="243"/>
      <c r="M133" s="244"/>
      <c r="N133" s="271">
        <f t="shared" ref="N133:N138" si="60">SUM(F133:M133)</f>
        <v>0</v>
      </c>
      <c r="O133" s="167"/>
      <c r="P133" s="173"/>
      <c r="Q133" s="173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spans="1:26" ht="14.25" hidden="1" customHeight="1" outlineLevel="1">
      <c r="A134" s="168"/>
      <c r="B134" s="193" t="s">
        <v>629</v>
      </c>
      <c r="C134" s="193" t="str">
        <f t="shared" si="58"/>
        <v xml:space="preserve"> Ternate</v>
      </c>
      <c r="D134" s="193" t="str">
        <f t="shared" si="59"/>
        <v/>
      </c>
      <c r="E134" s="199" t="s">
        <v>630</v>
      </c>
      <c r="F134" s="275"/>
      <c r="G134" s="242"/>
      <c r="H134" s="243"/>
      <c r="I134" s="256"/>
      <c r="J134" s="243"/>
      <c r="K134" s="243"/>
      <c r="L134" s="243"/>
      <c r="M134" s="244"/>
      <c r="N134" s="271">
        <f t="shared" si="60"/>
        <v>0</v>
      </c>
      <c r="O134" s="167"/>
      <c r="P134" s="173"/>
      <c r="Q134" s="173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spans="1:26" ht="14.25" hidden="1" customHeight="1" outlineLevel="1">
      <c r="A135" s="168"/>
      <c r="B135" s="193" t="s">
        <v>631</v>
      </c>
      <c r="C135" s="193" t="str">
        <f t="shared" si="58"/>
        <v xml:space="preserve"> Ambon</v>
      </c>
      <c r="D135" s="193" t="str">
        <f t="shared" si="59"/>
        <v/>
      </c>
      <c r="E135" s="199" t="s">
        <v>632</v>
      </c>
      <c r="F135" s="275"/>
      <c r="G135" s="272"/>
      <c r="H135" s="243"/>
      <c r="I135" s="243"/>
      <c r="J135" s="243"/>
      <c r="K135" s="256"/>
      <c r="L135" s="243"/>
      <c r="M135" s="244"/>
      <c r="N135" s="271">
        <f t="shared" si="60"/>
        <v>0</v>
      </c>
      <c r="O135" s="167"/>
      <c r="P135" s="173"/>
      <c r="Q135" s="173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spans="1:26" ht="14.25" hidden="1" customHeight="1" outlineLevel="1">
      <c r="A136" s="168"/>
      <c r="B136" s="193" t="s">
        <v>633</v>
      </c>
      <c r="C136" s="193" t="str">
        <f t="shared" si="58"/>
        <v xml:space="preserve"> Tual</v>
      </c>
      <c r="D136" s="193" t="str">
        <f t="shared" si="59"/>
        <v/>
      </c>
      <c r="E136" s="274" t="s">
        <v>635</v>
      </c>
      <c r="F136" s="275"/>
      <c r="G136" s="242"/>
      <c r="H136" s="243"/>
      <c r="I136" s="243"/>
      <c r="J136" s="243"/>
      <c r="K136" s="256"/>
      <c r="L136" s="243"/>
      <c r="M136" s="244"/>
      <c r="N136" s="271">
        <f t="shared" si="60"/>
        <v>0</v>
      </c>
      <c r="O136" s="167"/>
      <c r="P136" s="173"/>
      <c r="Q136" s="173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spans="1:26" ht="14.25" hidden="1" customHeight="1" outlineLevel="1">
      <c r="A137" s="168"/>
      <c r="B137" s="193" t="s">
        <v>636</v>
      </c>
      <c r="C137" s="193" t="str">
        <f t="shared" si="58"/>
        <v xml:space="preserve"> Papua</v>
      </c>
      <c r="D137" s="193" t="str">
        <f t="shared" si="59"/>
        <v/>
      </c>
      <c r="E137" s="199" t="s">
        <v>638</v>
      </c>
      <c r="F137" s="275"/>
      <c r="G137" s="272"/>
      <c r="H137" s="243"/>
      <c r="I137" s="243"/>
      <c r="J137" s="243"/>
      <c r="K137" s="256"/>
      <c r="L137" s="243"/>
      <c r="M137" s="244"/>
      <c r="N137" s="271">
        <f t="shared" si="60"/>
        <v>0</v>
      </c>
      <c r="O137" s="167"/>
      <c r="P137" s="173"/>
      <c r="Q137" s="173"/>
      <c r="R137" s="125"/>
      <c r="S137" s="125"/>
      <c r="T137" s="125"/>
      <c r="U137" s="125">
        <v>1167</v>
      </c>
      <c r="V137" s="173">
        <f>U137-N139</f>
        <v>1167</v>
      </c>
      <c r="W137" s="125"/>
      <c r="X137" s="125"/>
      <c r="Y137" s="125"/>
      <c r="Z137" s="125"/>
    </row>
    <row r="138" spans="1:26" ht="14.25" hidden="1" customHeight="1" outlineLevel="1">
      <c r="A138" s="168"/>
      <c r="B138" s="193" t="s">
        <v>639</v>
      </c>
      <c r="C138" s="193" t="str">
        <f t="shared" si="58"/>
        <v xml:space="preserve"> Sorong</v>
      </c>
      <c r="D138" s="193" t="str">
        <f t="shared" si="59"/>
        <v/>
      </c>
      <c r="E138" s="199" t="s">
        <v>641</v>
      </c>
      <c r="F138" s="275"/>
      <c r="G138" s="242"/>
      <c r="H138" s="256"/>
      <c r="I138" s="243"/>
      <c r="J138" s="243"/>
      <c r="K138" s="256"/>
      <c r="L138" s="243"/>
      <c r="M138" s="244"/>
      <c r="N138" s="271">
        <f t="shared" si="60"/>
        <v>0</v>
      </c>
      <c r="O138" s="167"/>
      <c r="P138" s="173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spans="1:26" ht="15.75" customHeight="1" collapsed="1">
      <c r="A139" s="162" t="s">
        <v>642</v>
      </c>
      <c r="B139" s="162"/>
      <c r="C139" s="162"/>
      <c r="D139" s="162">
        <v>1</v>
      </c>
      <c r="E139" s="162" t="s">
        <v>643</v>
      </c>
      <c r="F139" s="251">
        <f t="shared" ref="F139:N139" si="61">SUM(F132:F138)</f>
        <v>0</v>
      </c>
      <c r="G139" s="251">
        <f t="shared" si="61"/>
        <v>0</v>
      </c>
      <c r="H139" s="251">
        <f t="shared" si="61"/>
        <v>0</v>
      </c>
      <c r="I139" s="251">
        <f t="shared" si="61"/>
        <v>0</v>
      </c>
      <c r="J139" s="251">
        <f t="shared" si="61"/>
        <v>0</v>
      </c>
      <c r="K139" s="251">
        <f t="shared" si="61"/>
        <v>0</v>
      </c>
      <c r="L139" s="251">
        <f t="shared" si="61"/>
        <v>0</v>
      </c>
      <c r="M139" s="251">
        <f t="shared" si="61"/>
        <v>0</v>
      </c>
      <c r="N139" s="251">
        <f t="shared" si="61"/>
        <v>0</v>
      </c>
      <c r="O139" s="167"/>
      <c r="P139" s="173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spans="1:26" ht="15.75" customHeight="1">
      <c r="A140" s="162"/>
      <c r="B140" s="162"/>
      <c r="C140" s="162"/>
      <c r="D140" s="162">
        <v>1</v>
      </c>
      <c r="E140" s="162" t="s">
        <v>291</v>
      </c>
      <c r="F140" s="277">
        <f t="shared" ref="F140:N140" si="62">SUM(F20,F30,F39,F48,F58,F68,F80,F88,F95,F106,F112,F120,F124,F131,F139)</f>
        <v>2300</v>
      </c>
      <c r="G140" s="277">
        <f t="shared" si="62"/>
        <v>0</v>
      </c>
      <c r="H140" s="277">
        <f t="shared" si="62"/>
        <v>0</v>
      </c>
      <c r="I140" s="277">
        <f t="shared" si="62"/>
        <v>0</v>
      </c>
      <c r="J140" s="277">
        <f t="shared" si="62"/>
        <v>0</v>
      </c>
      <c r="K140" s="277">
        <f t="shared" si="62"/>
        <v>0</v>
      </c>
      <c r="L140" s="277">
        <f t="shared" si="62"/>
        <v>0</v>
      </c>
      <c r="M140" s="277">
        <f t="shared" si="62"/>
        <v>0</v>
      </c>
      <c r="N140" s="277">
        <f t="shared" si="62"/>
        <v>2300</v>
      </c>
      <c r="O140" s="167"/>
      <c r="P140" s="173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spans="1:26" ht="15.75" customHeight="1">
      <c r="A141" s="136"/>
      <c r="B141" s="125"/>
      <c r="C141" s="125"/>
      <c r="D141" s="125"/>
      <c r="E141" s="125"/>
      <c r="F141" s="278"/>
      <c r="G141" s="200"/>
      <c r="H141" s="200"/>
      <c r="I141" s="200"/>
      <c r="J141" s="200"/>
      <c r="K141" s="200"/>
      <c r="L141" s="200"/>
      <c r="M141" s="200"/>
      <c r="N141" s="129">
        <f>SUM(F4:L4)</f>
        <v>2300</v>
      </c>
      <c r="O141" s="167"/>
      <c r="P141" s="173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spans="1:26" ht="15.75" customHeight="1">
      <c r="A142" s="136"/>
      <c r="B142" s="125"/>
      <c r="C142" s="136"/>
      <c r="D142" s="136"/>
      <c r="E142" s="279" t="s">
        <v>2790</v>
      </c>
      <c r="F142" s="280"/>
      <c r="G142" s="281">
        <f>SUM(F4)</f>
        <v>0</v>
      </c>
      <c r="H142" s="281">
        <f>SUM(F4:G4)</f>
        <v>750</v>
      </c>
      <c r="I142" s="281">
        <f>SUM(F4:H4)</f>
        <v>1650</v>
      </c>
      <c r="J142" s="281">
        <f>SUM(F4:I4)</f>
        <v>2050</v>
      </c>
      <c r="K142" s="281">
        <f>SUM(F4:J4)</f>
        <v>2200</v>
      </c>
      <c r="L142" s="281">
        <f>SUM(F4:K4)</f>
        <v>2300</v>
      </c>
      <c r="M142" s="281">
        <f>SUM(F4:L4)</f>
        <v>2300</v>
      </c>
      <c r="N142" s="129"/>
      <c r="O142" s="167"/>
      <c r="P142" s="173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spans="1:26" ht="15.75" customHeight="1">
      <c r="A143" s="136"/>
      <c r="B143" s="125"/>
      <c r="C143" s="136"/>
      <c r="D143" s="136"/>
      <c r="E143" s="282" t="s">
        <v>2791</v>
      </c>
      <c r="F143" s="283"/>
      <c r="G143" s="284">
        <f>SUM(F140:G140)</f>
        <v>2300</v>
      </c>
      <c r="H143" s="284">
        <f>SUM(F140:H140)</f>
        <v>2300</v>
      </c>
      <c r="I143" s="284">
        <f>SUM(F140:I140)</f>
        <v>2300</v>
      </c>
      <c r="J143" s="284">
        <f>SUM(F140:J140)</f>
        <v>2300</v>
      </c>
      <c r="K143" s="284">
        <f>SUM(F140:K140)</f>
        <v>2300</v>
      </c>
      <c r="L143" s="284">
        <f>SUM(F140:L140)</f>
        <v>2300</v>
      </c>
      <c r="M143" s="284">
        <f>SUM(F140:M140)</f>
        <v>2300</v>
      </c>
      <c r="N143" s="129"/>
      <c r="O143" s="167"/>
      <c r="P143" s="285" t="s">
        <v>2791</v>
      </c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spans="1:26" ht="15.75" customHeight="1">
      <c r="A144" s="136"/>
      <c r="B144" s="125"/>
      <c r="C144" s="136"/>
      <c r="D144" s="136"/>
      <c r="E144" s="282" t="s">
        <v>2792</v>
      </c>
      <c r="F144" s="283"/>
      <c r="G144" s="281">
        <f t="shared" ref="G144:M144" si="63">G142-G143</f>
        <v>-2300</v>
      </c>
      <c r="H144" s="281">
        <f t="shared" si="63"/>
        <v>-1550</v>
      </c>
      <c r="I144" s="281">
        <f t="shared" si="63"/>
        <v>-650</v>
      </c>
      <c r="J144" s="281">
        <f t="shared" si="63"/>
        <v>-250</v>
      </c>
      <c r="K144" s="286">
        <f t="shared" si="63"/>
        <v>-100</v>
      </c>
      <c r="L144" s="281">
        <f t="shared" si="63"/>
        <v>0</v>
      </c>
      <c r="M144" s="287">
        <f t="shared" si="63"/>
        <v>0</v>
      </c>
      <c r="N144" s="129"/>
      <c r="O144" s="167"/>
      <c r="P144" s="285" t="s">
        <v>2792</v>
      </c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spans="1:26" ht="15.75" customHeight="1">
      <c r="A145" s="136"/>
      <c r="B145" s="136"/>
      <c r="C145" s="136"/>
      <c r="D145" s="136"/>
      <c r="E145" s="288" t="s">
        <v>2793</v>
      </c>
      <c r="F145" s="126"/>
      <c r="G145" s="289"/>
      <c r="H145" s="289"/>
      <c r="I145" s="290"/>
      <c r="J145" s="289"/>
      <c r="K145" s="289"/>
      <c r="L145" s="289"/>
      <c r="M145" s="289"/>
      <c r="N145" s="129"/>
      <c r="O145" s="125"/>
      <c r="P145" s="173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spans="1:26" ht="15.75" customHeight="1">
      <c r="A146" s="125"/>
      <c r="B146" s="125"/>
      <c r="C146" s="125"/>
      <c r="D146" s="125"/>
      <c r="E146" s="125"/>
      <c r="F146" s="126"/>
      <c r="G146" s="125"/>
      <c r="H146" s="125"/>
      <c r="I146" s="125"/>
      <c r="J146" s="125"/>
      <c r="K146" s="125"/>
      <c r="L146" s="125"/>
      <c r="M146" s="125"/>
      <c r="N146" s="129"/>
      <c r="O146" s="125"/>
      <c r="P146" s="173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spans="1:26" ht="15.75" customHeight="1">
      <c r="A147" s="125"/>
      <c r="B147" s="125"/>
      <c r="C147" s="125"/>
      <c r="D147" s="125"/>
      <c r="E147" s="125"/>
      <c r="F147" s="126"/>
      <c r="G147" s="125"/>
      <c r="H147" s="125"/>
      <c r="I147" s="125"/>
      <c r="J147" s="125"/>
      <c r="K147" s="125"/>
      <c r="L147" s="125"/>
      <c r="M147" s="125"/>
      <c r="N147" s="129"/>
      <c r="O147" s="125"/>
      <c r="P147" s="173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spans="1:26" ht="15.75" customHeight="1">
      <c r="A148" s="125"/>
      <c r="B148" s="125"/>
      <c r="C148" s="125"/>
      <c r="D148" s="125"/>
      <c r="E148" s="125"/>
      <c r="F148" s="126"/>
      <c r="G148" s="125"/>
      <c r="H148" s="125"/>
      <c r="I148" s="125"/>
      <c r="J148" s="125"/>
      <c r="K148" s="125"/>
      <c r="L148" s="125"/>
      <c r="M148" s="125"/>
      <c r="N148" s="129"/>
      <c r="O148" s="125"/>
      <c r="P148" s="173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spans="1:26" ht="15.75" customHeight="1">
      <c r="A149" s="125"/>
      <c r="B149" s="125"/>
      <c r="C149" s="125"/>
      <c r="D149" s="125"/>
      <c r="E149" s="125"/>
      <c r="F149" s="126"/>
      <c r="G149" s="125"/>
      <c r="H149" s="125"/>
      <c r="I149" s="125"/>
      <c r="J149" s="125"/>
      <c r="K149" s="125"/>
      <c r="L149" s="125"/>
      <c r="M149" s="125"/>
      <c r="N149" s="129"/>
      <c r="O149" s="125"/>
      <c r="P149" s="173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spans="1:26" ht="15.75" customHeight="1">
      <c r="A150" s="125"/>
      <c r="B150" s="125"/>
      <c r="C150" s="125"/>
      <c r="D150" s="125"/>
      <c r="E150" s="125"/>
      <c r="F150" s="126"/>
      <c r="G150" s="125"/>
      <c r="H150" s="125"/>
      <c r="I150" s="125"/>
      <c r="J150" s="125"/>
      <c r="K150" s="125"/>
      <c r="L150" s="125"/>
      <c r="M150" s="125"/>
      <c r="N150" s="129"/>
      <c r="O150" s="125"/>
      <c r="P150" s="173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spans="1:26" ht="15.75" customHeight="1">
      <c r="A151" s="125"/>
      <c r="B151" s="125"/>
      <c r="C151" s="125"/>
      <c r="D151" s="125"/>
      <c r="E151" s="125"/>
      <c r="F151" s="126"/>
      <c r="G151" s="125"/>
      <c r="H151" s="125"/>
      <c r="I151" s="125"/>
      <c r="J151" s="125"/>
      <c r="K151" s="125"/>
      <c r="L151" s="125"/>
      <c r="M151" s="125"/>
      <c r="N151" s="129"/>
      <c r="O151" s="125"/>
      <c r="P151" s="173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spans="1:26" ht="15.75" customHeight="1">
      <c r="A152" s="125"/>
      <c r="B152" s="125"/>
      <c r="C152" s="125"/>
      <c r="D152" s="125"/>
      <c r="E152" s="125"/>
      <c r="F152" s="126"/>
      <c r="G152" s="125"/>
      <c r="H152" s="125"/>
      <c r="I152" s="125"/>
      <c r="J152" s="125"/>
      <c r="K152" s="125"/>
      <c r="L152" s="125"/>
      <c r="M152" s="125"/>
      <c r="N152" s="129"/>
      <c r="O152" s="125"/>
      <c r="P152" s="173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spans="1:26" ht="15.75" customHeight="1">
      <c r="A153" s="125"/>
      <c r="B153" s="125"/>
      <c r="C153" s="125"/>
      <c r="D153" s="125"/>
      <c r="E153" s="125"/>
      <c r="F153" s="126"/>
      <c r="G153" s="125"/>
      <c r="H153" s="125"/>
      <c r="I153" s="125"/>
      <c r="J153" s="125"/>
      <c r="K153" s="125"/>
      <c r="L153" s="125"/>
      <c r="M153" s="125"/>
      <c r="N153" s="129"/>
      <c r="O153" s="125"/>
      <c r="P153" s="173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spans="1:26" ht="15.75" customHeight="1">
      <c r="A154" s="125"/>
      <c r="B154" s="125"/>
      <c r="C154" s="125"/>
      <c r="D154" s="125"/>
      <c r="E154" s="125"/>
      <c r="F154" s="126"/>
      <c r="G154" s="125"/>
      <c r="H154" s="125"/>
      <c r="I154" s="125"/>
      <c r="J154" s="125"/>
      <c r="K154" s="125"/>
      <c r="L154" s="125"/>
      <c r="M154" s="125"/>
      <c r="N154" s="129"/>
      <c r="O154" s="125"/>
      <c r="P154" s="173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spans="1:26" ht="15.75" customHeight="1">
      <c r="A155" s="125"/>
      <c r="B155" s="125"/>
      <c r="C155" s="125"/>
      <c r="D155" s="125"/>
      <c r="E155" s="125"/>
      <c r="F155" s="126"/>
      <c r="G155" s="125"/>
      <c r="H155" s="125"/>
      <c r="I155" s="125"/>
      <c r="J155" s="125"/>
      <c r="K155" s="125"/>
      <c r="L155" s="125"/>
      <c r="M155" s="125"/>
      <c r="N155" s="129"/>
      <c r="O155" s="125"/>
      <c r="P155" s="173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spans="1:26" ht="15.75" customHeight="1">
      <c r="A156" s="125"/>
      <c r="B156" s="125"/>
      <c r="C156" s="125"/>
      <c r="D156" s="125"/>
      <c r="E156" s="125"/>
      <c r="F156" s="126"/>
      <c r="G156" s="125"/>
      <c r="H156" s="125"/>
      <c r="I156" s="125"/>
      <c r="J156" s="125"/>
      <c r="K156" s="125"/>
      <c r="L156" s="125"/>
      <c r="M156" s="125"/>
      <c r="N156" s="129"/>
      <c r="O156" s="125"/>
      <c r="P156" s="173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spans="1:26" ht="15.75" customHeight="1">
      <c r="A157" s="125"/>
      <c r="B157" s="125"/>
      <c r="C157" s="125"/>
      <c r="D157" s="125"/>
      <c r="E157" s="125"/>
      <c r="F157" s="126"/>
      <c r="G157" s="125"/>
      <c r="H157" s="125"/>
      <c r="I157" s="125"/>
      <c r="J157" s="125"/>
      <c r="K157" s="125"/>
      <c r="L157" s="125"/>
      <c r="M157" s="125"/>
      <c r="N157" s="129"/>
      <c r="O157" s="125"/>
      <c r="P157" s="173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spans="1:26" ht="15.75" customHeight="1">
      <c r="A158" s="125"/>
      <c r="B158" s="125"/>
      <c r="C158" s="125"/>
      <c r="D158" s="125"/>
      <c r="E158" s="125"/>
      <c r="F158" s="126"/>
      <c r="G158" s="125"/>
      <c r="H158" s="125"/>
      <c r="I158" s="125"/>
      <c r="J158" s="125"/>
      <c r="K158" s="125"/>
      <c r="L158" s="125"/>
      <c r="M158" s="125"/>
      <c r="N158" s="129"/>
      <c r="O158" s="125"/>
      <c r="P158" s="173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spans="1:26" ht="15.75" customHeight="1">
      <c r="A159" s="125"/>
      <c r="B159" s="125"/>
      <c r="C159" s="125"/>
      <c r="D159" s="125"/>
      <c r="E159" s="125"/>
      <c r="F159" s="126"/>
      <c r="G159" s="125"/>
      <c r="H159" s="125"/>
      <c r="I159" s="125"/>
      <c r="J159" s="125"/>
      <c r="K159" s="125"/>
      <c r="L159" s="125"/>
      <c r="M159" s="125"/>
      <c r="N159" s="129"/>
      <c r="O159" s="125"/>
      <c r="P159" s="173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spans="1:26" ht="15.75" customHeight="1">
      <c r="A160" s="125"/>
      <c r="B160" s="125"/>
      <c r="C160" s="125"/>
      <c r="D160" s="125"/>
      <c r="E160" s="125"/>
      <c r="F160" s="126"/>
      <c r="G160" s="125"/>
      <c r="H160" s="125"/>
      <c r="I160" s="125"/>
      <c r="J160" s="125"/>
      <c r="K160" s="125"/>
      <c r="L160" s="125"/>
      <c r="M160" s="125"/>
      <c r="N160" s="129"/>
      <c r="O160" s="125"/>
      <c r="P160" s="173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spans="1:26" ht="15.75" customHeight="1">
      <c r="A161" s="125"/>
      <c r="B161" s="125"/>
      <c r="C161" s="125"/>
      <c r="D161" s="125"/>
      <c r="E161" s="125"/>
      <c r="F161" s="126"/>
      <c r="G161" s="125"/>
      <c r="H161" s="125"/>
      <c r="I161" s="125"/>
      <c r="J161" s="125"/>
      <c r="K161" s="125"/>
      <c r="L161" s="125"/>
      <c r="M161" s="125"/>
      <c r="N161" s="129"/>
      <c r="O161" s="125"/>
      <c r="P161" s="173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spans="1:26" ht="15.75" customHeight="1">
      <c r="A162" s="125"/>
      <c r="B162" s="125"/>
      <c r="C162" s="125"/>
      <c r="D162" s="125"/>
      <c r="E162" s="125"/>
      <c r="F162" s="126"/>
      <c r="G162" s="125"/>
      <c r="H162" s="125"/>
      <c r="I162" s="125"/>
      <c r="J162" s="125"/>
      <c r="K162" s="125"/>
      <c r="L162" s="125"/>
      <c r="M162" s="125"/>
      <c r="N162" s="129"/>
      <c r="O162" s="125"/>
      <c r="P162" s="173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spans="1:26" ht="15.75" customHeight="1">
      <c r="A163" s="125"/>
      <c r="B163" s="125"/>
      <c r="C163" s="125"/>
      <c r="D163" s="125"/>
      <c r="E163" s="125"/>
      <c r="F163" s="126"/>
      <c r="G163" s="125"/>
      <c r="H163" s="125"/>
      <c r="I163" s="125"/>
      <c r="J163" s="125"/>
      <c r="K163" s="125"/>
      <c r="L163" s="125"/>
      <c r="M163" s="125"/>
      <c r="N163" s="129"/>
      <c r="O163" s="125"/>
      <c r="P163" s="173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spans="1:26" ht="15.75" customHeight="1">
      <c r="A164" s="125"/>
      <c r="B164" s="125"/>
      <c r="C164" s="125"/>
      <c r="D164" s="125"/>
      <c r="E164" s="125"/>
      <c r="F164" s="126"/>
      <c r="G164" s="125"/>
      <c r="H164" s="125"/>
      <c r="I164" s="125"/>
      <c r="J164" s="125"/>
      <c r="K164" s="125"/>
      <c r="L164" s="125"/>
      <c r="M164" s="125"/>
      <c r="N164" s="129"/>
      <c r="O164" s="125"/>
      <c r="P164" s="173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spans="1:26" ht="15.75" customHeight="1">
      <c r="A165" s="125"/>
      <c r="B165" s="125"/>
      <c r="C165" s="125"/>
      <c r="D165" s="125"/>
      <c r="E165" s="125"/>
      <c r="F165" s="126"/>
      <c r="G165" s="125"/>
      <c r="H165" s="125"/>
      <c r="I165" s="125"/>
      <c r="J165" s="125"/>
      <c r="K165" s="125"/>
      <c r="L165" s="125"/>
      <c r="M165" s="125"/>
      <c r="N165" s="129"/>
      <c r="O165" s="125"/>
      <c r="P165" s="173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spans="1:26" ht="15.75" customHeight="1">
      <c r="A166" s="125"/>
      <c r="B166" s="125"/>
      <c r="C166" s="125"/>
      <c r="D166" s="125"/>
      <c r="E166" s="125"/>
      <c r="F166" s="126"/>
      <c r="G166" s="125"/>
      <c r="H166" s="125"/>
      <c r="I166" s="125"/>
      <c r="J166" s="125"/>
      <c r="K166" s="125"/>
      <c r="L166" s="125"/>
      <c r="M166" s="125"/>
      <c r="N166" s="129"/>
      <c r="O166" s="125"/>
      <c r="P166" s="173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spans="1:26" ht="15.75" customHeight="1">
      <c r="A167" s="125"/>
      <c r="B167" s="125"/>
      <c r="C167" s="125"/>
      <c r="D167" s="125"/>
      <c r="E167" s="125"/>
      <c r="F167" s="126"/>
      <c r="G167" s="125"/>
      <c r="H167" s="125"/>
      <c r="I167" s="125"/>
      <c r="J167" s="125"/>
      <c r="K167" s="125"/>
      <c r="L167" s="125"/>
      <c r="M167" s="125"/>
      <c r="N167" s="129"/>
      <c r="O167" s="125"/>
      <c r="P167" s="173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spans="1:26" ht="15.75" customHeight="1">
      <c r="A168" s="125"/>
      <c r="B168" s="125"/>
      <c r="C168" s="125"/>
      <c r="D168" s="125"/>
      <c r="E168" s="125"/>
      <c r="F168" s="126"/>
      <c r="G168" s="125"/>
      <c r="H168" s="125"/>
      <c r="I168" s="125"/>
      <c r="J168" s="125"/>
      <c r="K168" s="125"/>
      <c r="L168" s="125"/>
      <c r="M168" s="125"/>
      <c r="N168" s="129"/>
      <c r="O168" s="125"/>
      <c r="P168" s="173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spans="1:26" ht="15.75" customHeight="1">
      <c r="A169" s="125"/>
      <c r="B169" s="125"/>
      <c r="C169" s="125"/>
      <c r="D169" s="125"/>
      <c r="E169" s="125"/>
      <c r="F169" s="126"/>
      <c r="G169" s="125"/>
      <c r="H169" s="125"/>
      <c r="I169" s="125"/>
      <c r="J169" s="125"/>
      <c r="K169" s="125"/>
      <c r="L169" s="125"/>
      <c r="M169" s="125"/>
      <c r="N169" s="129"/>
      <c r="O169" s="125"/>
      <c r="P169" s="173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spans="1:26" ht="15.75" customHeight="1">
      <c r="A170" s="125"/>
      <c r="B170" s="125"/>
      <c r="C170" s="125"/>
      <c r="D170" s="125"/>
      <c r="E170" s="125"/>
      <c r="F170" s="126"/>
      <c r="G170" s="125"/>
      <c r="H170" s="125"/>
      <c r="I170" s="125"/>
      <c r="J170" s="125"/>
      <c r="K170" s="125"/>
      <c r="L170" s="125"/>
      <c r="M170" s="125"/>
      <c r="N170" s="129"/>
      <c r="O170" s="125"/>
      <c r="P170" s="173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spans="1:26" ht="15.75" customHeight="1">
      <c r="A171" s="125"/>
      <c r="B171" s="125"/>
      <c r="C171" s="125"/>
      <c r="D171" s="125"/>
      <c r="E171" s="125"/>
      <c r="F171" s="126"/>
      <c r="G171" s="125"/>
      <c r="H171" s="125"/>
      <c r="I171" s="125"/>
      <c r="J171" s="125"/>
      <c r="K171" s="125"/>
      <c r="L171" s="125"/>
      <c r="M171" s="125"/>
      <c r="N171" s="129"/>
      <c r="O171" s="125"/>
      <c r="P171" s="173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spans="1:26" ht="15.75" customHeight="1">
      <c r="A172" s="125"/>
      <c r="B172" s="125"/>
      <c r="C172" s="125"/>
      <c r="D172" s="125"/>
      <c r="E172" s="125"/>
      <c r="F172" s="126"/>
      <c r="G172" s="125"/>
      <c r="H172" s="125"/>
      <c r="I172" s="125"/>
      <c r="J172" s="125"/>
      <c r="K172" s="125"/>
      <c r="L172" s="125"/>
      <c r="M172" s="125"/>
      <c r="N172" s="129"/>
      <c r="O172" s="125"/>
      <c r="P172" s="173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spans="1:26" ht="15.75" customHeight="1">
      <c r="A173" s="125"/>
      <c r="B173" s="125"/>
      <c r="C173" s="125"/>
      <c r="D173" s="125"/>
      <c r="E173" s="125"/>
      <c r="F173" s="126"/>
      <c r="G173" s="125"/>
      <c r="H173" s="125"/>
      <c r="I173" s="125"/>
      <c r="J173" s="125"/>
      <c r="K173" s="125"/>
      <c r="L173" s="125"/>
      <c r="M173" s="125"/>
      <c r="N173" s="129"/>
      <c r="O173" s="125"/>
      <c r="P173" s="173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spans="1:26" ht="15.75" customHeight="1">
      <c r="A174" s="125"/>
      <c r="B174" s="125"/>
      <c r="C174" s="125"/>
      <c r="D174" s="125"/>
      <c r="E174" s="125"/>
      <c r="F174" s="126"/>
      <c r="G174" s="125"/>
      <c r="H174" s="125"/>
      <c r="I174" s="125"/>
      <c r="J174" s="125"/>
      <c r="K174" s="125"/>
      <c r="L174" s="125"/>
      <c r="M174" s="125"/>
      <c r="N174" s="129"/>
      <c r="O174" s="125"/>
      <c r="P174" s="173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spans="1:26" ht="15.75" customHeight="1">
      <c r="A175" s="125"/>
      <c r="B175" s="125"/>
      <c r="C175" s="125"/>
      <c r="D175" s="125"/>
      <c r="E175" s="125"/>
      <c r="F175" s="126"/>
      <c r="G175" s="125"/>
      <c r="H175" s="125"/>
      <c r="I175" s="125"/>
      <c r="J175" s="125"/>
      <c r="K175" s="125"/>
      <c r="L175" s="125"/>
      <c r="M175" s="125"/>
      <c r="N175" s="129"/>
      <c r="O175" s="125"/>
      <c r="P175" s="173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spans="1:26" ht="15.75" customHeight="1">
      <c r="A176" s="125"/>
      <c r="B176" s="125"/>
      <c r="C176" s="125"/>
      <c r="D176" s="125"/>
      <c r="E176" s="125"/>
      <c r="F176" s="126"/>
      <c r="G176" s="125"/>
      <c r="H176" s="125"/>
      <c r="I176" s="125"/>
      <c r="J176" s="125"/>
      <c r="K176" s="125"/>
      <c r="L176" s="125"/>
      <c r="M176" s="125"/>
      <c r="N176" s="129"/>
      <c r="O176" s="125"/>
      <c r="P176" s="173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spans="1:26" ht="15.75" customHeight="1">
      <c r="A177" s="125"/>
      <c r="B177" s="125"/>
      <c r="C177" s="125"/>
      <c r="D177" s="125"/>
      <c r="E177" s="125"/>
      <c r="F177" s="126"/>
      <c r="G177" s="125"/>
      <c r="H177" s="125"/>
      <c r="I177" s="125"/>
      <c r="J177" s="125"/>
      <c r="K177" s="125"/>
      <c r="L177" s="125"/>
      <c r="M177" s="125"/>
      <c r="N177" s="129"/>
      <c r="O177" s="125"/>
      <c r="P177" s="173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spans="1:26" ht="15.75" customHeight="1">
      <c r="A178" s="125"/>
      <c r="B178" s="125"/>
      <c r="C178" s="125"/>
      <c r="D178" s="125"/>
      <c r="E178" s="125"/>
      <c r="F178" s="126"/>
      <c r="G178" s="125"/>
      <c r="H178" s="125"/>
      <c r="I178" s="125"/>
      <c r="J178" s="125"/>
      <c r="K178" s="125"/>
      <c r="L178" s="125"/>
      <c r="M178" s="125"/>
      <c r="N178" s="129"/>
      <c r="O178" s="125"/>
      <c r="P178" s="173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spans="1:26" ht="15.75" customHeight="1">
      <c r="A179" s="125"/>
      <c r="B179" s="125"/>
      <c r="C179" s="125"/>
      <c r="D179" s="125"/>
      <c r="E179" s="125"/>
      <c r="F179" s="126"/>
      <c r="G179" s="125"/>
      <c r="H179" s="125"/>
      <c r="I179" s="125"/>
      <c r="J179" s="125"/>
      <c r="K179" s="125"/>
      <c r="L179" s="125"/>
      <c r="M179" s="125"/>
      <c r="N179" s="129"/>
      <c r="O179" s="125"/>
      <c r="P179" s="173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spans="1:26" ht="15.75" customHeight="1">
      <c r="A180" s="125"/>
      <c r="B180" s="125"/>
      <c r="C180" s="125"/>
      <c r="D180" s="125"/>
      <c r="E180" s="125"/>
      <c r="F180" s="126"/>
      <c r="G180" s="125"/>
      <c r="H180" s="125"/>
      <c r="I180" s="125"/>
      <c r="J180" s="125"/>
      <c r="K180" s="125"/>
      <c r="L180" s="125"/>
      <c r="M180" s="125"/>
      <c r="N180" s="129"/>
      <c r="O180" s="125"/>
      <c r="P180" s="173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spans="1:26" ht="15.75" customHeight="1">
      <c r="A181" s="125"/>
      <c r="B181" s="125"/>
      <c r="C181" s="125"/>
      <c r="D181" s="125"/>
      <c r="E181" s="125"/>
      <c r="F181" s="126"/>
      <c r="G181" s="125"/>
      <c r="H181" s="125"/>
      <c r="I181" s="125"/>
      <c r="J181" s="125"/>
      <c r="K181" s="125"/>
      <c r="L181" s="125"/>
      <c r="M181" s="125"/>
      <c r="N181" s="129"/>
      <c r="O181" s="125"/>
      <c r="P181" s="173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spans="1:26" ht="15.75" customHeight="1">
      <c r="A182" s="125"/>
      <c r="B182" s="125"/>
      <c r="C182" s="125"/>
      <c r="D182" s="125"/>
      <c r="E182" s="125"/>
      <c r="F182" s="126"/>
      <c r="G182" s="125"/>
      <c r="H182" s="125"/>
      <c r="I182" s="125"/>
      <c r="J182" s="125"/>
      <c r="K182" s="125"/>
      <c r="L182" s="125"/>
      <c r="M182" s="125"/>
      <c r="N182" s="129"/>
      <c r="O182" s="125"/>
      <c r="P182" s="173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spans="1:26" ht="15.75" customHeight="1">
      <c r="A183" s="125"/>
      <c r="B183" s="125"/>
      <c r="C183" s="125"/>
      <c r="D183" s="125"/>
      <c r="E183" s="125"/>
      <c r="F183" s="126"/>
      <c r="G183" s="125"/>
      <c r="H183" s="125"/>
      <c r="I183" s="125"/>
      <c r="J183" s="125"/>
      <c r="K183" s="125"/>
      <c r="L183" s="125"/>
      <c r="M183" s="125"/>
      <c r="N183" s="129"/>
      <c r="O183" s="125"/>
      <c r="P183" s="173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spans="1:26" ht="15.75" customHeight="1">
      <c r="A184" s="125"/>
      <c r="B184" s="125"/>
      <c r="C184" s="125"/>
      <c r="D184" s="125"/>
      <c r="E184" s="125"/>
      <c r="F184" s="126"/>
      <c r="G184" s="125"/>
      <c r="H184" s="125"/>
      <c r="I184" s="125"/>
      <c r="J184" s="125"/>
      <c r="K184" s="125"/>
      <c r="L184" s="125"/>
      <c r="M184" s="125"/>
      <c r="N184" s="129"/>
      <c r="O184" s="125"/>
      <c r="P184" s="173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spans="1:26" ht="15.75" customHeight="1">
      <c r="A185" s="125"/>
      <c r="B185" s="125"/>
      <c r="C185" s="125"/>
      <c r="D185" s="125"/>
      <c r="E185" s="125"/>
      <c r="F185" s="126"/>
      <c r="G185" s="125"/>
      <c r="H185" s="125"/>
      <c r="I185" s="125"/>
      <c r="J185" s="125"/>
      <c r="K185" s="125"/>
      <c r="L185" s="125"/>
      <c r="M185" s="125"/>
      <c r="N185" s="129"/>
      <c r="O185" s="125"/>
      <c r="P185" s="173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spans="1:26" ht="15.75" customHeight="1">
      <c r="A186" s="125"/>
      <c r="B186" s="125"/>
      <c r="C186" s="125"/>
      <c r="D186" s="125"/>
      <c r="E186" s="125"/>
      <c r="F186" s="126"/>
      <c r="G186" s="125"/>
      <c r="H186" s="125"/>
      <c r="I186" s="125"/>
      <c r="J186" s="125"/>
      <c r="K186" s="125"/>
      <c r="L186" s="125"/>
      <c r="M186" s="125"/>
      <c r="N186" s="129"/>
      <c r="O186" s="125"/>
      <c r="P186" s="173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spans="1:26" ht="15.75" customHeight="1">
      <c r="A187" s="125"/>
      <c r="B187" s="125"/>
      <c r="C187" s="125"/>
      <c r="D187" s="125"/>
      <c r="E187" s="125"/>
      <c r="F187" s="126"/>
      <c r="G187" s="125"/>
      <c r="H187" s="125"/>
      <c r="I187" s="125"/>
      <c r="J187" s="125"/>
      <c r="K187" s="125"/>
      <c r="L187" s="125"/>
      <c r="M187" s="125"/>
      <c r="N187" s="129"/>
      <c r="O187" s="125"/>
      <c r="P187" s="173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spans="1:26" ht="15.75" customHeight="1">
      <c r="A188" s="125"/>
      <c r="B188" s="125"/>
      <c r="C188" s="125"/>
      <c r="D188" s="125"/>
      <c r="E188" s="125"/>
      <c r="F188" s="126"/>
      <c r="G188" s="125"/>
      <c r="H188" s="125"/>
      <c r="I188" s="125"/>
      <c r="J188" s="125"/>
      <c r="K188" s="125"/>
      <c r="L188" s="125"/>
      <c r="M188" s="125"/>
      <c r="N188" s="129"/>
      <c r="O188" s="125"/>
      <c r="P188" s="173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spans="1:26" ht="15.75" customHeight="1">
      <c r="A189" s="125"/>
      <c r="B189" s="125"/>
      <c r="C189" s="125"/>
      <c r="D189" s="125"/>
      <c r="E189" s="125"/>
      <c r="F189" s="126"/>
      <c r="G189" s="125"/>
      <c r="H189" s="125"/>
      <c r="I189" s="125"/>
      <c r="J189" s="125"/>
      <c r="K189" s="125"/>
      <c r="L189" s="125"/>
      <c r="M189" s="125"/>
      <c r="N189" s="129"/>
      <c r="O189" s="125"/>
      <c r="P189" s="173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spans="1:26" ht="15.75" customHeight="1">
      <c r="A190" s="125"/>
      <c r="B190" s="125"/>
      <c r="C190" s="125"/>
      <c r="D190" s="125"/>
      <c r="E190" s="125"/>
      <c r="F190" s="126"/>
      <c r="G190" s="125"/>
      <c r="H190" s="125"/>
      <c r="I190" s="125"/>
      <c r="J190" s="125"/>
      <c r="K190" s="125"/>
      <c r="L190" s="125"/>
      <c r="M190" s="125"/>
      <c r="N190" s="129"/>
      <c r="O190" s="125"/>
      <c r="P190" s="173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spans="1:26" ht="15.75" customHeight="1">
      <c r="A191" s="125"/>
      <c r="B191" s="125"/>
      <c r="C191" s="125"/>
      <c r="D191" s="125"/>
      <c r="E191" s="125"/>
      <c r="F191" s="126"/>
      <c r="G191" s="125"/>
      <c r="H191" s="125"/>
      <c r="I191" s="125"/>
      <c r="J191" s="125"/>
      <c r="K191" s="125"/>
      <c r="L191" s="125"/>
      <c r="M191" s="125"/>
      <c r="N191" s="129"/>
      <c r="O191" s="125"/>
      <c r="P191" s="173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spans="1:26" ht="15.75" customHeight="1">
      <c r="A192" s="125"/>
      <c r="B192" s="125"/>
      <c r="C192" s="125"/>
      <c r="D192" s="125"/>
      <c r="E192" s="125"/>
      <c r="F192" s="126"/>
      <c r="G192" s="125"/>
      <c r="H192" s="125"/>
      <c r="I192" s="125"/>
      <c r="J192" s="125"/>
      <c r="K192" s="125"/>
      <c r="L192" s="125"/>
      <c r="M192" s="125"/>
      <c r="N192" s="129"/>
      <c r="O192" s="125"/>
      <c r="P192" s="173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spans="1:26" ht="15.75" customHeight="1">
      <c r="A193" s="125"/>
      <c r="B193" s="125"/>
      <c r="C193" s="125"/>
      <c r="D193" s="125"/>
      <c r="E193" s="125"/>
      <c r="F193" s="126"/>
      <c r="G193" s="125"/>
      <c r="H193" s="125"/>
      <c r="I193" s="125"/>
      <c r="J193" s="125"/>
      <c r="K193" s="125"/>
      <c r="L193" s="125"/>
      <c r="M193" s="125"/>
      <c r="N193" s="129"/>
      <c r="O193" s="125"/>
      <c r="P193" s="173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spans="1:26" ht="15.75" customHeight="1">
      <c r="A194" s="125"/>
      <c r="B194" s="125"/>
      <c r="C194" s="125"/>
      <c r="D194" s="125"/>
      <c r="E194" s="125"/>
      <c r="F194" s="126"/>
      <c r="G194" s="125"/>
      <c r="H194" s="125"/>
      <c r="I194" s="125"/>
      <c r="J194" s="125"/>
      <c r="K194" s="125"/>
      <c r="L194" s="125"/>
      <c r="M194" s="125"/>
      <c r="N194" s="129"/>
      <c r="O194" s="125"/>
      <c r="P194" s="173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spans="1:26" ht="15.75" customHeight="1">
      <c r="A195" s="125"/>
      <c r="B195" s="125"/>
      <c r="C195" s="125"/>
      <c r="D195" s="125"/>
      <c r="E195" s="125"/>
      <c r="F195" s="126"/>
      <c r="G195" s="125"/>
      <c r="H195" s="125"/>
      <c r="I195" s="125"/>
      <c r="J195" s="125"/>
      <c r="K195" s="125"/>
      <c r="L195" s="125"/>
      <c r="M195" s="125"/>
      <c r="N195" s="129"/>
      <c r="O195" s="125"/>
      <c r="P195" s="173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spans="1:26" ht="15.75" customHeight="1">
      <c r="A196" s="125"/>
      <c r="B196" s="125"/>
      <c r="C196" s="125"/>
      <c r="D196" s="125"/>
      <c r="E196" s="125"/>
      <c r="F196" s="126"/>
      <c r="G196" s="125"/>
      <c r="H196" s="125"/>
      <c r="I196" s="125"/>
      <c r="J196" s="125"/>
      <c r="K196" s="125"/>
      <c r="L196" s="125"/>
      <c r="M196" s="125"/>
      <c r="N196" s="129"/>
      <c r="O196" s="125"/>
      <c r="P196" s="173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spans="1:26" ht="15.75" customHeight="1">
      <c r="A197" s="125"/>
      <c r="B197" s="125"/>
      <c r="C197" s="125"/>
      <c r="D197" s="125"/>
      <c r="E197" s="125"/>
      <c r="F197" s="126"/>
      <c r="G197" s="125"/>
      <c r="H197" s="125"/>
      <c r="I197" s="125"/>
      <c r="J197" s="125"/>
      <c r="K197" s="125"/>
      <c r="L197" s="125"/>
      <c r="M197" s="125"/>
      <c r="N197" s="129"/>
      <c r="O197" s="125"/>
      <c r="P197" s="173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spans="1:26" ht="15.75" customHeight="1">
      <c r="A198" s="125"/>
      <c r="B198" s="125"/>
      <c r="C198" s="125"/>
      <c r="D198" s="125"/>
      <c r="E198" s="125"/>
      <c r="F198" s="126"/>
      <c r="G198" s="125"/>
      <c r="H198" s="125"/>
      <c r="I198" s="125"/>
      <c r="J198" s="125"/>
      <c r="K198" s="125"/>
      <c r="L198" s="125"/>
      <c r="M198" s="125"/>
      <c r="N198" s="129"/>
      <c r="O198" s="125"/>
      <c r="P198" s="173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spans="1:26" ht="15.75" customHeight="1">
      <c r="A199" s="125"/>
      <c r="B199" s="125"/>
      <c r="C199" s="125"/>
      <c r="D199" s="125"/>
      <c r="E199" s="125"/>
      <c r="F199" s="126"/>
      <c r="G199" s="125"/>
      <c r="H199" s="125"/>
      <c r="I199" s="125"/>
      <c r="J199" s="125"/>
      <c r="K199" s="125"/>
      <c r="L199" s="125"/>
      <c r="M199" s="125"/>
      <c r="N199" s="129"/>
      <c r="O199" s="125"/>
      <c r="P199" s="173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spans="1:26" ht="15.75" customHeight="1">
      <c r="A200" s="125"/>
      <c r="B200" s="125"/>
      <c r="C200" s="125"/>
      <c r="D200" s="125"/>
      <c r="E200" s="125"/>
      <c r="F200" s="126"/>
      <c r="G200" s="125"/>
      <c r="H200" s="125"/>
      <c r="I200" s="125"/>
      <c r="J200" s="125"/>
      <c r="K200" s="125"/>
      <c r="L200" s="125"/>
      <c r="M200" s="125"/>
      <c r="N200" s="129"/>
      <c r="O200" s="125"/>
      <c r="P200" s="173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spans="1:26" ht="15.75" customHeight="1">
      <c r="A201" s="125"/>
      <c r="B201" s="125"/>
      <c r="C201" s="125"/>
      <c r="D201" s="125"/>
      <c r="E201" s="125"/>
      <c r="F201" s="126"/>
      <c r="G201" s="125"/>
      <c r="H201" s="125"/>
      <c r="I201" s="125"/>
      <c r="J201" s="125"/>
      <c r="K201" s="125"/>
      <c r="L201" s="125"/>
      <c r="M201" s="125"/>
      <c r="N201" s="129"/>
      <c r="O201" s="125"/>
      <c r="P201" s="173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spans="1:26" ht="15.75" customHeight="1">
      <c r="A202" s="125"/>
      <c r="B202" s="125"/>
      <c r="C202" s="125"/>
      <c r="D202" s="125"/>
      <c r="E202" s="125"/>
      <c r="F202" s="126"/>
      <c r="G202" s="125"/>
      <c r="H202" s="125"/>
      <c r="I202" s="125"/>
      <c r="J202" s="125"/>
      <c r="K202" s="125"/>
      <c r="L202" s="125"/>
      <c r="M202" s="125"/>
      <c r="N202" s="129"/>
      <c r="O202" s="125"/>
      <c r="P202" s="173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spans="1:26" ht="15.75" customHeight="1">
      <c r="A203" s="125"/>
      <c r="B203" s="125"/>
      <c r="C203" s="125"/>
      <c r="D203" s="125"/>
      <c r="E203" s="125"/>
      <c r="F203" s="126"/>
      <c r="G203" s="125"/>
      <c r="H203" s="125"/>
      <c r="I203" s="125"/>
      <c r="J203" s="125"/>
      <c r="K203" s="125"/>
      <c r="L203" s="125"/>
      <c r="M203" s="125"/>
      <c r="N203" s="129"/>
      <c r="O203" s="125"/>
      <c r="P203" s="173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spans="1:26" ht="15.75" customHeight="1">
      <c r="A204" s="125"/>
      <c r="B204" s="125"/>
      <c r="C204" s="125"/>
      <c r="D204" s="125"/>
      <c r="E204" s="125"/>
      <c r="F204" s="126"/>
      <c r="G204" s="125"/>
      <c r="H204" s="125"/>
      <c r="I204" s="125"/>
      <c r="J204" s="125"/>
      <c r="K204" s="125"/>
      <c r="L204" s="125"/>
      <c r="M204" s="125"/>
      <c r="N204" s="129"/>
      <c r="O204" s="125"/>
      <c r="P204" s="173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spans="1:26" ht="15.75" customHeight="1">
      <c r="A205" s="125"/>
      <c r="B205" s="125"/>
      <c r="C205" s="125"/>
      <c r="D205" s="125"/>
      <c r="E205" s="125"/>
      <c r="F205" s="126"/>
      <c r="G205" s="125"/>
      <c r="H205" s="125"/>
      <c r="I205" s="125"/>
      <c r="J205" s="125"/>
      <c r="K205" s="125"/>
      <c r="L205" s="125"/>
      <c r="M205" s="125"/>
      <c r="N205" s="129"/>
      <c r="O205" s="125"/>
      <c r="P205" s="173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spans="1:26" ht="15.75" customHeight="1">
      <c r="A206" s="125"/>
      <c r="B206" s="125"/>
      <c r="C206" s="125"/>
      <c r="D206" s="125"/>
      <c r="E206" s="125"/>
      <c r="F206" s="126"/>
      <c r="G206" s="125"/>
      <c r="H206" s="125"/>
      <c r="I206" s="125"/>
      <c r="J206" s="125"/>
      <c r="K206" s="125"/>
      <c r="L206" s="125"/>
      <c r="M206" s="125"/>
      <c r="N206" s="129"/>
      <c r="O206" s="125"/>
      <c r="P206" s="173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spans="1:26" ht="15.75" customHeight="1">
      <c r="A207" s="125"/>
      <c r="B207" s="125"/>
      <c r="C207" s="125"/>
      <c r="D207" s="125"/>
      <c r="E207" s="125"/>
      <c r="F207" s="126"/>
      <c r="G207" s="125"/>
      <c r="H207" s="125"/>
      <c r="I207" s="125"/>
      <c r="J207" s="125"/>
      <c r="K207" s="125"/>
      <c r="L207" s="125"/>
      <c r="M207" s="125"/>
      <c r="N207" s="129"/>
      <c r="O207" s="125"/>
      <c r="P207" s="173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spans="1:26" ht="15.75" customHeight="1">
      <c r="A208" s="125"/>
      <c r="B208" s="125"/>
      <c r="C208" s="125"/>
      <c r="D208" s="125"/>
      <c r="E208" s="125"/>
      <c r="F208" s="126"/>
      <c r="G208" s="125"/>
      <c r="H208" s="125"/>
      <c r="I208" s="125"/>
      <c r="J208" s="125"/>
      <c r="K208" s="125"/>
      <c r="L208" s="125"/>
      <c r="M208" s="125"/>
      <c r="N208" s="129"/>
      <c r="O208" s="125"/>
      <c r="P208" s="173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spans="1:26" ht="15.75" customHeight="1">
      <c r="A209" s="125"/>
      <c r="B209" s="125"/>
      <c r="C209" s="125"/>
      <c r="D209" s="125"/>
      <c r="E209" s="125"/>
      <c r="F209" s="126"/>
      <c r="G209" s="125"/>
      <c r="H209" s="125"/>
      <c r="I209" s="125"/>
      <c r="J209" s="125"/>
      <c r="K209" s="125"/>
      <c r="L209" s="125"/>
      <c r="M209" s="125"/>
      <c r="N209" s="129"/>
      <c r="O209" s="125"/>
      <c r="P209" s="173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spans="1:26" ht="15.75" customHeight="1">
      <c r="A210" s="125"/>
      <c r="B210" s="125"/>
      <c r="C210" s="125"/>
      <c r="D210" s="125"/>
      <c r="E210" s="125"/>
      <c r="F210" s="126"/>
      <c r="G210" s="125"/>
      <c r="H210" s="125"/>
      <c r="I210" s="125"/>
      <c r="J210" s="125"/>
      <c r="K210" s="125"/>
      <c r="L210" s="125"/>
      <c r="M210" s="125"/>
      <c r="N210" s="129"/>
      <c r="O210" s="125"/>
      <c r="P210" s="173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spans="1:26" ht="15.75" customHeight="1">
      <c r="A211" s="125"/>
      <c r="B211" s="125"/>
      <c r="C211" s="125"/>
      <c r="D211" s="125"/>
      <c r="E211" s="125"/>
      <c r="F211" s="126"/>
      <c r="G211" s="125"/>
      <c r="H211" s="125"/>
      <c r="I211" s="125"/>
      <c r="J211" s="125"/>
      <c r="K211" s="125"/>
      <c r="L211" s="125"/>
      <c r="M211" s="125"/>
      <c r="N211" s="129"/>
      <c r="O211" s="125"/>
      <c r="P211" s="173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spans="1:26" ht="15.75" customHeight="1">
      <c r="A212" s="125"/>
      <c r="B212" s="125"/>
      <c r="C212" s="125"/>
      <c r="D212" s="125"/>
      <c r="E212" s="125"/>
      <c r="F212" s="126"/>
      <c r="G212" s="125"/>
      <c r="H212" s="125"/>
      <c r="I212" s="125"/>
      <c r="J212" s="125"/>
      <c r="K212" s="125"/>
      <c r="L212" s="125"/>
      <c r="M212" s="125"/>
      <c r="N212" s="129"/>
      <c r="O212" s="125"/>
      <c r="P212" s="173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spans="1:26" ht="15.75" customHeight="1">
      <c r="A213" s="125"/>
      <c r="B213" s="125"/>
      <c r="C213" s="125"/>
      <c r="D213" s="125"/>
      <c r="E213" s="125"/>
      <c r="F213" s="126"/>
      <c r="G213" s="125"/>
      <c r="H213" s="125"/>
      <c r="I213" s="125"/>
      <c r="J213" s="125"/>
      <c r="K213" s="125"/>
      <c r="L213" s="125"/>
      <c r="M213" s="125"/>
      <c r="N213" s="129"/>
      <c r="O213" s="125"/>
      <c r="P213" s="173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spans="1:26" ht="15.75" customHeight="1">
      <c r="A214" s="125"/>
      <c r="B214" s="125"/>
      <c r="C214" s="125"/>
      <c r="D214" s="125"/>
      <c r="E214" s="125"/>
      <c r="F214" s="126"/>
      <c r="G214" s="125"/>
      <c r="H214" s="125"/>
      <c r="I214" s="125"/>
      <c r="J214" s="125"/>
      <c r="K214" s="125"/>
      <c r="L214" s="125"/>
      <c r="M214" s="125"/>
      <c r="N214" s="129"/>
      <c r="O214" s="125"/>
      <c r="P214" s="173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spans="1:26" ht="15.75" customHeight="1">
      <c r="A215" s="125"/>
      <c r="B215" s="125"/>
      <c r="C215" s="125"/>
      <c r="D215" s="125"/>
      <c r="E215" s="125"/>
      <c r="F215" s="126"/>
      <c r="G215" s="125"/>
      <c r="H215" s="125"/>
      <c r="I215" s="125"/>
      <c r="J215" s="125"/>
      <c r="K215" s="125"/>
      <c r="L215" s="125"/>
      <c r="M215" s="125"/>
      <c r="N215" s="129"/>
      <c r="O215" s="125"/>
      <c r="P215" s="173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spans="1:26" ht="15.75" customHeight="1">
      <c r="A216" s="125"/>
      <c r="B216" s="125"/>
      <c r="C216" s="125"/>
      <c r="D216" s="125"/>
      <c r="E216" s="125"/>
      <c r="F216" s="126"/>
      <c r="G216" s="125"/>
      <c r="H216" s="125"/>
      <c r="I216" s="125"/>
      <c r="J216" s="125"/>
      <c r="K216" s="125"/>
      <c r="L216" s="125"/>
      <c r="M216" s="125"/>
      <c r="N216" s="129"/>
      <c r="O216" s="125"/>
      <c r="P216" s="173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spans="1:26" ht="15.75" customHeight="1">
      <c r="A217" s="125"/>
      <c r="B217" s="125"/>
      <c r="C217" s="125"/>
      <c r="D217" s="125"/>
      <c r="E217" s="125"/>
      <c r="F217" s="126"/>
      <c r="G217" s="125"/>
      <c r="H217" s="125"/>
      <c r="I217" s="125"/>
      <c r="J217" s="125"/>
      <c r="K217" s="125"/>
      <c r="L217" s="125"/>
      <c r="M217" s="125"/>
      <c r="N217" s="129"/>
      <c r="O217" s="125"/>
      <c r="P217" s="173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spans="1:26" ht="15.75" customHeight="1">
      <c r="A218" s="125"/>
      <c r="B218" s="125"/>
      <c r="C218" s="125"/>
      <c r="D218" s="125"/>
      <c r="E218" s="125"/>
      <c r="F218" s="126"/>
      <c r="G218" s="125"/>
      <c r="H218" s="125"/>
      <c r="I218" s="125"/>
      <c r="J218" s="125"/>
      <c r="K218" s="125"/>
      <c r="L218" s="125"/>
      <c r="M218" s="125"/>
      <c r="N218" s="129"/>
      <c r="O218" s="125"/>
      <c r="P218" s="173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spans="1:26" ht="15.75" customHeight="1">
      <c r="A219" s="125"/>
      <c r="B219" s="125"/>
      <c r="C219" s="125"/>
      <c r="D219" s="125"/>
      <c r="E219" s="125"/>
      <c r="F219" s="126"/>
      <c r="G219" s="125"/>
      <c r="H219" s="125"/>
      <c r="I219" s="125"/>
      <c r="J219" s="125"/>
      <c r="K219" s="125"/>
      <c r="L219" s="125"/>
      <c r="M219" s="125"/>
      <c r="N219" s="129"/>
      <c r="O219" s="125"/>
      <c r="P219" s="173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spans="1:26" ht="15.75" customHeight="1">
      <c r="A220" s="125"/>
      <c r="B220" s="125"/>
      <c r="C220" s="125"/>
      <c r="D220" s="125"/>
      <c r="E220" s="125"/>
      <c r="F220" s="126"/>
      <c r="G220" s="125"/>
      <c r="H220" s="125"/>
      <c r="I220" s="125"/>
      <c r="J220" s="125"/>
      <c r="K220" s="125"/>
      <c r="L220" s="125"/>
      <c r="M220" s="125"/>
      <c r="N220" s="129"/>
      <c r="O220" s="125"/>
      <c r="P220" s="173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spans="1:26" ht="15.75" customHeight="1">
      <c r="A221" s="125"/>
      <c r="B221" s="125"/>
      <c r="C221" s="125"/>
      <c r="D221" s="125"/>
      <c r="E221" s="125"/>
      <c r="F221" s="126"/>
      <c r="G221" s="125"/>
      <c r="H221" s="125"/>
      <c r="I221" s="125"/>
      <c r="J221" s="125"/>
      <c r="K221" s="125"/>
      <c r="L221" s="125"/>
      <c r="M221" s="125"/>
      <c r="N221" s="129"/>
      <c r="O221" s="125"/>
      <c r="P221" s="173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spans="1:26" ht="15.75" customHeight="1">
      <c r="A222" s="125"/>
      <c r="B222" s="125"/>
      <c r="C222" s="125"/>
      <c r="D222" s="125"/>
      <c r="E222" s="125"/>
      <c r="F222" s="126"/>
      <c r="G222" s="125"/>
      <c r="H222" s="125"/>
      <c r="I222" s="125"/>
      <c r="J222" s="125"/>
      <c r="K222" s="125"/>
      <c r="L222" s="125"/>
      <c r="M222" s="125"/>
      <c r="N222" s="129"/>
      <c r="O222" s="125"/>
      <c r="P222" s="173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spans="1:26" ht="15.75" customHeight="1">
      <c r="A223" s="125"/>
      <c r="B223" s="125"/>
      <c r="C223" s="125"/>
      <c r="D223" s="125"/>
      <c r="E223" s="125"/>
      <c r="F223" s="126"/>
      <c r="G223" s="125"/>
      <c r="H223" s="125"/>
      <c r="I223" s="125"/>
      <c r="J223" s="125"/>
      <c r="K223" s="125"/>
      <c r="L223" s="125"/>
      <c r="M223" s="125"/>
      <c r="N223" s="129"/>
      <c r="O223" s="125"/>
      <c r="P223" s="173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spans="1:26" ht="15.75" customHeight="1">
      <c r="A224" s="125"/>
      <c r="B224" s="125"/>
      <c r="C224" s="125"/>
      <c r="D224" s="125"/>
      <c r="E224" s="125"/>
      <c r="F224" s="126"/>
      <c r="G224" s="125"/>
      <c r="H224" s="125"/>
      <c r="I224" s="125"/>
      <c r="J224" s="125"/>
      <c r="K224" s="125"/>
      <c r="L224" s="125"/>
      <c r="M224" s="125"/>
      <c r="N224" s="129"/>
      <c r="O224" s="125"/>
      <c r="P224" s="173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spans="1:26" ht="15.75" customHeight="1">
      <c r="A225" s="125"/>
      <c r="B225" s="125"/>
      <c r="C225" s="125"/>
      <c r="D225" s="125"/>
      <c r="E225" s="125"/>
      <c r="F225" s="126"/>
      <c r="G225" s="125"/>
      <c r="H225" s="125"/>
      <c r="I225" s="125"/>
      <c r="J225" s="125"/>
      <c r="K225" s="125"/>
      <c r="L225" s="125"/>
      <c r="M225" s="125"/>
      <c r="N225" s="129"/>
      <c r="O225" s="125"/>
      <c r="P225" s="173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spans="1:26" ht="15.75" customHeight="1">
      <c r="A226" s="125"/>
      <c r="B226" s="125"/>
      <c r="C226" s="125"/>
      <c r="D226" s="125"/>
      <c r="E226" s="125"/>
      <c r="F226" s="126"/>
      <c r="G226" s="125"/>
      <c r="H226" s="125"/>
      <c r="I226" s="125"/>
      <c r="J226" s="125"/>
      <c r="K226" s="125"/>
      <c r="L226" s="125"/>
      <c r="M226" s="125"/>
      <c r="N226" s="129"/>
      <c r="O226" s="125"/>
      <c r="P226" s="173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spans="1:26" ht="15.75" customHeight="1">
      <c r="A227" s="125"/>
      <c r="B227" s="125"/>
      <c r="C227" s="125"/>
      <c r="D227" s="125"/>
      <c r="E227" s="125"/>
      <c r="F227" s="126"/>
      <c r="G227" s="125"/>
      <c r="H227" s="125"/>
      <c r="I227" s="125"/>
      <c r="J227" s="125"/>
      <c r="K227" s="125"/>
      <c r="L227" s="125"/>
      <c r="M227" s="125"/>
      <c r="N227" s="129"/>
      <c r="O227" s="125"/>
      <c r="P227" s="173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spans="1:26" ht="15.75" customHeight="1">
      <c r="A228" s="125"/>
      <c r="B228" s="125"/>
      <c r="C228" s="125"/>
      <c r="D228" s="125"/>
      <c r="E228" s="125"/>
      <c r="F228" s="126"/>
      <c r="G228" s="125"/>
      <c r="H228" s="125"/>
      <c r="I228" s="125"/>
      <c r="J228" s="125"/>
      <c r="K228" s="125"/>
      <c r="L228" s="125"/>
      <c r="M228" s="125"/>
      <c r="N228" s="129"/>
      <c r="O228" s="125"/>
      <c r="P228" s="173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spans="1:26" ht="15.75" customHeight="1">
      <c r="A229" s="125"/>
      <c r="B229" s="125"/>
      <c r="C229" s="125"/>
      <c r="D229" s="125"/>
      <c r="E229" s="125"/>
      <c r="F229" s="126"/>
      <c r="G229" s="125"/>
      <c r="H229" s="125"/>
      <c r="I229" s="125"/>
      <c r="J229" s="125"/>
      <c r="K229" s="125"/>
      <c r="L229" s="125"/>
      <c r="M229" s="125"/>
      <c r="N229" s="129"/>
      <c r="O229" s="125"/>
      <c r="P229" s="173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spans="1:26" ht="15.75" customHeight="1">
      <c r="A230" s="125"/>
      <c r="B230" s="125"/>
      <c r="C230" s="125"/>
      <c r="D230" s="125"/>
      <c r="E230" s="125"/>
      <c r="F230" s="126"/>
      <c r="G230" s="125"/>
      <c r="H230" s="125"/>
      <c r="I230" s="125"/>
      <c r="J230" s="125"/>
      <c r="K230" s="125"/>
      <c r="L230" s="125"/>
      <c r="M230" s="125"/>
      <c r="N230" s="129"/>
      <c r="O230" s="125"/>
      <c r="P230" s="173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spans="1:26" ht="15.75" customHeight="1">
      <c r="A231" s="125"/>
      <c r="B231" s="125"/>
      <c r="C231" s="125"/>
      <c r="D231" s="125"/>
      <c r="E231" s="125"/>
      <c r="F231" s="126"/>
      <c r="G231" s="125"/>
      <c r="H231" s="125"/>
      <c r="I231" s="125"/>
      <c r="J231" s="125"/>
      <c r="K231" s="125"/>
      <c r="L231" s="125"/>
      <c r="M231" s="125"/>
      <c r="N231" s="129"/>
      <c r="O231" s="125"/>
      <c r="P231" s="173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spans="1:26" ht="15.75" customHeight="1">
      <c r="A232" s="125"/>
      <c r="B232" s="125"/>
      <c r="C232" s="125"/>
      <c r="D232" s="125"/>
      <c r="E232" s="125"/>
      <c r="F232" s="126"/>
      <c r="G232" s="125"/>
      <c r="H232" s="125"/>
      <c r="I232" s="125"/>
      <c r="J232" s="125"/>
      <c r="K232" s="125"/>
      <c r="L232" s="125"/>
      <c r="M232" s="125"/>
      <c r="N232" s="129"/>
      <c r="O232" s="125"/>
      <c r="P232" s="173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spans="1:26" ht="15.75" customHeight="1">
      <c r="A233" s="125"/>
      <c r="B233" s="125"/>
      <c r="C233" s="125"/>
      <c r="D233" s="125"/>
      <c r="E233" s="125"/>
      <c r="F233" s="126"/>
      <c r="G233" s="125"/>
      <c r="H233" s="125"/>
      <c r="I233" s="125"/>
      <c r="J233" s="125"/>
      <c r="K233" s="125"/>
      <c r="L233" s="125"/>
      <c r="M233" s="125"/>
      <c r="N233" s="129"/>
      <c r="O233" s="125"/>
      <c r="P233" s="173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spans="1:26" ht="15.75" customHeight="1">
      <c r="A234" s="125"/>
      <c r="B234" s="125"/>
      <c r="C234" s="125"/>
      <c r="D234" s="125"/>
      <c r="E234" s="125"/>
      <c r="F234" s="126"/>
      <c r="G234" s="125"/>
      <c r="H234" s="125"/>
      <c r="I234" s="125"/>
      <c r="J234" s="125"/>
      <c r="K234" s="125"/>
      <c r="L234" s="125"/>
      <c r="M234" s="125"/>
      <c r="N234" s="129"/>
      <c r="O234" s="125"/>
      <c r="P234" s="173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spans="1:26" ht="15.75" customHeight="1">
      <c r="A235" s="125"/>
      <c r="B235" s="125"/>
      <c r="C235" s="125"/>
      <c r="D235" s="125"/>
      <c r="E235" s="125"/>
      <c r="F235" s="126"/>
      <c r="G235" s="125"/>
      <c r="H235" s="125"/>
      <c r="I235" s="125"/>
      <c r="J235" s="125"/>
      <c r="K235" s="125"/>
      <c r="L235" s="125"/>
      <c r="M235" s="125"/>
      <c r="N235" s="129"/>
      <c r="O235" s="125"/>
      <c r="P235" s="173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spans="1:26" ht="15.75" customHeight="1">
      <c r="A236" s="125"/>
      <c r="B236" s="125"/>
      <c r="C236" s="125"/>
      <c r="D236" s="125"/>
      <c r="E236" s="125"/>
      <c r="F236" s="126"/>
      <c r="G236" s="125"/>
      <c r="H236" s="125"/>
      <c r="I236" s="125"/>
      <c r="J236" s="125"/>
      <c r="K236" s="125"/>
      <c r="L236" s="125"/>
      <c r="M236" s="125"/>
      <c r="N236" s="129"/>
      <c r="O236" s="125"/>
      <c r="P236" s="173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spans="1:26" ht="15.75" customHeight="1">
      <c r="A237" s="125"/>
      <c r="B237" s="125"/>
      <c r="C237" s="125"/>
      <c r="D237" s="125"/>
      <c r="E237" s="125"/>
      <c r="F237" s="126"/>
      <c r="G237" s="125"/>
      <c r="H237" s="125"/>
      <c r="I237" s="125"/>
      <c r="J237" s="125"/>
      <c r="K237" s="125"/>
      <c r="L237" s="125"/>
      <c r="M237" s="125"/>
      <c r="N237" s="129"/>
      <c r="O237" s="125"/>
      <c r="P237" s="173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spans="1:26" ht="15.75" customHeight="1">
      <c r="A238" s="125"/>
      <c r="B238" s="125"/>
      <c r="C238" s="125"/>
      <c r="D238" s="125"/>
      <c r="E238" s="125"/>
      <c r="F238" s="126"/>
      <c r="G238" s="125"/>
      <c r="H238" s="125"/>
      <c r="I238" s="125"/>
      <c r="J238" s="125"/>
      <c r="K238" s="125"/>
      <c r="L238" s="125"/>
      <c r="M238" s="125"/>
      <c r="N238" s="129"/>
      <c r="O238" s="125"/>
      <c r="P238" s="173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spans="1:26" ht="15.75" customHeight="1">
      <c r="A239" s="125"/>
      <c r="B239" s="125"/>
      <c r="C239" s="125"/>
      <c r="D239" s="125"/>
      <c r="E239" s="125"/>
      <c r="F239" s="126"/>
      <c r="G239" s="125"/>
      <c r="H239" s="125"/>
      <c r="I239" s="125"/>
      <c r="J239" s="125"/>
      <c r="K239" s="125"/>
      <c r="L239" s="125"/>
      <c r="M239" s="125"/>
      <c r="N239" s="129"/>
      <c r="O239" s="125"/>
      <c r="P239" s="173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spans="1:26" ht="15.75" customHeight="1">
      <c r="A240" s="125"/>
      <c r="B240" s="125"/>
      <c r="C240" s="125"/>
      <c r="D240" s="125"/>
      <c r="E240" s="125"/>
      <c r="F240" s="126"/>
      <c r="G240" s="125"/>
      <c r="H240" s="125"/>
      <c r="I240" s="125"/>
      <c r="J240" s="125"/>
      <c r="K240" s="125"/>
      <c r="L240" s="125"/>
      <c r="M240" s="125"/>
      <c r="N240" s="129"/>
      <c r="O240" s="125"/>
      <c r="P240" s="173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spans="1:26" ht="15.75" customHeight="1">
      <c r="A241" s="125"/>
      <c r="B241" s="125"/>
      <c r="C241" s="125"/>
      <c r="D241" s="125"/>
      <c r="E241" s="125"/>
      <c r="F241" s="126"/>
      <c r="G241" s="125"/>
      <c r="H241" s="125"/>
      <c r="I241" s="125"/>
      <c r="J241" s="125"/>
      <c r="K241" s="125"/>
      <c r="L241" s="125"/>
      <c r="M241" s="125"/>
      <c r="N241" s="129"/>
      <c r="O241" s="125"/>
      <c r="P241" s="173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spans="1:26" ht="15.75" customHeight="1">
      <c r="A242" s="125"/>
      <c r="B242" s="125"/>
      <c r="C242" s="125"/>
      <c r="D242" s="125"/>
      <c r="E242" s="125"/>
      <c r="F242" s="126"/>
      <c r="G242" s="125"/>
      <c r="H242" s="125"/>
      <c r="I242" s="125"/>
      <c r="J242" s="125"/>
      <c r="K242" s="125"/>
      <c r="L242" s="125"/>
      <c r="M242" s="125"/>
      <c r="N242" s="129"/>
      <c r="O242" s="125"/>
      <c r="P242" s="173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spans="1:26" ht="15.75" customHeight="1">
      <c r="A243" s="125"/>
      <c r="B243" s="125"/>
      <c r="C243" s="125"/>
      <c r="D243" s="125"/>
      <c r="E243" s="125"/>
      <c r="F243" s="126"/>
      <c r="G243" s="125"/>
      <c r="H243" s="125"/>
      <c r="I243" s="125"/>
      <c r="J243" s="125"/>
      <c r="K243" s="125"/>
      <c r="L243" s="125"/>
      <c r="M243" s="125"/>
      <c r="N243" s="129"/>
      <c r="O243" s="125"/>
      <c r="P243" s="173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spans="1:26" ht="15.75" customHeight="1">
      <c r="A244" s="125"/>
      <c r="B244" s="125"/>
      <c r="C244" s="125"/>
      <c r="D244" s="125"/>
      <c r="E244" s="125"/>
      <c r="F244" s="126"/>
      <c r="G244" s="125"/>
      <c r="H244" s="125"/>
      <c r="I244" s="125"/>
      <c r="J244" s="125"/>
      <c r="K244" s="125"/>
      <c r="L244" s="125"/>
      <c r="M244" s="125"/>
      <c r="N244" s="129"/>
      <c r="O244" s="125"/>
      <c r="P244" s="173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spans="1:26" ht="15.75" customHeight="1">
      <c r="A245" s="125"/>
      <c r="B245" s="125"/>
      <c r="C245" s="125"/>
      <c r="D245" s="125"/>
      <c r="E245" s="125"/>
      <c r="F245" s="126"/>
      <c r="G245" s="125"/>
      <c r="H245" s="125"/>
      <c r="I245" s="125"/>
      <c r="J245" s="125"/>
      <c r="K245" s="125"/>
      <c r="L245" s="125"/>
      <c r="M245" s="125"/>
      <c r="N245" s="129"/>
      <c r="O245" s="125"/>
      <c r="P245" s="173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spans="1:26" ht="15.75" customHeight="1">
      <c r="A246" s="125"/>
      <c r="B246" s="125"/>
      <c r="C246" s="125"/>
      <c r="D246" s="125"/>
      <c r="E246" s="125"/>
      <c r="F246" s="126"/>
      <c r="G246" s="125"/>
      <c r="H246" s="125"/>
      <c r="I246" s="125"/>
      <c r="J246" s="125"/>
      <c r="K246" s="125"/>
      <c r="L246" s="125"/>
      <c r="M246" s="125"/>
      <c r="N246" s="129"/>
      <c r="O246" s="125"/>
      <c r="P246" s="173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spans="1:26" ht="15.75" customHeight="1">
      <c r="A247" s="125"/>
      <c r="B247" s="125"/>
      <c r="C247" s="125"/>
      <c r="D247" s="125"/>
      <c r="E247" s="125"/>
      <c r="F247" s="126"/>
      <c r="G247" s="125"/>
      <c r="H247" s="125"/>
      <c r="I247" s="125"/>
      <c r="J247" s="125"/>
      <c r="K247" s="125"/>
      <c r="L247" s="125"/>
      <c r="M247" s="125"/>
      <c r="N247" s="129"/>
      <c r="O247" s="125"/>
      <c r="P247" s="173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spans="1:26" ht="15.75" customHeight="1">
      <c r="A248" s="125"/>
      <c r="B248" s="125"/>
      <c r="C248" s="125"/>
      <c r="D248" s="125"/>
      <c r="E248" s="125"/>
      <c r="F248" s="126"/>
      <c r="G248" s="125"/>
      <c r="H248" s="125"/>
      <c r="I248" s="125"/>
      <c r="J248" s="125"/>
      <c r="K248" s="125"/>
      <c r="L248" s="125"/>
      <c r="M248" s="125"/>
      <c r="N248" s="129"/>
      <c r="O248" s="125"/>
      <c r="P248" s="173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spans="1:26" ht="15.75" customHeight="1">
      <c r="A249" s="125"/>
      <c r="B249" s="125"/>
      <c r="C249" s="125"/>
      <c r="D249" s="125"/>
      <c r="E249" s="125"/>
      <c r="F249" s="126"/>
      <c r="G249" s="125"/>
      <c r="H249" s="125"/>
      <c r="I249" s="125"/>
      <c r="J249" s="125"/>
      <c r="K249" s="125"/>
      <c r="L249" s="125"/>
      <c r="M249" s="125"/>
      <c r="N249" s="129"/>
      <c r="O249" s="125"/>
      <c r="P249" s="173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spans="1:26" ht="15.75" customHeight="1">
      <c r="A250" s="125"/>
      <c r="B250" s="125"/>
      <c r="C250" s="125"/>
      <c r="D250" s="125"/>
      <c r="E250" s="125"/>
      <c r="F250" s="126"/>
      <c r="G250" s="125"/>
      <c r="H250" s="125"/>
      <c r="I250" s="125"/>
      <c r="J250" s="125"/>
      <c r="K250" s="125"/>
      <c r="L250" s="125"/>
      <c r="M250" s="125"/>
      <c r="N250" s="129"/>
      <c r="O250" s="125"/>
      <c r="P250" s="173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spans="1:26" ht="15.75" customHeight="1">
      <c r="A251" s="125"/>
      <c r="B251" s="125"/>
      <c r="C251" s="125"/>
      <c r="D251" s="125"/>
      <c r="E251" s="125"/>
      <c r="F251" s="126"/>
      <c r="G251" s="125"/>
      <c r="H251" s="125"/>
      <c r="I251" s="125"/>
      <c r="J251" s="125"/>
      <c r="K251" s="125"/>
      <c r="L251" s="125"/>
      <c r="M251" s="125"/>
      <c r="N251" s="129"/>
      <c r="O251" s="125"/>
      <c r="P251" s="173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spans="1:26" ht="15.75" customHeight="1">
      <c r="A252" s="125"/>
      <c r="B252" s="125"/>
      <c r="C252" s="125"/>
      <c r="D252" s="125"/>
      <c r="E252" s="125"/>
      <c r="F252" s="126"/>
      <c r="G252" s="125"/>
      <c r="H252" s="125"/>
      <c r="I252" s="125"/>
      <c r="J252" s="125"/>
      <c r="K252" s="125"/>
      <c r="L252" s="125"/>
      <c r="M252" s="125"/>
      <c r="N252" s="129"/>
      <c r="O252" s="125"/>
      <c r="P252" s="173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spans="1:26" ht="15.75" customHeight="1">
      <c r="A253" s="125"/>
      <c r="B253" s="125"/>
      <c r="C253" s="125"/>
      <c r="D253" s="125"/>
      <c r="E253" s="125"/>
      <c r="F253" s="126"/>
      <c r="G253" s="125"/>
      <c r="H253" s="125"/>
      <c r="I253" s="125"/>
      <c r="J253" s="125"/>
      <c r="K253" s="125"/>
      <c r="L253" s="125"/>
      <c r="M253" s="125"/>
      <c r="N253" s="129"/>
      <c r="O253" s="125"/>
      <c r="P253" s="173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spans="1:26" ht="15.75" customHeight="1">
      <c r="A254" s="125"/>
      <c r="B254" s="125"/>
      <c r="C254" s="125"/>
      <c r="D254" s="125"/>
      <c r="E254" s="125"/>
      <c r="F254" s="126"/>
      <c r="G254" s="125"/>
      <c r="H254" s="125"/>
      <c r="I254" s="125"/>
      <c r="J254" s="125"/>
      <c r="K254" s="125"/>
      <c r="L254" s="125"/>
      <c r="M254" s="125"/>
      <c r="N254" s="129"/>
      <c r="O254" s="125"/>
      <c r="P254" s="173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spans="1:26" ht="15.75" customHeight="1">
      <c r="A255" s="125"/>
      <c r="B255" s="125"/>
      <c r="C255" s="125"/>
      <c r="D255" s="125"/>
      <c r="E255" s="125"/>
      <c r="F255" s="126"/>
      <c r="G255" s="125"/>
      <c r="H255" s="125"/>
      <c r="I255" s="125"/>
      <c r="J255" s="125"/>
      <c r="K255" s="125"/>
      <c r="L255" s="125"/>
      <c r="M255" s="125"/>
      <c r="N255" s="129"/>
      <c r="O255" s="125"/>
      <c r="P255" s="173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spans="1:26" ht="15.75" customHeight="1">
      <c r="A256" s="125"/>
      <c r="B256" s="125"/>
      <c r="C256" s="125"/>
      <c r="D256" s="125"/>
      <c r="E256" s="125"/>
      <c r="F256" s="126"/>
      <c r="G256" s="125"/>
      <c r="H256" s="125"/>
      <c r="I256" s="125"/>
      <c r="J256" s="125"/>
      <c r="K256" s="125"/>
      <c r="L256" s="125"/>
      <c r="M256" s="125"/>
      <c r="N256" s="129"/>
      <c r="O256" s="125"/>
      <c r="P256" s="173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spans="1:26" ht="15.75" customHeight="1">
      <c r="A257" s="125"/>
      <c r="B257" s="125"/>
      <c r="C257" s="125"/>
      <c r="D257" s="125"/>
      <c r="E257" s="125"/>
      <c r="F257" s="126"/>
      <c r="G257" s="125"/>
      <c r="H257" s="125"/>
      <c r="I257" s="125"/>
      <c r="J257" s="125"/>
      <c r="K257" s="125"/>
      <c r="L257" s="125"/>
      <c r="M257" s="125"/>
      <c r="N257" s="129"/>
      <c r="O257" s="125"/>
      <c r="P257" s="173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spans="1:26" ht="15.75" customHeight="1">
      <c r="A258" s="125"/>
      <c r="B258" s="125"/>
      <c r="C258" s="125"/>
      <c r="D258" s="125"/>
      <c r="E258" s="125"/>
      <c r="F258" s="126"/>
      <c r="G258" s="125"/>
      <c r="H258" s="125"/>
      <c r="I258" s="125"/>
      <c r="J258" s="125"/>
      <c r="K258" s="125"/>
      <c r="L258" s="125"/>
      <c r="M258" s="125"/>
      <c r="N258" s="129"/>
      <c r="O258" s="125"/>
      <c r="P258" s="173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spans="1:26" ht="15.75" customHeight="1">
      <c r="A259" s="125"/>
      <c r="B259" s="125"/>
      <c r="C259" s="125"/>
      <c r="D259" s="125"/>
      <c r="E259" s="125"/>
      <c r="F259" s="126"/>
      <c r="G259" s="125"/>
      <c r="H259" s="125"/>
      <c r="I259" s="125"/>
      <c r="J259" s="125"/>
      <c r="K259" s="125"/>
      <c r="L259" s="125"/>
      <c r="M259" s="125"/>
      <c r="N259" s="129"/>
      <c r="O259" s="125"/>
      <c r="P259" s="173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spans="1:26" ht="15.75" customHeight="1">
      <c r="A260" s="125"/>
      <c r="B260" s="125"/>
      <c r="C260" s="125"/>
      <c r="D260" s="125"/>
      <c r="E260" s="125"/>
      <c r="F260" s="126"/>
      <c r="G260" s="125"/>
      <c r="H260" s="125"/>
      <c r="I260" s="125"/>
      <c r="J260" s="125"/>
      <c r="K260" s="125"/>
      <c r="L260" s="125"/>
      <c r="M260" s="125"/>
      <c r="N260" s="129"/>
      <c r="O260" s="125"/>
      <c r="P260" s="173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spans="1:26" ht="15.75" customHeight="1">
      <c r="A261" s="125"/>
      <c r="B261" s="125"/>
      <c r="C261" s="125"/>
      <c r="D261" s="125"/>
      <c r="E261" s="125"/>
      <c r="F261" s="126"/>
      <c r="G261" s="125"/>
      <c r="H261" s="125"/>
      <c r="I261" s="125"/>
      <c r="J261" s="125"/>
      <c r="K261" s="125"/>
      <c r="L261" s="125"/>
      <c r="M261" s="125"/>
      <c r="N261" s="129"/>
      <c r="O261" s="125"/>
      <c r="P261" s="173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spans="1:26" ht="15.75" customHeight="1">
      <c r="A262" s="125"/>
      <c r="B262" s="125"/>
      <c r="C262" s="125"/>
      <c r="D262" s="125"/>
      <c r="E262" s="125"/>
      <c r="F262" s="126"/>
      <c r="G262" s="125"/>
      <c r="H262" s="125"/>
      <c r="I262" s="125"/>
      <c r="J262" s="125"/>
      <c r="K262" s="125"/>
      <c r="L262" s="125"/>
      <c r="M262" s="125"/>
      <c r="N262" s="129"/>
      <c r="O262" s="125"/>
      <c r="P262" s="173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spans="1:26" ht="15.75" customHeight="1">
      <c r="A263" s="125"/>
      <c r="B263" s="125"/>
      <c r="C263" s="125"/>
      <c r="D263" s="125"/>
      <c r="E263" s="125"/>
      <c r="F263" s="126"/>
      <c r="G263" s="125"/>
      <c r="H263" s="125"/>
      <c r="I263" s="125"/>
      <c r="J263" s="125"/>
      <c r="K263" s="125"/>
      <c r="L263" s="125"/>
      <c r="M263" s="125"/>
      <c r="N263" s="129"/>
      <c r="O263" s="125"/>
      <c r="P263" s="173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spans="1:26" ht="15.75" customHeight="1">
      <c r="A264" s="125"/>
      <c r="B264" s="125"/>
      <c r="C264" s="125"/>
      <c r="D264" s="125"/>
      <c r="E264" s="125"/>
      <c r="F264" s="126"/>
      <c r="G264" s="125"/>
      <c r="H264" s="125"/>
      <c r="I264" s="125"/>
      <c r="J264" s="125"/>
      <c r="K264" s="125"/>
      <c r="L264" s="125"/>
      <c r="M264" s="125"/>
      <c r="N264" s="129"/>
      <c r="O264" s="125"/>
      <c r="P264" s="173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spans="1:26" ht="15.75" customHeight="1">
      <c r="A265" s="125"/>
      <c r="B265" s="125"/>
      <c r="C265" s="125"/>
      <c r="D265" s="125"/>
      <c r="E265" s="125"/>
      <c r="F265" s="126"/>
      <c r="G265" s="125"/>
      <c r="H265" s="125"/>
      <c r="I265" s="125"/>
      <c r="J265" s="125"/>
      <c r="K265" s="125"/>
      <c r="L265" s="125"/>
      <c r="M265" s="125"/>
      <c r="N265" s="129"/>
      <c r="O265" s="125"/>
      <c r="P265" s="173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spans="1:26" ht="15.75" customHeight="1">
      <c r="A266" s="125"/>
      <c r="B266" s="125"/>
      <c r="C266" s="125"/>
      <c r="D266" s="125"/>
      <c r="E266" s="125"/>
      <c r="F266" s="126"/>
      <c r="G266" s="125"/>
      <c r="H266" s="125"/>
      <c r="I266" s="125"/>
      <c r="J266" s="125"/>
      <c r="K266" s="125"/>
      <c r="L266" s="125"/>
      <c r="M266" s="125"/>
      <c r="N266" s="129"/>
      <c r="O266" s="125"/>
      <c r="P266" s="173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spans="1:26" ht="15.75" customHeight="1">
      <c r="A267" s="125"/>
      <c r="B267" s="125"/>
      <c r="C267" s="125"/>
      <c r="D267" s="125"/>
      <c r="E267" s="125"/>
      <c r="F267" s="126"/>
      <c r="G267" s="125"/>
      <c r="H267" s="125"/>
      <c r="I267" s="125"/>
      <c r="J267" s="125"/>
      <c r="K267" s="125"/>
      <c r="L267" s="125"/>
      <c r="M267" s="125"/>
      <c r="N267" s="129"/>
      <c r="O267" s="125"/>
      <c r="P267" s="173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spans="1:26" ht="15.75" customHeight="1">
      <c r="A268" s="125"/>
      <c r="B268" s="125"/>
      <c r="C268" s="125"/>
      <c r="D268" s="125"/>
      <c r="E268" s="125"/>
      <c r="F268" s="126"/>
      <c r="G268" s="125"/>
      <c r="H268" s="125"/>
      <c r="I268" s="125"/>
      <c r="J268" s="125"/>
      <c r="K268" s="125"/>
      <c r="L268" s="125"/>
      <c r="M268" s="125"/>
      <c r="N268" s="129"/>
      <c r="O268" s="125"/>
      <c r="P268" s="173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spans="1:26" ht="15.75" customHeight="1">
      <c r="A269" s="125"/>
      <c r="B269" s="125"/>
      <c r="C269" s="125"/>
      <c r="D269" s="125"/>
      <c r="E269" s="125"/>
      <c r="F269" s="126"/>
      <c r="G269" s="125"/>
      <c r="H269" s="125"/>
      <c r="I269" s="125"/>
      <c r="J269" s="125"/>
      <c r="K269" s="125"/>
      <c r="L269" s="125"/>
      <c r="M269" s="125"/>
      <c r="N269" s="129"/>
      <c r="O269" s="125"/>
      <c r="P269" s="173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spans="1:26" ht="15.75" customHeight="1">
      <c r="A270" s="125"/>
      <c r="B270" s="125"/>
      <c r="C270" s="125"/>
      <c r="D270" s="125"/>
      <c r="E270" s="125"/>
      <c r="F270" s="126"/>
      <c r="G270" s="125"/>
      <c r="H270" s="125"/>
      <c r="I270" s="125"/>
      <c r="J270" s="125"/>
      <c r="K270" s="125"/>
      <c r="L270" s="125"/>
      <c r="M270" s="125"/>
      <c r="N270" s="129"/>
      <c r="O270" s="125"/>
      <c r="P270" s="173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spans="1:26" ht="15.75" customHeight="1">
      <c r="A271" s="125"/>
      <c r="B271" s="125"/>
      <c r="C271" s="125"/>
      <c r="D271" s="125"/>
      <c r="E271" s="125"/>
      <c r="F271" s="126"/>
      <c r="G271" s="125"/>
      <c r="H271" s="125"/>
      <c r="I271" s="125"/>
      <c r="J271" s="125"/>
      <c r="K271" s="125"/>
      <c r="L271" s="125"/>
      <c r="M271" s="125"/>
      <c r="N271" s="129"/>
      <c r="O271" s="125"/>
      <c r="P271" s="173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spans="1:26" ht="15.75" customHeight="1">
      <c r="A272" s="125"/>
      <c r="B272" s="125"/>
      <c r="C272" s="125"/>
      <c r="D272" s="125"/>
      <c r="E272" s="125"/>
      <c r="F272" s="126"/>
      <c r="G272" s="125"/>
      <c r="H272" s="125"/>
      <c r="I272" s="125"/>
      <c r="J272" s="125"/>
      <c r="K272" s="125"/>
      <c r="L272" s="125"/>
      <c r="M272" s="125"/>
      <c r="N272" s="129"/>
      <c r="O272" s="125"/>
      <c r="P272" s="173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spans="1:26" ht="15.75" customHeight="1">
      <c r="A273" s="125"/>
      <c r="B273" s="125"/>
      <c r="C273" s="125"/>
      <c r="D273" s="125"/>
      <c r="E273" s="125"/>
      <c r="F273" s="126"/>
      <c r="G273" s="125"/>
      <c r="H273" s="125"/>
      <c r="I273" s="125"/>
      <c r="J273" s="125"/>
      <c r="K273" s="125"/>
      <c r="L273" s="125"/>
      <c r="M273" s="125"/>
      <c r="N273" s="129"/>
      <c r="O273" s="125"/>
      <c r="P273" s="173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ht="15.75" customHeight="1">
      <c r="A274" s="125"/>
      <c r="B274" s="125"/>
      <c r="C274" s="125"/>
      <c r="D274" s="125"/>
      <c r="E274" s="125"/>
      <c r="F274" s="126"/>
      <c r="G274" s="125"/>
      <c r="H274" s="125"/>
      <c r="I274" s="125"/>
      <c r="J274" s="125"/>
      <c r="K274" s="125"/>
      <c r="L274" s="125"/>
      <c r="M274" s="125"/>
      <c r="N274" s="129"/>
      <c r="O274" s="125"/>
      <c r="P274" s="173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spans="1:26" ht="15.75" customHeight="1">
      <c r="A275" s="125"/>
      <c r="B275" s="125"/>
      <c r="C275" s="125"/>
      <c r="D275" s="125"/>
      <c r="E275" s="125"/>
      <c r="F275" s="126"/>
      <c r="G275" s="125"/>
      <c r="H275" s="125"/>
      <c r="I275" s="125"/>
      <c r="J275" s="125"/>
      <c r="K275" s="125"/>
      <c r="L275" s="125"/>
      <c r="M275" s="125"/>
      <c r="N275" s="129"/>
      <c r="O275" s="125"/>
      <c r="P275" s="173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spans="1:26" ht="15.75" customHeight="1">
      <c r="A276" s="125"/>
      <c r="B276" s="125"/>
      <c r="C276" s="125"/>
      <c r="D276" s="125"/>
      <c r="E276" s="125"/>
      <c r="F276" s="126"/>
      <c r="G276" s="125"/>
      <c r="H276" s="125"/>
      <c r="I276" s="125"/>
      <c r="J276" s="125"/>
      <c r="K276" s="125"/>
      <c r="L276" s="125"/>
      <c r="M276" s="125"/>
      <c r="N276" s="129"/>
      <c r="O276" s="125"/>
      <c r="P276" s="173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spans="1:26" ht="15.75" customHeight="1">
      <c r="A277" s="125"/>
      <c r="B277" s="125"/>
      <c r="C277" s="125"/>
      <c r="D277" s="125"/>
      <c r="E277" s="125"/>
      <c r="F277" s="126"/>
      <c r="G277" s="125"/>
      <c r="H277" s="125"/>
      <c r="I277" s="125"/>
      <c r="J277" s="125"/>
      <c r="K277" s="125"/>
      <c r="L277" s="125"/>
      <c r="M277" s="125"/>
      <c r="N277" s="129"/>
      <c r="O277" s="125"/>
      <c r="P277" s="173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spans="1:26" ht="15.75" customHeight="1">
      <c r="A278" s="125"/>
      <c r="B278" s="125"/>
      <c r="C278" s="125"/>
      <c r="D278" s="125"/>
      <c r="E278" s="125"/>
      <c r="F278" s="126"/>
      <c r="G278" s="125"/>
      <c r="H278" s="125"/>
      <c r="I278" s="125"/>
      <c r="J278" s="125"/>
      <c r="K278" s="125"/>
      <c r="L278" s="125"/>
      <c r="M278" s="125"/>
      <c r="N278" s="129"/>
      <c r="O278" s="125"/>
      <c r="P278" s="173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spans="1:26" ht="15.75" customHeight="1">
      <c r="A279" s="125"/>
      <c r="B279" s="125"/>
      <c r="C279" s="125"/>
      <c r="D279" s="125"/>
      <c r="E279" s="125"/>
      <c r="F279" s="126"/>
      <c r="G279" s="125"/>
      <c r="H279" s="125"/>
      <c r="I279" s="125"/>
      <c r="J279" s="125"/>
      <c r="K279" s="125"/>
      <c r="L279" s="125"/>
      <c r="M279" s="125"/>
      <c r="N279" s="129"/>
      <c r="O279" s="125"/>
      <c r="P279" s="173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spans="1:26" ht="15.75" customHeight="1">
      <c r="A280" s="125"/>
      <c r="B280" s="125"/>
      <c r="C280" s="125"/>
      <c r="D280" s="125"/>
      <c r="E280" s="125"/>
      <c r="F280" s="126"/>
      <c r="G280" s="125"/>
      <c r="H280" s="125"/>
      <c r="I280" s="125"/>
      <c r="J280" s="125"/>
      <c r="K280" s="125"/>
      <c r="L280" s="125"/>
      <c r="M280" s="125"/>
      <c r="N280" s="129"/>
      <c r="O280" s="125"/>
      <c r="P280" s="173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spans="1:26" ht="15.75" customHeight="1">
      <c r="A281" s="125"/>
      <c r="B281" s="125"/>
      <c r="C281" s="125"/>
      <c r="D281" s="125"/>
      <c r="E281" s="125"/>
      <c r="F281" s="126"/>
      <c r="G281" s="125"/>
      <c r="H281" s="125"/>
      <c r="I281" s="125"/>
      <c r="J281" s="125"/>
      <c r="K281" s="125"/>
      <c r="L281" s="125"/>
      <c r="M281" s="125"/>
      <c r="N281" s="129"/>
      <c r="O281" s="125"/>
      <c r="P281" s="173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spans="1:26" ht="15.75" customHeight="1">
      <c r="A282" s="125"/>
      <c r="B282" s="125"/>
      <c r="C282" s="125"/>
      <c r="D282" s="125"/>
      <c r="E282" s="125"/>
      <c r="F282" s="126"/>
      <c r="G282" s="125"/>
      <c r="H282" s="125"/>
      <c r="I282" s="125"/>
      <c r="J282" s="125"/>
      <c r="K282" s="125"/>
      <c r="L282" s="125"/>
      <c r="M282" s="125"/>
      <c r="N282" s="129"/>
      <c r="O282" s="125"/>
      <c r="P282" s="173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spans="1:26" ht="15.75" customHeight="1">
      <c r="A283" s="125"/>
      <c r="B283" s="125"/>
      <c r="C283" s="125"/>
      <c r="D283" s="125"/>
      <c r="E283" s="125"/>
      <c r="F283" s="126"/>
      <c r="G283" s="125"/>
      <c r="H283" s="125"/>
      <c r="I283" s="125"/>
      <c r="J283" s="125"/>
      <c r="K283" s="125"/>
      <c r="L283" s="125"/>
      <c r="M283" s="125"/>
      <c r="N283" s="129"/>
      <c r="O283" s="125"/>
      <c r="P283" s="173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spans="1:26" ht="15.75" customHeight="1">
      <c r="A284" s="125"/>
      <c r="B284" s="125"/>
      <c r="C284" s="125"/>
      <c r="D284" s="125"/>
      <c r="E284" s="125"/>
      <c r="F284" s="126"/>
      <c r="G284" s="125"/>
      <c r="H284" s="125"/>
      <c r="I284" s="125"/>
      <c r="J284" s="125"/>
      <c r="K284" s="125"/>
      <c r="L284" s="125"/>
      <c r="M284" s="125"/>
      <c r="N284" s="129"/>
      <c r="O284" s="125"/>
      <c r="P284" s="173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spans="1:26" ht="15.75" customHeight="1">
      <c r="A285" s="125"/>
      <c r="B285" s="125"/>
      <c r="C285" s="125"/>
      <c r="D285" s="125"/>
      <c r="E285" s="125"/>
      <c r="F285" s="126"/>
      <c r="G285" s="125"/>
      <c r="H285" s="125"/>
      <c r="I285" s="125"/>
      <c r="J285" s="125"/>
      <c r="K285" s="125"/>
      <c r="L285" s="125"/>
      <c r="M285" s="125"/>
      <c r="N285" s="129"/>
      <c r="O285" s="125"/>
      <c r="P285" s="173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spans="1:26" ht="15.75" customHeight="1">
      <c r="A286" s="125"/>
      <c r="B286" s="125"/>
      <c r="C286" s="125"/>
      <c r="D286" s="125"/>
      <c r="E286" s="125"/>
      <c r="F286" s="126"/>
      <c r="G286" s="125"/>
      <c r="H286" s="125"/>
      <c r="I286" s="125"/>
      <c r="J286" s="125"/>
      <c r="K286" s="125"/>
      <c r="L286" s="125"/>
      <c r="M286" s="125"/>
      <c r="N286" s="129"/>
      <c r="O286" s="125"/>
      <c r="P286" s="173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spans="1:26" ht="15.75" customHeight="1">
      <c r="A287" s="125"/>
      <c r="B287" s="125"/>
      <c r="C287" s="125"/>
      <c r="D287" s="125"/>
      <c r="E287" s="125"/>
      <c r="F287" s="126"/>
      <c r="G287" s="125"/>
      <c r="H287" s="125"/>
      <c r="I287" s="125"/>
      <c r="J287" s="125"/>
      <c r="K287" s="125"/>
      <c r="L287" s="125"/>
      <c r="M287" s="125"/>
      <c r="N287" s="129"/>
      <c r="O287" s="125"/>
      <c r="P287" s="173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spans="1:26" ht="15.75" customHeight="1">
      <c r="A288" s="125"/>
      <c r="B288" s="125"/>
      <c r="C288" s="125"/>
      <c r="D288" s="125"/>
      <c r="E288" s="125"/>
      <c r="F288" s="126"/>
      <c r="G288" s="125"/>
      <c r="H288" s="125"/>
      <c r="I288" s="125"/>
      <c r="J288" s="125"/>
      <c r="K288" s="125"/>
      <c r="L288" s="125"/>
      <c r="M288" s="125"/>
      <c r="N288" s="129"/>
      <c r="O288" s="125"/>
      <c r="P288" s="173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spans="1:26" ht="15.75" customHeight="1">
      <c r="A289" s="125"/>
      <c r="B289" s="125"/>
      <c r="C289" s="125"/>
      <c r="D289" s="125"/>
      <c r="E289" s="125"/>
      <c r="F289" s="126"/>
      <c r="G289" s="125"/>
      <c r="H289" s="125"/>
      <c r="I289" s="125"/>
      <c r="J289" s="125"/>
      <c r="K289" s="125"/>
      <c r="L289" s="125"/>
      <c r="M289" s="125"/>
      <c r="N289" s="129"/>
      <c r="O289" s="125"/>
      <c r="P289" s="173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spans="1:26" ht="15.75" customHeight="1">
      <c r="A290" s="125"/>
      <c r="B290" s="125"/>
      <c r="C290" s="125"/>
      <c r="D290" s="125"/>
      <c r="E290" s="125"/>
      <c r="F290" s="126"/>
      <c r="G290" s="125"/>
      <c r="H290" s="125"/>
      <c r="I290" s="125"/>
      <c r="J290" s="125"/>
      <c r="K290" s="125"/>
      <c r="L290" s="125"/>
      <c r="M290" s="125"/>
      <c r="N290" s="129"/>
      <c r="O290" s="125"/>
      <c r="P290" s="173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spans="1:26" ht="15.75" customHeight="1">
      <c r="A291" s="125"/>
      <c r="B291" s="125"/>
      <c r="C291" s="125"/>
      <c r="D291" s="125"/>
      <c r="E291" s="125"/>
      <c r="F291" s="126"/>
      <c r="G291" s="125"/>
      <c r="H291" s="125"/>
      <c r="I291" s="125"/>
      <c r="J291" s="125"/>
      <c r="K291" s="125"/>
      <c r="L291" s="125"/>
      <c r="M291" s="125"/>
      <c r="N291" s="129"/>
      <c r="O291" s="125"/>
      <c r="P291" s="173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spans="1:26" ht="15.75" customHeight="1">
      <c r="A292" s="125"/>
      <c r="B292" s="125"/>
      <c r="C292" s="125"/>
      <c r="D292" s="125"/>
      <c r="E292" s="125"/>
      <c r="F292" s="126"/>
      <c r="G292" s="125"/>
      <c r="H292" s="125"/>
      <c r="I292" s="125"/>
      <c r="J292" s="125"/>
      <c r="K292" s="125"/>
      <c r="L292" s="125"/>
      <c r="M292" s="125"/>
      <c r="N292" s="129"/>
      <c r="O292" s="125"/>
      <c r="P292" s="173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spans="1:26" ht="15.75" customHeight="1">
      <c r="A293" s="125"/>
      <c r="B293" s="125"/>
      <c r="C293" s="125"/>
      <c r="D293" s="125"/>
      <c r="E293" s="125"/>
      <c r="F293" s="126"/>
      <c r="G293" s="125"/>
      <c r="H293" s="125"/>
      <c r="I293" s="125"/>
      <c r="J293" s="125"/>
      <c r="K293" s="125"/>
      <c r="L293" s="125"/>
      <c r="M293" s="125"/>
      <c r="N293" s="129"/>
      <c r="O293" s="125"/>
      <c r="P293" s="173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spans="1:26" ht="15.75" customHeight="1">
      <c r="A294" s="125"/>
      <c r="B294" s="125"/>
      <c r="C294" s="125"/>
      <c r="D294" s="125"/>
      <c r="E294" s="125"/>
      <c r="F294" s="126"/>
      <c r="G294" s="125"/>
      <c r="H294" s="125"/>
      <c r="I294" s="125"/>
      <c r="J294" s="125"/>
      <c r="K294" s="125"/>
      <c r="L294" s="125"/>
      <c r="M294" s="125"/>
      <c r="N294" s="129"/>
      <c r="O294" s="125"/>
      <c r="P294" s="173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spans="1:26" ht="15.75" customHeight="1">
      <c r="A295" s="125"/>
      <c r="B295" s="125"/>
      <c r="C295" s="125"/>
      <c r="D295" s="125"/>
      <c r="E295" s="125"/>
      <c r="F295" s="126"/>
      <c r="G295" s="125"/>
      <c r="H295" s="125"/>
      <c r="I295" s="125"/>
      <c r="J295" s="125"/>
      <c r="K295" s="125"/>
      <c r="L295" s="125"/>
      <c r="M295" s="125"/>
      <c r="N295" s="129"/>
      <c r="O295" s="125"/>
      <c r="P295" s="173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spans="1:26" ht="15.75" customHeight="1">
      <c r="A296" s="125"/>
      <c r="B296" s="125"/>
      <c r="C296" s="125"/>
      <c r="D296" s="125"/>
      <c r="E296" s="125"/>
      <c r="F296" s="126"/>
      <c r="G296" s="125"/>
      <c r="H296" s="125"/>
      <c r="I296" s="125"/>
      <c r="J296" s="125"/>
      <c r="K296" s="125"/>
      <c r="L296" s="125"/>
      <c r="M296" s="125"/>
      <c r="N296" s="129"/>
      <c r="O296" s="125"/>
      <c r="P296" s="173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spans="1:26" ht="15.75" customHeight="1">
      <c r="A297" s="125"/>
      <c r="B297" s="125"/>
      <c r="C297" s="125"/>
      <c r="D297" s="125"/>
      <c r="E297" s="125"/>
      <c r="F297" s="126"/>
      <c r="G297" s="125"/>
      <c r="H297" s="125"/>
      <c r="I297" s="125"/>
      <c r="J297" s="125"/>
      <c r="K297" s="125"/>
      <c r="L297" s="125"/>
      <c r="M297" s="125"/>
      <c r="N297" s="129"/>
      <c r="O297" s="125"/>
      <c r="P297" s="173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spans="1:26" ht="15.75" customHeight="1">
      <c r="A298" s="125"/>
      <c r="B298" s="125"/>
      <c r="C298" s="125"/>
      <c r="D298" s="125"/>
      <c r="E298" s="125"/>
      <c r="F298" s="126"/>
      <c r="G298" s="125"/>
      <c r="H298" s="125"/>
      <c r="I298" s="125"/>
      <c r="J298" s="125"/>
      <c r="K298" s="125"/>
      <c r="L298" s="125"/>
      <c r="M298" s="125"/>
      <c r="N298" s="129"/>
      <c r="O298" s="125"/>
      <c r="P298" s="173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spans="1:26" ht="15.75" customHeight="1">
      <c r="A299" s="125"/>
      <c r="B299" s="125"/>
      <c r="C299" s="125"/>
      <c r="D299" s="125"/>
      <c r="E299" s="125"/>
      <c r="F299" s="126"/>
      <c r="G299" s="125"/>
      <c r="H299" s="125"/>
      <c r="I299" s="125"/>
      <c r="J299" s="125"/>
      <c r="K299" s="125"/>
      <c r="L299" s="125"/>
      <c r="M299" s="125"/>
      <c r="N299" s="129"/>
      <c r="O299" s="125"/>
      <c r="P299" s="173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spans="1:26" ht="15.75" customHeight="1">
      <c r="A300" s="125"/>
      <c r="B300" s="125"/>
      <c r="C300" s="125"/>
      <c r="D300" s="125"/>
      <c r="E300" s="125"/>
      <c r="F300" s="126"/>
      <c r="G300" s="125"/>
      <c r="H300" s="125"/>
      <c r="I300" s="125"/>
      <c r="J300" s="125"/>
      <c r="K300" s="125"/>
      <c r="L300" s="125"/>
      <c r="M300" s="125"/>
      <c r="N300" s="129"/>
      <c r="O300" s="125"/>
      <c r="P300" s="173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spans="1:26" ht="15.75" customHeight="1">
      <c r="A301" s="125"/>
      <c r="B301" s="125"/>
      <c r="C301" s="125"/>
      <c r="D301" s="125"/>
      <c r="E301" s="125"/>
      <c r="F301" s="126"/>
      <c r="G301" s="125"/>
      <c r="H301" s="125"/>
      <c r="I301" s="125"/>
      <c r="J301" s="125"/>
      <c r="K301" s="125"/>
      <c r="L301" s="125"/>
      <c r="M301" s="125"/>
      <c r="N301" s="129"/>
      <c r="O301" s="125"/>
      <c r="P301" s="173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spans="1:26" ht="15.75" customHeight="1">
      <c r="A302" s="125"/>
      <c r="B302" s="125"/>
      <c r="C302" s="125"/>
      <c r="D302" s="125"/>
      <c r="E302" s="125"/>
      <c r="F302" s="126"/>
      <c r="G302" s="125"/>
      <c r="H302" s="125"/>
      <c r="I302" s="125"/>
      <c r="J302" s="125"/>
      <c r="K302" s="125"/>
      <c r="L302" s="125"/>
      <c r="M302" s="125"/>
      <c r="N302" s="129"/>
      <c r="O302" s="125"/>
      <c r="P302" s="173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spans="1:26" ht="15.75" customHeight="1">
      <c r="A303" s="125"/>
      <c r="B303" s="125"/>
      <c r="C303" s="125"/>
      <c r="D303" s="125"/>
      <c r="E303" s="125"/>
      <c r="F303" s="126"/>
      <c r="G303" s="125"/>
      <c r="H303" s="125"/>
      <c r="I303" s="125"/>
      <c r="J303" s="125"/>
      <c r="K303" s="125"/>
      <c r="L303" s="125"/>
      <c r="M303" s="125"/>
      <c r="N303" s="129"/>
      <c r="O303" s="125"/>
      <c r="P303" s="173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spans="1:26" ht="15.75" customHeight="1">
      <c r="A304" s="125"/>
      <c r="B304" s="125"/>
      <c r="C304" s="125"/>
      <c r="D304" s="125"/>
      <c r="E304" s="125"/>
      <c r="F304" s="126"/>
      <c r="G304" s="125"/>
      <c r="H304" s="125"/>
      <c r="I304" s="125"/>
      <c r="J304" s="125"/>
      <c r="K304" s="125"/>
      <c r="L304" s="125"/>
      <c r="M304" s="125"/>
      <c r="N304" s="129"/>
      <c r="O304" s="125"/>
      <c r="P304" s="173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spans="1:26" ht="15.75" customHeight="1">
      <c r="A305" s="125"/>
      <c r="B305" s="125"/>
      <c r="C305" s="125"/>
      <c r="D305" s="125"/>
      <c r="E305" s="125"/>
      <c r="F305" s="126"/>
      <c r="G305" s="125"/>
      <c r="H305" s="125"/>
      <c r="I305" s="125"/>
      <c r="J305" s="125"/>
      <c r="K305" s="125"/>
      <c r="L305" s="125"/>
      <c r="M305" s="125"/>
      <c r="N305" s="129"/>
      <c r="O305" s="125"/>
      <c r="P305" s="173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spans="1:26" ht="15.75" customHeight="1">
      <c r="A306" s="125"/>
      <c r="B306" s="125"/>
      <c r="C306" s="125"/>
      <c r="D306" s="125"/>
      <c r="E306" s="125"/>
      <c r="F306" s="126"/>
      <c r="G306" s="125"/>
      <c r="H306" s="125"/>
      <c r="I306" s="125"/>
      <c r="J306" s="125"/>
      <c r="K306" s="125"/>
      <c r="L306" s="125"/>
      <c r="M306" s="125"/>
      <c r="N306" s="129"/>
      <c r="O306" s="125"/>
      <c r="P306" s="173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spans="1:26" ht="15.75" customHeight="1">
      <c r="A307" s="125"/>
      <c r="B307" s="125"/>
      <c r="C307" s="125"/>
      <c r="D307" s="125"/>
      <c r="E307" s="125"/>
      <c r="F307" s="126"/>
      <c r="G307" s="125"/>
      <c r="H307" s="125"/>
      <c r="I307" s="125"/>
      <c r="J307" s="125"/>
      <c r="K307" s="125"/>
      <c r="L307" s="125"/>
      <c r="M307" s="125"/>
      <c r="N307" s="129"/>
      <c r="O307" s="125"/>
      <c r="P307" s="173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spans="1:26" ht="15.75" customHeight="1">
      <c r="A308" s="125"/>
      <c r="B308" s="125"/>
      <c r="C308" s="125"/>
      <c r="D308" s="125"/>
      <c r="E308" s="125"/>
      <c r="F308" s="126"/>
      <c r="G308" s="125"/>
      <c r="H308" s="125"/>
      <c r="I308" s="125"/>
      <c r="J308" s="125"/>
      <c r="K308" s="125"/>
      <c r="L308" s="125"/>
      <c r="M308" s="125"/>
      <c r="N308" s="129"/>
      <c r="O308" s="125"/>
      <c r="P308" s="173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spans="1:26" ht="15.75" customHeight="1">
      <c r="A309" s="125"/>
      <c r="B309" s="125"/>
      <c r="C309" s="125"/>
      <c r="D309" s="125"/>
      <c r="E309" s="125"/>
      <c r="F309" s="126"/>
      <c r="G309" s="125"/>
      <c r="H309" s="125"/>
      <c r="I309" s="125"/>
      <c r="J309" s="125"/>
      <c r="K309" s="125"/>
      <c r="L309" s="125"/>
      <c r="M309" s="125"/>
      <c r="N309" s="129"/>
      <c r="O309" s="125"/>
      <c r="P309" s="173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spans="1:26" ht="15.75" customHeight="1">
      <c r="A310" s="125"/>
      <c r="B310" s="125"/>
      <c r="C310" s="125"/>
      <c r="D310" s="125"/>
      <c r="E310" s="125"/>
      <c r="F310" s="126"/>
      <c r="G310" s="125"/>
      <c r="H310" s="125"/>
      <c r="I310" s="125"/>
      <c r="J310" s="125"/>
      <c r="K310" s="125"/>
      <c r="L310" s="125"/>
      <c r="M310" s="125"/>
      <c r="N310" s="129"/>
      <c r="O310" s="125"/>
      <c r="P310" s="173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spans="1:26" ht="15.75" customHeight="1">
      <c r="A311" s="125"/>
      <c r="B311" s="125"/>
      <c r="C311" s="125"/>
      <c r="D311" s="125"/>
      <c r="E311" s="125"/>
      <c r="F311" s="126"/>
      <c r="G311" s="125"/>
      <c r="H311" s="125"/>
      <c r="I311" s="125"/>
      <c r="J311" s="125"/>
      <c r="K311" s="125"/>
      <c r="L311" s="125"/>
      <c r="M311" s="125"/>
      <c r="N311" s="129"/>
      <c r="O311" s="125"/>
      <c r="P311" s="173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spans="1:26" ht="15.75" customHeight="1">
      <c r="A312" s="125"/>
      <c r="B312" s="125"/>
      <c r="C312" s="125"/>
      <c r="D312" s="125"/>
      <c r="E312" s="125"/>
      <c r="F312" s="126"/>
      <c r="G312" s="125"/>
      <c r="H312" s="125"/>
      <c r="I312" s="125"/>
      <c r="J312" s="125"/>
      <c r="K312" s="125"/>
      <c r="L312" s="125"/>
      <c r="M312" s="125"/>
      <c r="N312" s="129"/>
      <c r="O312" s="125"/>
      <c r="P312" s="173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spans="1:26" ht="15.75" customHeight="1">
      <c r="A313" s="125"/>
      <c r="B313" s="125"/>
      <c r="C313" s="125"/>
      <c r="D313" s="125"/>
      <c r="E313" s="125"/>
      <c r="F313" s="126"/>
      <c r="G313" s="125"/>
      <c r="H313" s="125"/>
      <c r="I313" s="125"/>
      <c r="J313" s="125"/>
      <c r="K313" s="125"/>
      <c r="L313" s="125"/>
      <c r="M313" s="125"/>
      <c r="N313" s="129"/>
      <c r="O313" s="125"/>
      <c r="P313" s="173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spans="1:26" ht="15.75" customHeight="1">
      <c r="A314" s="125"/>
      <c r="B314" s="125"/>
      <c r="C314" s="125"/>
      <c r="D314" s="125"/>
      <c r="E314" s="125"/>
      <c r="F314" s="126"/>
      <c r="G314" s="125"/>
      <c r="H314" s="125"/>
      <c r="I314" s="125"/>
      <c r="J314" s="125"/>
      <c r="K314" s="125"/>
      <c r="L314" s="125"/>
      <c r="M314" s="125"/>
      <c r="N314" s="129"/>
      <c r="O314" s="125"/>
      <c r="P314" s="173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spans="1:26" ht="15.75" customHeight="1">
      <c r="A315" s="125"/>
      <c r="B315" s="125"/>
      <c r="C315" s="125"/>
      <c r="D315" s="125"/>
      <c r="E315" s="125"/>
      <c r="F315" s="126"/>
      <c r="G315" s="125"/>
      <c r="H315" s="125"/>
      <c r="I315" s="125"/>
      <c r="J315" s="125"/>
      <c r="K315" s="125"/>
      <c r="L315" s="125"/>
      <c r="M315" s="125"/>
      <c r="N315" s="129"/>
      <c r="O315" s="125"/>
      <c r="P315" s="173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spans="1:26" ht="15.75" customHeight="1">
      <c r="A316" s="125"/>
      <c r="B316" s="125"/>
      <c r="C316" s="125"/>
      <c r="D316" s="125"/>
      <c r="E316" s="125"/>
      <c r="F316" s="126"/>
      <c r="G316" s="125"/>
      <c r="H316" s="125"/>
      <c r="I316" s="125"/>
      <c r="J316" s="125"/>
      <c r="K316" s="125"/>
      <c r="L316" s="125"/>
      <c r="M316" s="125"/>
      <c r="N316" s="129"/>
      <c r="O316" s="125"/>
      <c r="P316" s="173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spans="1:26" ht="15.75" customHeight="1">
      <c r="A317" s="125"/>
      <c r="B317" s="125"/>
      <c r="C317" s="125"/>
      <c r="D317" s="125"/>
      <c r="E317" s="125"/>
      <c r="F317" s="126"/>
      <c r="G317" s="125"/>
      <c r="H317" s="125"/>
      <c r="I317" s="125"/>
      <c r="J317" s="125"/>
      <c r="K317" s="125"/>
      <c r="L317" s="125"/>
      <c r="M317" s="125"/>
      <c r="N317" s="129"/>
      <c r="O317" s="125"/>
      <c r="P317" s="173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spans="1:26" ht="15.75" customHeight="1">
      <c r="A318" s="125"/>
      <c r="B318" s="125"/>
      <c r="C318" s="125"/>
      <c r="D318" s="125"/>
      <c r="E318" s="125"/>
      <c r="F318" s="126"/>
      <c r="G318" s="125"/>
      <c r="H318" s="125"/>
      <c r="I318" s="125"/>
      <c r="J318" s="125"/>
      <c r="K318" s="125"/>
      <c r="L318" s="125"/>
      <c r="M318" s="125"/>
      <c r="N318" s="129"/>
      <c r="O318" s="125"/>
      <c r="P318" s="173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spans="1:26" ht="15.75" customHeight="1">
      <c r="A319" s="125"/>
      <c r="B319" s="125"/>
      <c r="C319" s="125"/>
      <c r="D319" s="125"/>
      <c r="E319" s="125"/>
      <c r="F319" s="126"/>
      <c r="G319" s="125"/>
      <c r="H319" s="125"/>
      <c r="I319" s="125"/>
      <c r="J319" s="125"/>
      <c r="K319" s="125"/>
      <c r="L319" s="125"/>
      <c r="M319" s="125"/>
      <c r="N319" s="129"/>
      <c r="O319" s="125"/>
      <c r="P319" s="173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spans="1:26" ht="15.75" customHeight="1">
      <c r="A320" s="125"/>
      <c r="B320" s="125"/>
      <c r="C320" s="125"/>
      <c r="D320" s="125"/>
      <c r="E320" s="125"/>
      <c r="F320" s="126"/>
      <c r="G320" s="125"/>
      <c r="H320" s="125"/>
      <c r="I320" s="125"/>
      <c r="J320" s="125"/>
      <c r="K320" s="125"/>
      <c r="L320" s="125"/>
      <c r="M320" s="125"/>
      <c r="N320" s="129"/>
      <c r="O320" s="125"/>
      <c r="P320" s="173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spans="1:26" ht="15.75" customHeight="1">
      <c r="A321" s="125"/>
      <c r="B321" s="125"/>
      <c r="C321" s="125"/>
      <c r="D321" s="125"/>
      <c r="E321" s="125"/>
      <c r="F321" s="126"/>
      <c r="G321" s="125"/>
      <c r="H321" s="125"/>
      <c r="I321" s="125"/>
      <c r="J321" s="125"/>
      <c r="K321" s="125"/>
      <c r="L321" s="125"/>
      <c r="M321" s="125"/>
      <c r="N321" s="129"/>
      <c r="O321" s="125"/>
      <c r="P321" s="173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spans="1:26" ht="15.75" customHeight="1">
      <c r="A322" s="125"/>
      <c r="B322" s="125"/>
      <c r="C322" s="125"/>
      <c r="D322" s="125"/>
      <c r="E322" s="125"/>
      <c r="F322" s="126"/>
      <c r="G322" s="125"/>
      <c r="H322" s="125"/>
      <c r="I322" s="125"/>
      <c r="J322" s="125"/>
      <c r="K322" s="125"/>
      <c r="L322" s="125"/>
      <c r="M322" s="125"/>
      <c r="N322" s="129"/>
      <c r="O322" s="125"/>
      <c r="P322" s="173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spans="1:26" ht="15.75" customHeight="1">
      <c r="A323" s="125"/>
      <c r="B323" s="125"/>
      <c r="C323" s="125"/>
      <c r="D323" s="125"/>
      <c r="E323" s="125"/>
      <c r="F323" s="126"/>
      <c r="G323" s="125"/>
      <c r="H323" s="125"/>
      <c r="I323" s="125"/>
      <c r="J323" s="125"/>
      <c r="K323" s="125"/>
      <c r="L323" s="125"/>
      <c r="M323" s="125"/>
      <c r="N323" s="129"/>
      <c r="O323" s="125"/>
      <c r="P323" s="173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spans="1:26" ht="15.75" customHeight="1">
      <c r="A324" s="125"/>
      <c r="B324" s="125"/>
      <c r="C324" s="125"/>
      <c r="D324" s="125"/>
      <c r="E324" s="125"/>
      <c r="F324" s="126"/>
      <c r="G324" s="125"/>
      <c r="H324" s="125"/>
      <c r="I324" s="125"/>
      <c r="J324" s="125"/>
      <c r="K324" s="125"/>
      <c r="L324" s="125"/>
      <c r="M324" s="125"/>
      <c r="N324" s="129"/>
      <c r="O324" s="125"/>
      <c r="P324" s="173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spans="1:26" ht="15.75" customHeight="1">
      <c r="A325" s="125"/>
      <c r="B325" s="125"/>
      <c r="C325" s="125"/>
      <c r="D325" s="125"/>
      <c r="E325" s="125"/>
      <c r="F325" s="126"/>
      <c r="G325" s="125"/>
      <c r="H325" s="125"/>
      <c r="I325" s="125"/>
      <c r="J325" s="125"/>
      <c r="K325" s="125"/>
      <c r="L325" s="125"/>
      <c r="M325" s="125"/>
      <c r="N325" s="129"/>
      <c r="O325" s="125"/>
      <c r="P325" s="173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spans="1:26" ht="15.75" customHeight="1">
      <c r="A326" s="125"/>
      <c r="B326" s="125"/>
      <c r="C326" s="125"/>
      <c r="D326" s="125"/>
      <c r="E326" s="125"/>
      <c r="F326" s="126"/>
      <c r="G326" s="125"/>
      <c r="H326" s="125"/>
      <c r="I326" s="125"/>
      <c r="J326" s="125"/>
      <c r="K326" s="125"/>
      <c r="L326" s="125"/>
      <c r="M326" s="125"/>
      <c r="N326" s="129"/>
      <c r="O326" s="125"/>
      <c r="P326" s="173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spans="1:26" ht="15.75" customHeight="1">
      <c r="A327" s="125"/>
      <c r="B327" s="125"/>
      <c r="C327" s="125"/>
      <c r="D327" s="125"/>
      <c r="E327" s="125"/>
      <c r="F327" s="126"/>
      <c r="G327" s="125"/>
      <c r="H327" s="125"/>
      <c r="I327" s="125"/>
      <c r="J327" s="125"/>
      <c r="K327" s="125"/>
      <c r="L327" s="125"/>
      <c r="M327" s="125"/>
      <c r="N327" s="129"/>
      <c r="O327" s="125"/>
      <c r="P327" s="173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spans="1:26" ht="15.75" customHeight="1">
      <c r="A328" s="125"/>
      <c r="B328" s="125"/>
      <c r="C328" s="125"/>
      <c r="D328" s="125"/>
      <c r="E328" s="125"/>
      <c r="F328" s="126"/>
      <c r="G328" s="125"/>
      <c r="H328" s="125"/>
      <c r="I328" s="125"/>
      <c r="J328" s="125"/>
      <c r="K328" s="125"/>
      <c r="L328" s="125"/>
      <c r="M328" s="125"/>
      <c r="N328" s="129"/>
      <c r="O328" s="125"/>
      <c r="P328" s="173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spans="1:26" ht="15.75" customHeight="1">
      <c r="A329" s="125"/>
      <c r="B329" s="125"/>
      <c r="C329" s="125"/>
      <c r="D329" s="125"/>
      <c r="E329" s="125"/>
      <c r="F329" s="126"/>
      <c r="G329" s="125"/>
      <c r="H329" s="125"/>
      <c r="I329" s="125"/>
      <c r="J329" s="125"/>
      <c r="K329" s="125"/>
      <c r="L329" s="125"/>
      <c r="M329" s="125"/>
      <c r="N329" s="129"/>
      <c r="O329" s="125"/>
      <c r="P329" s="173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spans="1:26" ht="15.75" customHeight="1">
      <c r="A330" s="125"/>
      <c r="B330" s="125"/>
      <c r="C330" s="125"/>
      <c r="D330" s="125"/>
      <c r="E330" s="125"/>
      <c r="F330" s="126"/>
      <c r="G330" s="125"/>
      <c r="H330" s="125"/>
      <c r="I330" s="125"/>
      <c r="J330" s="125"/>
      <c r="K330" s="125"/>
      <c r="L330" s="125"/>
      <c r="M330" s="125"/>
      <c r="N330" s="129"/>
      <c r="O330" s="125"/>
      <c r="P330" s="173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spans="1:26" ht="15.75" customHeight="1">
      <c r="A331" s="125"/>
      <c r="B331" s="125"/>
      <c r="C331" s="125"/>
      <c r="D331" s="125"/>
      <c r="E331" s="125"/>
      <c r="F331" s="126"/>
      <c r="G331" s="125"/>
      <c r="H331" s="125"/>
      <c r="I331" s="125"/>
      <c r="J331" s="125"/>
      <c r="K331" s="125"/>
      <c r="L331" s="125"/>
      <c r="M331" s="125"/>
      <c r="N331" s="129"/>
      <c r="O331" s="125"/>
      <c r="P331" s="173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spans="1:26" ht="15.75" customHeight="1">
      <c r="A332" s="125"/>
      <c r="B332" s="125"/>
      <c r="C332" s="125"/>
      <c r="D332" s="125"/>
      <c r="E332" s="125"/>
      <c r="F332" s="126"/>
      <c r="G332" s="125"/>
      <c r="H332" s="125"/>
      <c r="I332" s="125"/>
      <c r="J332" s="125"/>
      <c r="K332" s="125"/>
      <c r="L332" s="125"/>
      <c r="M332" s="125"/>
      <c r="N332" s="129"/>
      <c r="O332" s="125"/>
      <c r="P332" s="173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spans="1:26" ht="15.75" customHeight="1">
      <c r="A333" s="125"/>
      <c r="B333" s="125"/>
      <c r="C333" s="125"/>
      <c r="D333" s="125"/>
      <c r="E333" s="125"/>
      <c r="F333" s="126"/>
      <c r="G333" s="125"/>
      <c r="H333" s="125"/>
      <c r="I333" s="125"/>
      <c r="J333" s="125"/>
      <c r="K333" s="125"/>
      <c r="L333" s="125"/>
      <c r="M333" s="125"/>
      <c r="N333" s="129"/>
      <c r="O333" s="125"/>
      <c r="P333" s="173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spans="1:26" ht="15.75" customHeight="1">
      <c r="A334" s="125"/>
      <c r="B334" s="125"/>
      <c r="C334" s="125"/>
      <c r="D334" s="125"/>
      <c r="E334" s="125"/>
      <c r="F334" s="126"/>
      <c r="G334" s="125"/>
      <c r="H334" s="125"/>
      <c r="I334" s="125"/>
      <c r="J334" s="125"/>
      <c r="K334" s="125"/>
      <c r="L334" s="125"/>
      <c r="M334" s="125"/>
      <c r="N334" s="129"/>
      <c r="O334" s="125"/>
      <c r="P334" s="173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spans="1:26" ht="15.75" customHeight="1">
      <c r="A335" s="125"/>
      <c r="B335" s="125"/>
      <c r="C335" s="125"/>
      <c r="D335" s="125"/>
      <c r="E335" s="125"/>
      <c r="F335" s="126"/>
      <c r="G335" s="125"/>
      <c r="H335" s="125"/>
      <c r="I335" s="125"/>
      <c r="J335" s="125"/>
      <c r="K335" s="125"/>
      <c r="L335" s="125"/>
      <c r="M335" s="125"/>
      <c r="N335" s="129"/>
      <c r="O335" s="125"/>
      <c r="P335" s="173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spans="1:26" ht="15.75" customHeight="1">
      <c r="A336" s="125"/>
      <c r="B336" s="125"/>
      <c r="C336" s="125"/>
      <c r="D336" s="125"/>
      <c r="E336" s="125"/>
      <c r="F336" s="126"/>
      <c r="G336" s="125"/>
      <c r="H336" s="125"/>
      <c r="I336" s="125"/>
      <c r="J336" s="125"/>
      <c r="K336" s="125"/>
      <c r="L336" s="125"/>
      <c r="M336" s="125"/>
      <c r="N336" s="129"/>
      <c r="O336" s="125"/>
      <c r="P336" s="173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spans="1:26" ht="15.75" customHeight="1">
      <c r="A337" s="125"/>
      <c r="B337" s="125"/>
      <c r="C337" s="125"/>
      <c r="D337" s="125"/>
      <c r="E337" s="125"/>
      <c r="F337" s="126"/>
      <c r="G337" s="125"/>
      <c r="H337" s="125"/>
      <c r="I337" s="125"/>
      <c r="J337" s="125"/>
      <c r="K337" s="125"/>
      <c r="L337" s="125"/>
      <c r="M337" s="125"/>
      <c r="N337" s="129"/>
      <c r="O337" s="125"/>
      <c r="P337" s="173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spans="1:26" ht="15.75" customHeight="1">
      <c r="A338" s="125"/>
      <c r="B338" s="125"/>
      <c r="C338" s="125"/>
      <c r="D338" s="125"/>
      <c r="E338" s="125"/>
      <c r="F338" s="126"/>
      <c r="G338" s="125"/>
      <c r="H338" s="125"/>
      <c r="I338" s="125"/>
      <c r="J338" s="125"/>
      <c r="K338" s="125"/>
      <c r="L338" s="125"/>
      <c r="M338" s="125"/>
      <c r="N338" s="129"/>
      <c r="O338" s="125"/>
      <c r="P338" s="173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spans="1:26" ht="15.75" customHeight="1">
      <c r="A339" s="125"/>
      <c r="B339" s="125"/>
      <c r="C339" s="125"/>
      <c r="D339" s="125"/>
      <c r="E339" s="125"/>
      <c r="F339" s="126"/>
      <c r="G339" s="125"/>
      <c r="H339" s="125"/>
      <c r="I339" s="125"/>
      <c r="J339" s="125"/>
      <c r="K339" s="125"/>
      <c r="L339" s="125"/>
      <c r="M339" s="125"/>
      <c r="N339" s="129"/>
      <c r="O339" s="125"/>
      <c r="P339" s="173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spans="1:26" ht="15.75" customHeight="1">
      <c r="A340" s="125"/>
      <c r="B340" s="125"/>
      <c r="C340" s="125"/>
      <c r="D340" s="125"/>
      <c r="E340" s="125"/>
      <c r="F340" s="126"/>
      <c r="G340" s="125"/>
      <c r="H340" s="125"/>
      <c r="I340" s="125"/>
      <c r="J340" s="125"/>
      <c r="K340" s="125"/>
      <c r="L340" s="125"/>
      <c r="M340" s="125"/>
      <c r="N340" s="129"/>
      <c r="O340" s="125"/>
      <c r="P340" s="173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spans="1:26" ht="15.75" customHeight="1">
      <c r="A341" s="125"/>
      <c r="B341" s="125"/>
      <c r="C341" s="125"/>
      <c r="D341" s="125"/>
      <c r="E341" s="125"/>
      <c r="F341" s="126"/>
      <c r="G341" s="125"/>
      <c r="H341" s="125"/>
      <c r="I341" s="125"/>
      <c r="J341" s="125"/>
      <c r="K341" s="125"/>
      <c r="L341" s="125"/>
      <c r="M341" s="125"/>
      <c r="N341" s="129"/>
      <c r="O341" s="125"/>
      <c r="P341" s="173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spans="1:26" ht="15.75" customHeight="1">
      <c r="A342" s="125"/>
      <c r="B342" s="125"/>
      <c r="C342" s="125"/>
      <c r="D342" s="125"/>
      <c r="E342" s="125"/>
      <c r="F342" s="126"/>
      <c r="G342" s="125"/>
      <c r="H342" s="125"/>
      <c r="I342" s="125"/>
      <c r="J342" s="125"/>
      <c r="K342" s="125"/>
      <c r="L342" s="125"/>
      <c r="M342" s="125"/>
      <c r="N342" s="129"/>
      <c r="O342" s="125"/>
      <c r="P342" s="173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spans="1:26" ht="15.75" customHeight="1">
      <c r="A343" s="125"/>
      <c r="B343" s="125"/>
      <c r="C343" s="125"/>
      <c r="D343" s="125"/>
      <c r="E343" s="125"/>
      <c r="F343" s="126"/>
      <c r="G343" s="125"/>
      <c r="H343" s="125"/>
      <c r="I343" s="125"/>
      <c r="J343" s="125"/>
      <c r="K343" s="125"/>
      <c r="L343" s="125"/>
      <c r="M343" s="125"/>
      <c r="N343" s="129"/>
      <c r="O343" s="125"/>
      <c r="P343" s="173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spans="1:26" ht="15.75" customHeight="1">
      <c r="A344" s="125"/>
      <c r="B344" s="125"/>
      <c r="C344" s="125"/>
      <c r="D344" s="125"/>
      <c r="E344" s="125"/>
      <c r="F344" s="126"/>
      <c r="G344" s="125"/>
      <c r="H344" s="125"/>
      <c r="I344" s="125"/>
      <c r="J344" s="125"/>
      <c r="K344" s="125"/>
      <c r="L344" s="125"/>
      <c r="M344" s="125"/>
      <c r="N344" s="129"/>
      <c r="O344" s="125"/>
      <c r="P344" s="173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spans="1:26" ht="15.75" customHeight="1">
      <c r="A345" s="125"/>
      <c r="B345" s="125"/>
      <c r="C345" s="125"/>
      <c r="D345" s="125"/>
      <c r="E345" s="125"/>
      <c r="F345" s="126"/>
      <c r="G345" s="125"/>
      <c r="H345" s="125"/>
      <c r="I345" s="125"/>
      <c r="J345" s="125"/>
      <c r="K345" s="125"/>
      <c r="L345" s="125"/>
      <c r="M345" s="125"/>
      <c r="N345" s="129"/>
      <c r="O345" s="125"/>
      <c r="P345" s="173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spans="1:26" ht="15.75" customHeight="1">
      <c r="A346" s="125"/>
      <c r="B346" s="125"/>
      <c r="C346" s="125"/>
      <c r="D346" s="125"/>
      <c r="E346" s="125"/>
      <c r="F346" s="126"/>
      <c r="G346" s="125"/>
      <c r="H346" s="125"/>
      <c r="I346" s="125"/>
      <c r="J346" s="125"/>
      <c r="K346" s="125"/>
      <c r="L346" s="125"/>
      <c r="M346" s="125"/>
      <c r="N346" s="129"/>
      <c r="O346" s="125"/>
      <c r="P346" s="173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spans="1:26" ht="15.75" customHeight="1">
      <c r="A347" s="125"/>
      <c r="B347" s="125"/>
      <c r="C347" s="125"/>
      <c r="D347" s="125"/>
      <c r="E347" s="125"/>
      <c r="F347" s="126"/>
      <c r="G347" s="125"/>
      <c r="H347" s="125"/>
      <c r="I347" s="125"/>
      <c r="J347" s="125"/>
      <c r="K347" s="125"/>
      <c r="L347" s="125"/>
      <c r="M347" s="125"/>
      <c r="N347" s="129"/>
      <c r="O347" s="125"/>
      <c r="P347" s="173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spans="1:26" ht="15.75" customHeight="1">
      <c r="A348" s="125"/>
      <c r="B348" s="125"/>
      <c r="C348" s="125"/>
      <c r="D348" s="125"/>
      <c r="E348" s="125"/>
      <c r="F348" s="126"/>
      <c r="G348" s="125"/>
      <c r="H348" s="125"/>
      <c r="I348" s="125"/>
      <c r="J348" s="125"/>
      <c r="K348" s="125"/>
      <c r="L348" s="125"/>
      <c r="M348" s="125"/>
      <c r="N348" s="129"/>
      <c r="O348" s="125"/>
      <c r="P348" s="173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spans="1:26" ht="15.75" customHeight="1">
      <c r="A349" s="125"/>
      <c r="B349" s="125"/>
      <c r="C349" s="125"/>
      <c r="D349" s="125"/>
      <c r="E349" s="125"/>
      <c r="F349" s="126"/>
      <c r="G349" s="125"/>
      <c r="H349" s="125"/>
      <c r="I349" s="125"/>
      <c r="J349" s="125"/>
      <c r="K349" s="125"/>
      <c r="L349" s="125"/>
      <c r="M349" s="125"/>
      <c r="N349" s="129"/>
      <c r="O349" s="125"/>
      <c r="P349" s="173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spans="1:26" ht="15.75" customHeight="1">
      <c r="A350" s="125"/>
      <c r="B350" s="125"/>
      <c r="C350" s="125"/>
      <c r="D350" s="125"/>
      <c r="E350" s="125"/>
      <c r="F350" s="126"/>
      <c r="G350" s="125"/>
      <c r="H350" s="125"/>
      <c r="I350" s="125"/>
      <c r="J350" s="125"/>
      <c r="K350" s="125"/>
      <c r="L350" s="125"/>
      <c r="M350" s="125"/>
      <c r="N350" s="129"/>
      <c r="O350" s="125"/>
      <c r="P350" s="173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spans="1:26" ht="15.75" customHeight="1">
      <c r="A351" s="125"/>
      <c r="B351" s="125"/>
      <c r="C351" s="125"/>
      <c r="D351" s="125"/>
      <c r="E351" s="125"/>
      <c r="F351" s="126"/>
      <c r="G351" s="125"/>
      <c r="H351" s="125"/>
      <c r="I351" s="125"/>
      <c r="J351" s="125"/>
      <c r="K351" s="125"/>
      <c r="L351" s="125"/>
      <c r="M351" s="125"/>
      <c r="N351" s="129"/>
      <c r="O351" s="125"/>
      <c r="P351" s="173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spans="1:26" ht="15.75" customHeight="1">
      <c r="A352" s="125"/>
      <c r="B352" s="125"/>
      <c r="C352" s="125"/>
      <c r="D352" s="125"/>
      <c r="E352" s="125"/>
      <c r="F352" s="126"/>
      <c r="G352" s="125"/>
      <c r="H352" s="125"/>
      <c r="I352" s="125"/>
      <c r="J352" s="125"/>
      <c r="K352" s="125"/>
      <c r="L352" s="125"/>
      <c r="M352" s="125"/>
      <c r="N352" s="129"/>
      <c r="O352" s="125"/>
      <c r="P352" s="173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spans="1:26" ht="15.75" customHeight="1">
      <c r="A353" s="125"/>
      <c r="B353" s="125"/>
      <c r="C353" s="125"/>
      <c r="D353" s="125"/>
      <c r="E353" s="125"/>
      <c r="F353" s="126"/>
      <c r="G353" s="125"/>
      <c r="H353" s="125"/>
      <c r="I353" s="125"/>
      <c r="J353" s="125"/>
      <c r="K353" s="125"/>
      <c r="L353" s="125"/>
      <c r="M353" s="125"/>
      <c r="N353" s="129"/>
      <c r="O353" s="125"/>
      <c r="P353" s="173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spans="1:26" ht="15.75" customHeight="1">
      <c r="A354" s="125"/>
      <c r="B354" s="125"/>
      <c r="C354" s="125"/>
      <c r="D354" s="125"/>
      <c r="E354" s="125"/>
      <c r="F354" s="126"/>
      <c r="G354" s="125"/>
      <c r="H354" s="125"/>
      <c r="I354" s="125"/>
      <c r="J354" s="125"/>
      <c r="K354" s="125"/>
      <c r="L354" s="125"/>
      <c r="M354" s="125"/>
      <c r="N354" s="129"/>
      <c r="O354" s="125"/>
      <c r="P354" s="173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spans="1:26" ht="15.75" customHeight="1">
      <c r="A355" s="125"/>
      <c r="B355" s="125"/>
      <c r="C355" s="125"/>
      <c r="D355" s="125"/>
      <c r="E355" s="125"/>
      <c r="F355" s="126"/>
      <c r="G355" s="125"/>
      <c r="H355" s="125"/>
      <c r="I355" s="125"/>
      <c r="J355" s="125"/>
      <c r="K355" s="125"/>
      <c r="L355" s="125"/>
      <c r="M355" s="125"/>
      <c r="N355" s="129"/>
      <c r="O355" s="125"/>
      <c r="P355" s="173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spans="1:26" ht="15.75" customHeight="1">
      <c r="A356" s="125"/>
      <c r="B356" s="125"/>
      <c r="C356" s="125"/>
      <c r="D356" s="125"/>
      <c r="E356" s="125"/>
      <c r="F356" s="126"/>
      <c r="G356" s="125"/>
      <c r="H356" s="125"/>
      <c r="I356" s="125"/>
      <c r="J356" s="125"/>
      <c r="K356" s="125"/>
      <c r="L356" s="125"/>
      <c r="M356" s="125"/>
      <c r="N356" s="129"/>
      <c r="O356" s="125"/>
      <c r="P356" s="173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spans="1:26" ht="15.75" customHeight="1">
      <c r="A357" s="125"/>
      <c r="B357" s="125"/>
      <c r="C357" s="125"/>
      <c r="D357" s="125"/>
      <c r="E357" s="125"/>
      <c r="F357" s="126"/>
      <c r="G357" s="125"/>
      <c r="H357" s="125"/>
      <c r="I357" s="125"/>
      <c r="J357" s="125"/>
      <c r="K357" s="125"/>
      <c r="L357" s="125"/>
      <c r="M357" s="125"/>
      <c r="N357" s="129"/>
      <c r="O357" s="125"/>
      <c r="P357" s="173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spans="1:26" ht="15.75" customHeight="1">
      <c r="A358" s="125"/>
      <c r="B358" s="125"/>
      <c r="C358" s="125"/>
      <c r="D358" s="125"/>
      <c r="E358" s="125"/>
      <c r="F358" s="126"/>
      <c r="G358" s="125"/>
      <c r="H358" s="125"/>
      <c r="I358" s="125"/>
      <c r="J358" s="125"/>
      <c r="K358" s="125"/>
      <c r="L358" s="125"/>
      <c r="M358" s="125"/>
      <c r="N358" s="129"/>
      <c r="O358" s="125"/>
      <c r="P358" s="173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spans="1:26" ht="15.75" customHeight="1">
      <c r="A359" s="125"/>
      <c r="B359" s="125"/>
      <c r="C359" s="125"/>
      <c r="D359" s="125"/>
      <c r="E359" s="125"/>
      <c r="F359" s="126"/>
      <c r="G359" s="125"/>
      <c r="H359" s="125"/>
      <c r="I359" s="125"/>
      <c r="J359" s="125"/>
      <c r="K359" s="125"/>
      <c r="L359" s="125"/>
      <c r="M359" s="125"/>
      <c r="N359" s="129"/>
      <c r="O359" s="125"/>
      <c r="P359" s="173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spans="1:26" ht="15.75" customHeight="1">
      <c r="A360" s="125"/>
      <c r="B360" s="125"/>
      <c r="C360" s="125"/>
      <c r="D360" s="125"/>
      <c r="E360" s="125"/>
      <c r="F360" s="126"/>
      <c r="G360" s="125"/>
      <c r="H360" s="125"/>
      <c r="I360" s="125"/>
      <c r="J360" s="125"/>
      <c r="K360" s="125"/>
      <c r="L360" s="125"/>
      <c r="M360" s="125"/>
      <c r="N360" s="129"/>
      <c r="O360" s="125"/>
      <c r="P360" s="173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spans="1:26" ht="15.75" customHeight="1">
      <c r="A361" s="125"/>
      <c r="B361" s="125"/>
      <c r="C361" s="125"/>
      <c r="D361" s="125"/>
      <c r="E361" s="125"/>
      <c r="F361" s="126"/>
      <c r="G361" s="125"/>
      <c r="H361" s="125"/>
      <c r="I361" s="125"/>
      <c r="J361" s="125"/>
      <c r="K361" s="125"/>
      <c r="L361" s="125"/>
      <c r="M361" s="125"/>
      <c r="N361" s="129"/>
      <c r="O361" s="125"/>
      <c r="P361" s="173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spans="1:26" ht="15.75" customHeight="1">
      <c r="A362" s="125"/>
      <c r="B362" s="125"/>
      <c r="C362" s="125"/>
      <c r="D362" s="125"/>
      <c r="E362" s="125"/>
      <c r="F362" s="126"/>
      <c r="G362" s="125"/>
      <c r="H362" s="125"/>
      <c r="I362" s="125"/>
      <c r="J362" s="125"/>
      <c r="K362" s="125"/>
      <c r="L362" s="125"/>
      <c r="M362" s="125"/>
      <c r="N362" s="129"/>
      <c r="O362" s="125"/>
      <c r="P362" s="173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spans="1:26" ht="15.75" customHeight="1">
      <c r="A363" s="125"/>
      <c r="B363" s="125"/>
      <c r="C363" s="125"/>
      <c r="D363" s="125"/>
      <c r="E363" s="125"/>
      <c r="F363" s="126"/>
      <c r="G363" s="125"/>
      <c r="H363" s="125"/>
      <c r="I363" s="125"/>
      <c r="J363" s="125"/>
      <c r="K363" s="125"/>
      <c r="L363" s="125"/>
      <c r="M363" s="125"/>
      <c r="N363" s="129"/>
      <c r="O363" s="125"/>
      <c r="P363" s="173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spans="1:26" ht="15.75" customHeight="1">
      <c r="A364" s="125"/>
      <c r="B364" s="125"/>
      <c r="C364" s="125"/>
      <c r="D364" s="125"/>
      <c r="E364" s="125"/>
      <c r="F364" s="126"/>
      <c r="G364" s="125"/>
      <c r="H364" s="125"/>
      <c r="I364" s="125"/>
      <c r="J364" s="125"/>
      <c r="K364" s="125"/>
      <c r="L364" s="125"/>
      <c r="M364" s="125"/>
      <c r="N364" s="129"/>
      <c r="O364" s="125"/>
      <c r="P364" s="173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spans="1:26" ht="15.75" customHeight="1">
      <c r="A365" s="125"/>
      <c r="B365" s="125"/>
      <c r="C365" s="125"/>
      <c r="D365" s="125"/>
      <c r="E365" s="125"/>
      <c r="F365" s="126"/>
      <c r="G365" s="125"/>
      <c r="H365" s="125"/>
      <c r="I365" s="125"/>
      <c r="J365" s="125"/>
      <c r="K365" s="125"/>
      <c r="L365" s="125"/>
      <c r="M365" s="125"/>
      <c r="N365" s="129"/>
      <c r="O365" s="125"/>
      <c r="P365" s="173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spans="1:26" ht="15.75" customHeight="1">
      <c r="A366" s="125"/>
      <c r="B366" s="125"/>
      <c r="C366" s="125"/>
      <c r="D366" s="125"/>
      <c r="E366" s="125"/>
      <c r="F366" s="126"/>
      <c r="G366" s="125"/>
      <c r="H366" s="125"/>
      <c r="I366" s="125"/>
      <c r="J366" s="125"/>
      <c r="K366" s="125"/>
      <c r="L366" s="125"/>
      <c r="M366" s="125"/>
      <c r="N366" s="129"/>
      <c r="O366" s="125"/>
      <c r="P366" s="173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6" ht="15.75" customHeight="1">
      <c r="A367" s="125"/>
      <c r="B367" s="125"/>
      <c r="C367" s="125"/>
      <c r="D367" s="125"/>
      <c r="E367" s="125"/>
      <c r="F367" s="126"/>
      <c r="G367" s="125"/>
      <c r="H367" s="125"/>
      <c r="I367" s="125"/>
      <c r="J367" s="125"/>
      <c r="K367" s="125"/>
      <c r="L367" s="125"/>
      <c r="M367" s="125"/>
      <c r="N367" s="129"/>
      <c r="O367" s="125"/>
      <c r="P367" s="173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spans="1:26" ht="15.75" customHeight="1">
      <c r="A368" s="125"/>
      <c r="B368" s="125"/>
      <c r="C368" s="125"/>
      <c r="D368" s="125"/>
      <c r="E368" s="125"/>
      <c r="F368" s="126"/>
      <c r="G368" s="125"/>
      <c r="H368" s="125"/>
      <c r="I368" s="125"/>
      <c r="J368" s="125"/>
      <c r="K368" s="125"/>
      <c r="L368" s="125"/>
      <c r="M368" s="125"/>
      <c r="N368" s="129"/>
      <c r="O368" s="125"/>
      <c r="P368" s="173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spans="1:26" ht="15.75" customHeight="1">
      <c r="A369" s="125"/>
      <c r="B369" s="125"/>
      <c r="C369" s="125"/>
      <c r="D369" s="125"/>
      <c r="E369" s="125"/>
      <c r="F369" s="126"/>
      <c r="G369" s="125"/>
      <c r="H369" s="125"/>
      <c r="I369" s="125"/>
      <c r="J369" s="125"/>
      <c r="K369" s="125"/>
      <c r="L369" s="125"/>
      <c r="M369" s="125"/>
      <c r="N369" s="129"/>
      <c r="O369" s="125"/>
      <c r="P369" s="173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spans="1:26" ht="15.75" customHeight="1">
      <c r="A370" s="125"/>
      <c r="B370" s="125"/>
      <c r="C370" s="125"/>
      <c r="D370" s="125"/>
      <c r="E370" s="125"/>
      <c r="F370" s="126"/>
      <c r="G370" s="125"/>
      <c r="H370" s="125"/>
      <c r="I370" s="125"/>
      <c r="J370" s="125"/>
      <c r="K370" s="125"/>
      <c r="L370" s="125"/>
      <c r="M370" s="125"/>
      <c r="N370" s="129"/>
      <c r="O370" s="125"/>
      <c r="P370" s="173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spans="1:26" ht="15.75" customHeight="1">
      <c r="A371" s="125"/>
      <c r="B371" s="125"/>
      <c r="C371" s="125"/>
      <c r="D371" s="125"/>
      <c r="E371" s="125"/>
      <c r="F371" s="126"/>
      <c r="G371" s="125"/>
      <c r="H371" s="125"/>
      <c r="I371" s="125"/>
      <c r="J371" s="125"/>
      <c r="K371" s="125"/>
      <c r="L371" s="125"/>
      <c r="M371" s="125"/>
      <c r="N371" s="129"/>
      <c r="O371" s="125"/>
      <c r="P371" s="173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spans="1:26" ht="15.75" customHeight="1">
      <c r="A372" s="125"/>
      <c r="B372" s="125"/>
      <c r="C372" s="125"/>
      <c r="D372" s="125"/>
      <c r="E372" s="125"/>
      <c r="F372" s="126"/>
      <c r="G372" s="125"/>
      <c r="H372" s="125"/>
      <c r="I372" s="125"/>
      <c r="J372" s="125"/>
      <c r="K372" s="125"/>
      <c r="L372" s="125"/>
      <c r="M372" s="125"/>
      <c r="N372" s="129"/>
      <c r="O372" s="125"/>
      <c r="P372" s="173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spans="1:26" ht="15.75" customHeight="1">
      <c r="A373" s="125"/>
      <c r="B373" s="125"/>
      <c r="C373" s="125"/>
      <c r="D373" s="125"/>
      <c r="E373" s="125"/>
      <c r="F373" s="126"/>
      <c r="G373" s="125"/>
      <c r="H373" s="125"/>
      <c r="I373" s="125"/>
      <c r="J373" s="125"/>
      <c r="K373" s="125"/>
      <c r="L373" s="125"/>
      <c r="M373" s="125"/>
      <c r="N373" s="129"/>
      <c r="O373" s="125"/>
      <c r="P373" s="173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spans="1:26" ht="15.75" customHeight="1">
      <c r="A374" s="125"/>
      <c r="B374" s="125"/>
      <c r="C374" s="125"/>
      <c r="D374" s="125"/>
      <c r="E374" s="125"/>
      <c r="F374" s="126"/>
      <c r="G374" s="125"/>
      <c r="H374" s="125"/>
      <c r="I374" s="125"/>
      <c r="J374" s="125"/>
      <c r="K374" s="125"/>
      <c r="L374" s="125"/>
      <c r="M374" s="125"/>
      <c r="N374" s="129"/>
      <c r="O374" s="125"/>
      <c r="P374" s="173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spans="1:26" ht="15.75" customHeight="1">
      <c r="A375" s="125"/>
      <c r="B375" s="125"/>
      <c r="C375" s="125"/>
      <c r="D375" s="125"/>
      <c r="E375" s="125"/>
      <c r="F375" s="126"/>
      <c r="G375" s="125"/>
      <c r="H375" s="125"/>
      <c r="I375" s="125"/>
      <c r="J375" s="125"/>
      <c r="K375" s="125"/>
      <c r="L375" s="125"/>
      <c r="M375" s="125"/>
      <c r="N375" s="129"/>
      <c r="O375" s="125"/>
      <c r="P375" s="173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spans="1:26" ht="15.75" customHeight="1">
      <c r="A376" s="125"/>
      <c r="B376" s="125"/>
      <c r="C376" s="125"/>
      <c r="D376" s="125"/>
      <c r="E376" s="125"/>
      <c r="F376" s="126"/>
      <c r="G376" s="125"/>
      <c r="H376" s="125"/>
      <c r="I376" s="125"/>
      <c r="J376" s="125"/>
      <c r="K376" s="125"/>
      <c r="L376" s="125"/>
      <c r="M376" s="125"/>
      <c r="N376" s="129"/>
      <c r="O376" s="125"/>
      <c r="P376" s="173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spans="1:26" ht="15.75" customHeight="1">
      <c r="A377" s="125"/>
      <c r="B377" s="125"/>
      <c r="C377" s="125"/>
      <c r="D377" s="125"/>
      <c r="E377" s="125"/>
      <c r="F377" s="126"/>
      <c r="G377" s="125"/>
      <c r="H377" s="125"/>
      <c r="I377" s="125"/>
      <c r="J377" s="125"/>
      <c r="K377" s="125"/>
      <c r="L377" s="125"/>
      <c r="M377" s="125"/>
      <c r="N377" s="129"/>
      <c r="O377" s="125"/>
      <c r="P377" s="173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spans="1:26" ht="15.75" customHeight="1">
      <c r="A378" s="125"/>
      <c r="B378" s="125"/>
      <c r="C378" s="125"/>
      <c r="D378" s="125"/>
      <c r="E378" s="125"/>
      <c r="F378" s="126"/>
      <c r="G378" s="125"/>
      <c r="H378" s="125"/>
      <c r="I378" s="125"/>
      <c r="J378" s="125"/>
      <c r="K378" s="125"/>
      <c r="L378" s="125"/>
      <c r="M378" s="125"/>
      <c r="N378" s="129"/>
      <c r="O378" s="125"/>
      <c r="P378" s="173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spans="1:26" ht="15.75" customHeight="1">
      <c r="A379" s="125"/>
      <c r="B379" s="125"/>
      <c r="C379" s="125"/>
      <c r="D379" s="125"/>
      <c r="E379" s="125"/>
      <c r="F379" s="126"/>
      <c r="G379" s="125"/>
      <c r="H379" s="125"/>
      <c r="I379" s="125"/>
      <c r="J379" s="125"/>
      <c r="K379" s="125"/>
      <c r="L379" s="125"/>
      <c r="M379" s="125"/>
      <c r="N379" s="129"/>
      <c r="O379" s="125"/>
      <c r="P379" s="173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spans="1:26" ht="15.75" customHeight="1">
      <c r="A380" s="125"/>
      <c r="B380" s="125"/>
      <c r="C380" s="125"/>
      <c r="D380" s="125"/>
      <c r="E380" s="125"/>
      <c r="F380" s="126"/>
      <c r="G380" s="125"/>
      <c r="H380" s="125"/>
      <c r="I380" s="125"/>
      <c r="J380" s="125"/>
      <c r="K380" s="125"/>
      <c r="L380" s="125"/>
      <c r="M380" s="125"/>
      <c r="N380" s="129"/>
      <c r="O380" s="125"/>
      <c r="P380" s="173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spans="1:26" ht="15.75" customHeight="1">
      <c r="A381" s="125"/>
      <c r="B381" s="125"/>
      <c r="C381" s="125"/>
      <c r="D381" s="125"/>
      <c r="E381" s="125"/>
      <c r="F381" s="126"/>
      <c r="G381" s="125"/>
      <c r="H381" s="125"/>
      <c r="I381" s="125"/>
      <c r="J381" s="125"/>
      <c r="K381" s="125"/>
      <c r="L381" s="125"/>
      <c r="M381" s="125"/>
      <c r="N381" s="129"/>
      <c r="O381" s="125"/>
      <c r="P381" s="173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spans="1:26" ht="15.75" customHeight="1">
      <c r="A382" s="125"/>
      <c r="B382" s="125"/>
      <c r="C382" s="125"/>
      <c r="D382" s="125"/>
      <c r="E382" s="125"/>
      <c r="F382" s="126"/>
      <c r="G382" s="125"/>
      <c r="H382" s="125"/>
      <c r="I382" s="125"/>
      <c r="J382" s="125"/>
      <c r="K382" s="125"/>
      <c r="L382" s="125"/>
      <c r="M382" s="125"/>
      <c r="N382" s="129"/>
      <c r="O382" s="125"/>
      <c r="P382" s="173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spans="1:26" ht="15.75" customHeight="1">
      <c r="A383" s="125"/>
      <c r="B383" s="125"/>
      <c r="C383" s="125"/>
      <c r="D383" s="125"/>
      <c r="E383" s="125"/>
      <c r="F383" s="126"/>
      <c r="G383" s="125"/>
      <c r="H383" s="125"/>
      <c r="I383" s="125"/>
      <c r="J383" s="125"/>
      <c r="K383" s="125"/>
      <c r="L383" s="125"/>
      <c r="M383" s="125"/>
      <c r="N383" s="129"/>
      <c r="O383" s="125"/>
      <c r="P383" s="173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spans="1:26" ht="15.75" customHeight="1">
      <c r="A384" s="125"/>
      <c r="B384" s="125"/>
      <c r="C384" s="125"/>
      <c r="D384" s="125"/>
      <c r="E384" s="125"/>
      <c r="F384" s="126"/>
      <c r="G384" s="125"/>
      <c r="H384" s="125"/>
      <c r="I384" s="125"/>
      <c r="J384" s="125"/>
      <c r="K384" s="125"/>
      <c r="L384" s="125"/>
      <c r="M384" s="125"/>
      <c r="N384" s="129"/>
      <c r="O384" s="125"/>
      <c r="P384" s="173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spans="1:26" ht="15.75" customHeight="1">
      <c r="A385" s="125"/>
      <c r="B385" s="125"/>
      <c r="C385" s="125"/>
      <c r="D385" s="125"/>
      <c r="E385" s="125"/>
      <c r="F385" s="126"/>
      <c r="G385" s="125"/>
      <c r="H385" s="125"/>
      <c r="I385" s="125"/>
      <c r="J385" s="125"/>
      <c r="K385" s="125"/>
      <c r="L385" s="125"/>
      <c r="M385" s="125"/>
      <c r="N385" s="129"/>
      <c r="O385" s="125"/>
      <c r="P385" s="173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spans="1:26" ht="15.75" customHeight="1">
      <c r="A386" s="125"/>
      <c r="B386" s="125"/>
      <c r="C386" s="125"/>
      <c r="D386" s="125"/>
      <c r="E386" s="125"/>
      <c r="F386" s="126"/>
      <c r="G386" s="125"/>
      <c r="H386" s="125"/>
      <c r="I386" s="125"/>
      <c r="J386" s="125"/>
      <c r="K386" s="125"/>
      <c r="L386" s="125"/>
      <c r="M386" s="125"/>
      <c r="N386" s="129"/>
      <c r="O386" s="125"/>
      <c r="P386" s="173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spans="1:26" ht="15.75" customHeight="1">
      <c r="A387" s="125"/>
      <c r="B387" s="125"/>
      <c r="C387" s="125"/>
      <c r="D387" s="125"/>
      <c r="E387" s="125"/>
      <c r="F387" s="126"/>
      <c r="G387" s="125"/>
      <c r="H387" s="125"/>
      <c r="I387" s="125"/>
      <c r="J387" s="125"/>
      <c r="K387" s="125"/>
      <c r="L387" s="125"/>
      <c r="M387" s="125"/>
      <c r="N387" s="129"/>
      <c r="O387" s="125"/>
      <c r="P387" s="173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spans="1:26" ht="15.75" customHeight="1">
      <c r="A388" s="125"/>
      <c r="B388" s="125"/>
      <c r="C388" s="125"/>
      <c r="D388" s="125"/>
      <c r="E388" s="125"/>
      <c r="F388" s="126"/>
      <c r="G388" s="125"/>
      <c r="H388" s="125"/>
      <c r="I388" s="125"/>
      <c r="J388" s="125"/>
      <c r="K388" s="125"/>
      <c r="L388" s="125"/>
      <c r="M388" s="125"/>
      <c r="N388" s="129"/>
      <c r="O388" s="125"/>
      <c r="P388" s="173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spans="1:26" ht="15.75" customHeight="1">
      <c r="A389" s="125"/>
      <c r="B389" s="125"/>
      <c r="C389" s="125"/>
      <c r="D389" s="125"/>
      <c r="E389" s="125"/>
      <c r="F389" s="126"/>
      <c r="G389" s="125"/>
      <c r="H389" s="125"/>
      <c r="I389" s="125"/>
      <c r="J389" s="125"/>
      <c r="K389" s="125"/>
      <c r="L389" s="125"/>
      <c r="M389" s="125"/>
      <c r="N389" s="129"/>
      <c r="O389" s="125"/>
      <c r="P389" s="173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spans="1:26" ht="15.75" customHeight="1">
      <c r="A390" s="125"/>
      <c r="B390" s="125"/>
      <c r="C390" s="125"/>
      <c r="D390" s="125"/>
      <c r="E390" s="125"/>
      <c r="F390" s="126"/>
      <c r="G390" s="125"/>
      <c r="H390" s="125"/>
      <c r="I390" s="125"/>
      <c r="J390" s="125"/>
      <c r="K390" s="125"/>
      <c r="L390" s="125"/>
      <c r="M390" s="125"/>
      <c r="N390" s="129"/>
      <c r="O390" s="125"/>
      <c r="P390" s="173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spans="1:26" ht="15.75" customHeight="1">
      <c r="A391" s="125"/>
      <c r="B391" s="125"/>
      <c r="C391" s="125"/>
      <c r="D391" s="125"/>
      <c r="E391" s="125"/>
      <c r="F391" s="126"/>
      <c r="G391" s="125"/>
      <c r="H391" s="125"/>
      <c r="I391" s="125"/>
      <c r="J391" s="125"/>
      <c r="K391" s="125"/>
      <c r="L391" s="125"/>
      <c r="M391" s="125"/>
      <c r="N391" s="129"/>
      <c r="O391" s="125"/>
      <c r="P391" s="173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spans="1:26" ht="15.75" customHeight="1">
      <c r="A392" s="125"/>
      <c r="B392" s="125"/>
      <c r="C392" s="125"/>
      <c r="D392" s="125"/>
      <c r="E392" s="125"/>
      <c r="F392" s="126"/>
      <c r="G392" s="125"/>
      <c r="H392" s="125"/>
      <c r="I392" s="125"/>
      <c r="J392" s="125"/>
      <c r="K392" s="125"/>
      <c r="L392" s="125"/>
      <c r="M392" s="125"/>
      <c r="N392" s="129"/>
      <c r="O392" s="125"/>
      <c r="P392" s="173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spans="1:26" ht="15.75" customHeight="1">
      <c r="A393" s="125"/>
      <c r="B393" s="125"/>
      <c r="C393" s="125"/>
      <c r="D393" s="125"/>
      <c r="E393" s="125"/>
      <c r="F393" s="126"/>
      <c r="G393" s="125"/>
      <c r="H393" s="125"/>
      <c r="I393" s="125"/>
      <c r="J393" s="125"/>
      <c r="K393" s="125"/>
      <c r="L393" s="125"/>
      <c r="M393" s="125"/>
      <c r="N393" s="129"/>
      <c r="O393" s="125"/>
      <c r="P393" s="173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spans="1:26" ht="15.75" customHeight="1">
      <c r="A394" s="125"/>
      <c r="B394" s="125"/>
      <c r="C394" s="125"/>
      <c r="D394" s="125"/>
      <c r="E394" s="125"/>
      <c r="F394" s="126"/>
      <c r="G394" s="125"/>
      <c r="H394" s="125"/>
      <c r="I394" s="125"/>
      <c r="J394" s="125"/>
      <c r="K394" s="125"/>
      <c r="L394" s="125"/>
      <c r="M394" s="125"/>
      <c r="N394" s="129"/>
      <c r="O394" s="125"/>
      <c r="P394" s="173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spans="1:26" ht="15.75" customHeight="1">
      <c r="A395" s="125"/>
      <c r="B395" s="125"/>
      <c r="C395" s="125"/>
      <c r="D395" s="125"/>
      <c r="E395" s="125"/>
      <c r="F395" s="126"/>
      <c r="G395" s="125"/>
      <c r="H395" s="125"/>
      <c r="I395" s="125"/>
      <c r="J395" s="125"/>
      <c r="K395" s="125"/>
      <c r="L395" s="125"/>
      <c r="M395" s="125"/>
      <c r="N395" s="129"/>
      <c r="O395" s="125"/>
      <c r="P395" s="173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spans="1:26" ht="15.75" customHeight="1">
      <c r="A396" s="125"/>
      <c r="B396" s="125"/>
      <c r="C396" s="125"/>
      <c r="D396" s="125"/>
      <c r="E396" s="125"/>
      <c r="F396" s="126"/>
      <c r="G396" s="125"/>
      <c r="H396" s="125"/>
      <c r="I396" s="125"/>
      <c r="J396" s="125"/>
      <c r="K396" s="125"/>
      <c r="L396" s="125"/>
      <c r="M396" s="125"/>
      <c r="N396" s="129"/>
      <c r="O396" s="125"/>
      <c r="P396" s="173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spans="1:26" ht="15.75" customHeight="1">
      <c r="A397" s="125"/>
      <c r="B397" s="125"/>
      <c r="C397" s="125"/>
      <c r="D397" s="125"/>
      <c r="E397" s="125"/>
      <c r="F397" s="126"/>
      <c r="G397" s="125"/>
      <c r="H397" s="125"/>
      <c r="I397" s="125"/>
      <c r="J397" s="125"/>
      <c r="K397" s="125"/>
      <c r="L397" s="125"/>
      <c r="M397" s="125"/>
      <c r="N397" s="129"/>
      <c r="O397" s="125"/>
      <c r="P397" s="173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spans="1:26" ht="15.75" customHeight="1">
      <c r="A398" s="125"/>
      <c r="B398" s="125"/>
      <c r="C398" s="125"/>
      <c r="D398" s="125"/>
      <c r="E398" s="125"/>
      <c r="F398" s="126"/>
      <c r="G398" s="125"/>
      <c r="H398" s="125"/>
      <c r="I398" s="125"/>
      <c r="J398" s="125"/>
      <c r="K398" s="125"/>
      <c r="L398" s="125"/>
      <c r="M398" s="125"/>
      <c r="N398" s="129"/>
      <c r="O398" s="125"/>
      <c r="P398" s="173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spans="1:26" ht="15.75" customHeight="1">
      <c r="A399" s="125"/>
      <c r="B399" s="125"/>
      <c r="C399" s="125"/>
      <c r="D399" s="125"/>
      <c r="E399" s="125"/>
      <c r="F399" s="126"/>
      <c r="G399" s="125"/>
      <c r="H399" s="125"/>
      <c r="I399" s="125"/>
      <c r="J399" s="125"/>
      <c r="K399" s="125"/>
      <c r="L399" s="125"/>
      <c r="M399" s="125"/>
      <c r="N399" s="129"/>
      <c r="O399" s="125"/>
      <c r="P399" s="173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spans="1:26" ht="15.75" customHeight="1">
      <c r="A400" s="125"/>
      <c r="B400" s="125"/>
      <c r="C400" s="125"/>
      <c r="D400" s="125"/>
      <c r="E400" s="125"/>
      <c r="F400" s="126"/>
      <c r="G400" s="125"/>
      <c r="H400" s="125"/>
      <c r="I400" s="125"/>
      <c r="J400" s="125"/>
      <c r="K400" s="125"/>
      <c r="L400" s="125"/>
      <c r="M400" s="125"/>
      <c r="N400" s="129"/>
      <c r="O400" s="125"/>
      <c r="P400" s="173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spans="1:26" ht="15.75" customHeight="1">
      <c r="A401" s="125"/>
      <c r="B401" s="125"/>
      <c r="C401" s="125"/>
      <c r="D401" s="125"/>
      <c r="E401" s="125"/>
      <c r="F401" s="126"/>
      <c r="G401" s="125"/>
      <c r="H401" s="125"/>
      <c r="I401" s="125"/>
      <c r="J401" s="125"/>
      <c r="K401" s="125"/>
      <c r="L401" s="125"/>
      <c r="M401" s="125"/>
      <c r="N401" s="129"/>
      <c r="O401" s="125"/>
      <c r="P401" s="173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spans="1:26" ht="15.75" customHeight="1">
      <c r="A402" s="125"/>
      <c r="B402" s="125"/>
      <c r="C402" s="125"/>
      <c r="D402" s="125"/>
      <c r="E402" s="125"/>
      <c r="F402" s="126"/>
      <c r="G402" s="125"/>
      <c r="H402" s="125"/>
      <c r="I402" s="125"/>
      <c r="J402" s="125"/>
      <c r="K402" s="125"/>
      <c r="L402" s="125"/>
      <c r="M402" s="125"/>
      <c r="N402" s="129"/>
      <c r="O402" s="125"/>
      <c r="P402" s="173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spans="1:26" ht="15.75" customHeight="1">
      <c r="A403" s="125"/>
      <c r="B403" s="125"/>
      <c r="C403" s="125"/>
      <c r="D403" s="125"/>
      <c r="E403" s="125"/>
      <c r="F403" s="126"/>
      <c r="G403" s="125"/>
      <c r="H403" s="125"/>
      <c r="I403" s="125"/>
      <c r="J403" s="125"/>
      <c r="K403" s="125"/>
      <c r="L403" s="125"/>
      <c r="M403" s="125"/>
      <c r="N403" s="129"/>
      <c r="O403" s="125"/>
      <c r="P403" s="173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spans="1:26" ht="15.75" customHeight="1">
      <c r="A404" s="125"/>
      <c r="B404" s="125"/>
      <c r="C404" s="125"/>
      <c r="D404" s="125"/>
      <c r="E404" s="125"/>
      <c r="F404" s="126"/>
      <c r="G404" s="125"/>
      <c r="H404" s="125"/>
      <c r="I404" s="125"/>
      <c r="J404" s="125"/>
      <c r="K404" s="125"/>
      <c r="L404" s="125"/>
      <c r="M404" s="125"/>
      <c r="N404" s="129"/>
      <c r="O404" s="125"/>
      <c r="P404" s="173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spans="1:26" ht="15.75" customHeight="1">
      <c r="A405" s="125"/>
      <c r="B405" s="125"/>
      <c r="C405" s="125"/>
      <c r="D405" s="125"/>
      <c r="E405" s="125"/>
      <c r="F405" s="126"/>
      <c r="G405" s="125"/>
      <c r="H405" s="125"/>
      <c r="I405" s="125"/>
      <c r="J405" s="125"/>
      <c r="K405" s="125"/>
      <c r="L405" s="125"/>
      <c r="M405" s="125"/>
      <c r="N405" s="129"/>
      <c r="O405" s="125"/>
      <c r="P405" s="173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spans="1:26" ht="15.75" customHeight="1">
      <c r="A406" s="125"/>
      <c r="B406" s="125"/>
      <c r="C406" s="125"/>
      <c r="D406" s="125"/>
      <c r="E406" s="125"/>
      <c r="F406" s="126"/>
      <c r="G406" s="125"/>
      <c r="H406" s="125"/>
      <c r="I406" s="125"/>
      <c r="J406" s="125"/>
      <c r="K406" s="125"/>
      <c r="L406" s="125"/>
      <c r="M406" s="125"/>
      <c r="N406" s="129"/>
      <c r="O406" s="125"/>
      <c r="P406" s="173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spans="1:26" ht="15.75" customHeight="1">
      <c r="A407" s="125"/>
      <c r="B407" s="125"/>
      <c r="C407" s="125"/>
      <c r="D407" s="125"/>
      <c r="E407" s="125"/>
      <c r="F407" s="126"/>
      <c r="G407" s="125"/>
      <c r="H407" s="125"/>
      <c r="I407" s="125"/>
      <c r="J407" s="125"/>
      <c r="K407" s="125"/>
      <c r="L407" s="125"/>
      <c r="M407" s="125"/>
      <c r="N407" s="129"/>
      <c r="O407" s="125"/>
      <c r="P407" s="173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spans="1:26" ht="15.75" customHeight="1">
      <c r="A408" s="125"/>
      <c r="B408" s="125"/>
      <c r="C408" s="125"/>
      <c r="D408" s="125"/>
      <c r="E408" s="125"/>
      <c r="F408" s="126"/>
      <c r="G408" s="125"/>
      <c r="H408" s="125"/>
      <c r="I408" s="125"/>
      <c r="J408" s="125"/>
      <c r="K408" s="125"/>
      <c r="L408" s="125"/>
      <c r="M408" s="125"/>
      <c r="N408" s="129"/>
      <c r="O408" s="125"/>
      <c r="P408" s="173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spans="1:26" ht="15.75" customHeight="1">
      <c r="A409" s="125"/>
      <c r="B409" s="125"/>
      <c r="C409" s="125"/>
      <c r="D409" s="125"/>
      <c r="E409" s="125"/>
      <c r="F409" s="126"/>
      <c r="G409" s="125"/>
      <c r="H409" s="125"/>
      <c r="I409" s="125"/>
      <c r="J409" s="125"/>
      <c r="K409" s="125"/>
      <c r="L409" s="125"/>
      <c r="M409" s="125"/>
      <c r="N409" s="129"/>
      <c r="O409" s="125"/>
      <c r="P409" s="173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spans="1:26" ht="15.75" customHeight="1">
      <c r="A410" s="125"/>
      <c r="B410" s="125"/>
      <c r="C410" s="125"/>
      <c r="D410" s="125"/>
      <c r="E410" s="125"/>
      <c r="F410" s="126"/>
      <c r="G410" s="125"/>
      <c r="H410" s="125"/>
      <c r="I410" s="125"/>
      <c r="J410" s="125"/>
      <c r="K410" s="125"/>
      <c r="L410" s="125"/>
      <c r="M410" s="125"/>
      <c r="N410" s="129"/>
      <c r="O410" s="125"/>
      <c r="P410" s="173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spans="1:26" ht="15.75" customHeight="1">
      <c r="A411" s="125"/>
      <c r="B411" s="125"/>
      <c r="C411" s="125"/>
      <c r="D411" s="125"/>
      <c r="E411" s="125"/>
      <c r="F411" s="126"/>
      <c r="G411" s="125"/>
      <c r="H411" s="125"/>
      <c r="I411" s="125"/>
      <c r="J411" s="125"/>
      <c r="K411" s="125"/>
      <c r="L411" s="125"/>
      <c r="M411" s="125"/>
      <c r="N411" s="129"/>
      <c r="O411" s="125"/>
      <c r="P411" s="173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spans="1:26" ht="15.75" customHeight="1">
      <c r="A412" s="125"/>
      <c r="B412" s="125"/>
      <c r="C412" s="125"/>
      <c r="D412" s="125"/>
      <c r="E412" s="125"/>
      <c r="F412" s="126"/>
      <c r="G412" s="125"/>
      <c r="H412" s="125"/>
      <c r="I412" s="125"/>
      <c r="J412" s="125"/>
      <c r="K412" s="125"/>
      <c r="L412" s="125"/>
      <c r="M412" s="125"/>
      <c r="N412" s="129"/>
      <c r="O412" s="125"/>
      <c r="P412" s="173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spans="1:26" ht="15.75" customHeight="1">
      <c r="A413" s="125"/>
      <c r="B413" s="125"/>
      <c r="C413" s="125"/>
      <c r="D413" s="125"/>
      <c r="E413" s="125"/>
      <c r="F413" s="126"/>
      <c r="G413" s="125"/>
      <c r="H413" s="125"/>
      <c r="I413" s="125"/>
      <c r="J413" s="125"/>
      <c r="K413" s="125"/>
      <c r="L413" s="125"/>
      <c r="M413" s="125"/>
      <c r="N413" s="129"/>
      <c r="O413" s="125"/>
      <c r="P413" s="173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spans="1:26" ht="15.75" customHeight="1">
      <c r="A414" s="125"/>
      <c r="B414" s="125"/>
      <c r="C414" s="125"/>
      <c r="D414" s="125"/>
      <c r="E414" s="125"/>
      <c r="F414" s="126"/>
      <c r="G414" s="125"/>
      <c r="H414" s="125"/>
      <c r="I414" s="125"/>
      <c r="J414" s="125"/>
      <c r="K414" s="125"/>
      <c r="L414" s="125"/>
      <c r="M414" s="125"/>
      <c r="N414" s="129"/>
      <c r="O414" s="125"/>
      <c r="P414" s="173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spans="1:26" ht="15.75" customHeight="1">
      <c r="A415" s="125"/>
      <c r="B415" s="125"/>
      <c r="C415" s="125"/>
      <c r="D415" s="125"/>
      <c r="E415" s="125"/>
      <c r="F415" s="126"/>
      <c r="G415" s="125"/>
      <c r="H415" s="125"/>
      <c r="I415" s="125"/>
      <c r="J415" s="125"/>
      <c r="K415" s="125"/>
      <c r="L415" s="125"/>
      <c r="M415" s="125"/>
      <c r="N415" s="129"/>
      <c r="O415" s="125"/>
      <c r="P415" s="173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spans="1:26" ht="15.75" customHeight="1">
      <c r="A416" s="125"/>
      <c r="B416" s="125"/>
      <c r="C416" s="125"/>
      <c r="D416" s="125"/>
      <c r="E416" s="125"/>
      <c r="F416" s="126"/>
      <c r="G416" s="125"/>
      <c r="H416" s="125"/>
      <c r="I416" s="125"/>
      <c r="J416" s="125"/>
      <c r="K416" s="125"/>
      <c r="L416" s="125"/>
      <c r="M416" s="125"/>
      <c r="N416" s="129"/>
      <c r="O416" s="125"/>
      <c r="P416" s="173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spans="1:26" ht="15.75" customHeight="1">
      <c r="A417" s="125"/>
      <c r="B417" s="125"/>
      <c r="C417" s="125"/>
      <c r="D417" s="125"/>
      <c r="E417" s="125"/>
      <c r="F417" s="126"/>
      <c r="G417" s="125"/>
      <c r="H417" s="125"/>
      <c r="I417" s="125"/>
      <c r="J417" s="125"/>
      <c r="K417" s="125"/>
      <c r="L417" s="125"/>
      <c r="M417" s="125"/>
      <c r="N417" s="129"/>
      <c r="O417" s="125"/>
      <c r="P417" s="173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spans="1:26" ht="15.75" customHeight="1">
      <c r="A418" s="125"/>
      <c r="B418" s="125"/>
      <c r="C418" s="125"/>
      <c r="D418" s="125"/>
      <c r="E418" s="125"/>
      <c r="F418" s="126"/>
      <c r="G418" s="125"/>
      <c r="H418" s="125"/>
      <c r="I418" s="125"/>
      <c r="J418" s="125"/>
      <c r="K418" s="125"/>
      <c r="L418" s="125"/>
      <c r="M418" s="125"/>
      <c r="N418" s="129"/>
      <c r="O418" s="125"/>
      <c r="P418" s="173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spans="1:26" ht="15.75" customHeight="1">
      <c r="A419" s="125"/>
      <c r="B419" s="125"/>
      <c r="C419" s="125"/>
      <c r="D419" s="125"/>
      <c r="E419" s="125"/>
      <c r="F419" s="126"/>
      <c r="G419" s="125"/>
      <c r="H419" s="125"/>
      <c r="I419" s="125"/>
      <c r="J419" s="125"/>
      <c r="K419" s="125"/>
      <c r="L419" s="125"/>
      <c r="M419" s="125"/>
      <c r="N419" s="129"/>
      <c r="O419" s="125"/>
      <c r="P419" s="173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spans="1:26" ht="15.75" customHeight="1">
      <c r="A420" s="125"/>
      <c r="B420" s="125"/>
      <c r="C420" s="125"/>
      <c r="D420" s="125"/>
      <c r="E420" s="125"/>
      <c r="F420" s="126"/>
      <c r="G420" s="125"/>
      <c r="H420" s="125"/>
      <c r="I420" s="125"/>
      <c r="J420" s="125"/>
      <c r="K420" s="125"/>
      <c r="L420" s="125"/>
      <c r="M420" s="125"/>
      <c r="N420" s="129"/>
      <c r="O420" s="125"/>
      <c r="P420" s="173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spans="1:26" ht="15.75" customHeight="1">
      <c r="A421" s="125"/>
      <c r="B421" s="125"/>
      <c r="C421" s="125"/>
      <c r="D421" s="125"/>
      <c r="E421" s="125"/>
      <c r="F421" s="126"/>
      <c r="G421" s="125"/>
      <c r="H421" s="125"/>
      <c r="I421" s="125"/>
      <c r="J421" s="125"/>
      <c r="K421" s="125"/>
      <c r="L421" s="125"/>
      <c r="M421" s="125"/>
      <c r="N421" s="129"/>
      <c r="O421" s="125"/>
      <c r="P421" s="173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spans="1:26" ht="15.75" customHeight="1">
      <c r="A422" s="125"/>
      <c r="B422" s="125"/>
      <c r="C422" s="125"/>
      <c r="D422" s="125"/>
      <c r="E422" s="125"/>
      <c r="F422" s="126"/>
      <c r="G422" s="125"/>
      <c r="H422" s="125"/>
      <c r="I422" s="125"/>
      <c r="J422" s="125"/>
      <c r="K422" s="125"/>
      <c r="L422" s="125"/>
      <c r="M422" s="125"/>
      <c r="N422" s="129"/>
      <c r="O422" s="125"/>
      <c r="P422" s="173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spans="1:26" ht="15.75" customHeight="1">
      <c r="A423" s="125"/>
      <c r="B423" s="125"/>
      <c r="C423" s="125"/>
      <c r="D423" s="125"/>
      <c r="E423" s="125"/>
      <c r="F423" s="126"/>
      <c r="G423" s="125"/>
      <c r="H423" s="125"/>
      <c r="I423" s="125"/>
      <c r="J423" s="125"/>
      <c r="K423" s="125"/>
      <c r="L423" s="125"/>
      <c r="M423" s="125"/>
      <c r="N423" s="129"/>
      <c r="O423" s="125"/>
      <c r="P423" s="173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spans="1:26" ht="15.75" customHeight="1">
      <c r="A424" s="125"/>
      <c r="B424" s="125"/>
      <c r="C424" s="125"/>
      <c r="D424" s="125"/>
      <c r="E424" s="125"/>
      <c r="F424" s="126"/>
      <c r="G424" s="125"/>
      <c r="H424" s="125"/>
      <c r="I424" s="125"/>
      <c r="J424" s="125"/>
      <c r="K424" s="125"/>
      <c r="L424" s="125"/>
      <c r="M424" s="125"/>
      <c r="N424" s="129"/>
      <c r="O424" s="125"/>
      <c r="P424" s="173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spans="1:26" ht="15.75" customHeight="1">
      <c r="A425" s="125"/>
      <c r="B425" s="125"/>
      <c r="C425" s="125"/>
      <c r="D425" s="125"/>
      <c r="E425" s="125"/>
      <c r="F425" s="126"/>
      <c r="G425" s="125"/>
      <c r="H425" s="125"/>
      <c r="I425" s="125"/>
      <c r="J425" s="125"/>
      <c r="K425" s="125"/>
      <c r="L425" s="125"/>
      <c r="M425" s="125"/>
      <c r="N425" s="129"/>
      <c r="O425" s="125"/>
      <c r="P425" s="173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spans="1:26" ht="15.75" customHeight="1">
      <c r="A426" s="125"/>
      <c r="B426" s="125"/>
      <c r="C426" s="125"/>
      <c r="D426" s="125"/>
      <c r="E426" s="125"/>
      <c r="F426" s="126"/>
      <c r="G426" s="125"/>
      <c r="H426" s="125"/>
      <c r="I426" s="125"/>
      <c r="J426" s="125"/>
      <c r="K426" s="125"/>
      <c r="L426" s="125"/>
      <c r="M426" s="125"/>
      <c r="N426" s="129"/>
      <c r="O426" s="125"/>
      <c r="P426" s="173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spans="1:26" ht="15.75" customHeight="1">
      <c r="A427" s="125"/>
      <c r="B427" s="125"/>
      <c r="C427" s="125"/>
      <c r="D427" s="125"/>
      <c r="E427" s="125"/>
      <c r="F427" s="126"/>
      <c r="G427" s="125"/>
      <c r="H427" s="125"/>
      <c r="I427" s="125"/>
      <c r="J427" s="125"/>
      <c r="K427" s="125"/>
      <c r="L427" s="125"/>
      <c r="M427" s="125"/>
      <c r="N427" s="129"/>
      <c r="O427" s="125"/>
      <c r="P427" s="173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spans="1:26" ht="15.75" customHeight="1">
      <c r="A428" s="125"/>
      <c r="B428" s="125"/>
      <c r="C428" s="125"/>
      <c r="D428" s="125"/>
      <c r="E428" s="125"/>
      <c r="F428" s="126"/>
      <c r="G428" s="125"/>
      <c r="H428" s="125"/>
      <c r="I428" s="125"/>
      <c r="J428" s="125"/>
      <c r="K428" s="125"/>
      <c r="L428" s="125"/>
      <c r="M428" s="125"/>
      <c r="N428" s="129"/>
      <c r="O428" s="125"/>
      <c r="P428" s="173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spans="1:26" ht="15.75" customHeight="1">
      <c r="A429" s="125"/>
      <c r="B429" s="125"/>
      <c r="C429" s="125"/>
      <c r="D429" s="125"/>
      <c r="E429" s="125"/>
      <c r="F429" s="126"/>
      <c r="G429" s="125"/>
      <c r="H429" s="125"/>
      <c r="I429" s="125"/>
      <c r="J429" s="125"/>
      <c r="K429" s="125"/>
      <c r="L429" s="125"/>
      <c r="M429" s="125"/>
      <c r="N429" s="129"/>
      <c r="O429" s="125"/>
      <c r="P429" s="173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spans="1:26" ht="15.75" customHeight="1">
      <c r="A430" s="125"/>
      <c r="B430" s="125"/>
      <c r="C430" s="125"/>
      <c r="D430" s="125"/>
      <c r="E430" s="125"/>
      <c r="F430" s="126"/>
      <c r="G430" s="125"/>
      <c r="H430" s="125"/>
      <c r="I430" s="125"/>
      <c r="J430" s="125"/>
      <c r="K430" s="125"/>
      <c r="L430" s="125"/>
      <c r="M430" s="125"/>
      <c r="N430" s="129"/>
      <c r="O430" s="125"/>
      <c r="P430" s="173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spans="1:26" ht="15.75" customHeight="1">
      <c r="A431" s="125"/>
      <c r="B431" s="125"/>
      <c r="C431" s="125"/>
      <c r="D431" s="125"/>
      <c r="E431" s="125"/>
      <c r="F431" s="126"/>
      <c r="G431" s="125"/>
      <c r="H431" s="125"/>
      <c r="I431" s="125"/>
      <c r="J431" s="125"/>
      <c r="K431" s="125"/>
      <c r="L431" s="125"/>
      <c r="M431" s="125"/>
      <c r="N431" s="129"/>
      <c r="O431" s="125"/>
      <c r="P431" s="173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spans="1:26" ht="15.75" customHeight="1">
      <c r="A432" s="125"/>
      <c r="B432" s="125"/>
      <c r="C432" s="125"/>
      <c r="D432" s="125"/>
      <c r="E432" s="125"/>
      <c r="F432" s="126"/>
      <c r="G432" s="125"/>
      <c r="H432" s="125"/>
      <c r="I432" s="125"/>
      <c r="J432" s="125"/>
      <c r="K432" s="125"/>
      <c r="L432" s="125"/>
      <c r="M432" s="125"/>
      <c r="N432" s="129"/>
      <c r="O432" s="125"/>
      <c r="P432" s="173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spans="1:26" ht="15.75" customHeight="1">
      <c r="A433" s="125"/>
      <c r="B433" s="125"/>
      <c r="C433" s="125"/>
      <c r="D433" s="125"/>
      <c r="E433" s="125"/>
      <c r="F433" s="126"/>
      <c r="G433" s="125"/>
      <c r="H433" s="125"/>
      <c r="I433" s="125"/>
      <c r="J433" s="125"/>
      <c r="K433" s="125"/>
      <c r="L433" s="125"/>
      <c r="M433" s="125"/>
      <c r="N433" s="129"/>
      <c r="O433" s="125"/>
      <c r="P433" s="173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spans="1:26" ht="15.75" customHeight="1">
      <c r="A434" s="125"/>
      <c r="B434" s="125"/>
      <c r="C434" s="125"/>
      <c r="D434" s="125"/>
      <c r="E434" s="125"/>
      <c r="F434" s="126"/>
      <c r="G434" s="125"/>
      <c r="H434" s="125"/>
      <c r="I434" s="125"/>
      <c r="J434" s="125"/>
      <c r="K434" s="125"/>
      <c r="L434" s="125"/>
      <c r="M434" s="125"/>
      <c r="N434" s="129"/>
      <c r="O434" s="125"/>
      <c r="P434" s="173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spans="1:26" ht="15.75" customHeight="1">
      <c r="A435" s="125"/>
      <c r="B435" s="125"/>
      <c r="C435" s="125"/>
      <c r="D435" s="125"/>
      <c r="E435" s="125"/>
      <c r="F435" s="126"/>
      <c r="G435" s="125"/>
      <c r="H435" s="125"/>
      <c r="I435" s="125"/>
      <c r="J435" s="125"/>
      <c r="K435" s="125"/>
      <c r="L435" s="125"/>
      <c r="M435" s="125"/>
      <c r="N435" s="129"/>
      <c r="O435" s="125"/>
      <c r="P435" s="173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spans="1:26" ht="15.75" customHeight="1">
      <c r="A436" s="125"/>
      <c r="B436" s="125"/>
      <c r="C436" s="125"/>
      <c r="D436" s="125"/>
      <c r="E436" s="125"/>
      <c r="F436" s="126"/>
      <c r="G436" s="125"/>
      <c r="H436" s="125"/>
      <c r="I436" s="125"/>
      <c r="J436" s="125"/>
      <c r="K436" s="125"/>
      <c r="L436" s="125"/>
      <c r="M436" s="125"/>
      <c r="N436" s="129"/>
      <c r="O436" s="125"/>
      <c r="P436" s="173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spans="1:26" ht="15.75" customHeight="1">
      <c r="A437" s="125"/>
      <c r="B437" s="125"/>
      <c r="C437" s="125"/>
      <c r="D437" s="125"/>
      <c r="E437" s="125"/>
      <c r="F437" s="126"/>
      <c r="G437" s="125"/>
      <c r="H437" s="125"/>
      <c r="I437" s="125"/>
      <c r="J437" s="125"/>
      <c r="K437" s="125"/>
      <c r="L437" s="125"/>
      <c r="M437" s="125"/>
      <c r="N437" s="129"/>
      <c r="O437" s="125"/>
      <c r="P437" s="173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spans="1:26" ht="15.75" customHeight="1">
      <c r="A438" s="125"/>
      <c r="B438" s="125"/>
      <c r="C438" s="125"/>
      <c r="D438" s="125"/>
      <c r="E438" s="125"/>
      <c r="F438" s="126"/>
      <c r="G438" s="125"/>
      <c r="H438" s="125"/>
      <c r="I438" s="125"/>
      <c r="J438" s="125"/>
      <c r="K438" s="125"/>
      <c r="L438" s="125"/>
      <c r="M438" s="125"/>
      <c r="N438" s="129"/>
      <c r="O438" s="125"/>
      <c r="P438" s="173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spans="1:26" ht="15.75" customHeight="1">
      <c r="A439" s="125"/>
      <c r="B439" s="125"/>
      <c r="C439" s="125"/>
      <c r="D439" s="125"/>
      <c r="E439" s="125"/>
      <c r="F439" s="126"/>
      <c r="G439" s="125"/>
      <c r="H439" s="125"/>
      <c r="I439" s="125"/>
      <c r="J439" s="125"/>
      <c r="K439" s="125"/>
      <c r="L439" s="125"/>
      <c r="M439" s="125"/>
      <c r="N439" s="129"/>
      <c r="O439" s="125"/>
      <c r="P439" s="173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spans="1:26" ht="15.75" customHeight="1">
      <c r="A440" s="125"/>
      <c r="B440" s="125"/>
      <c r="C440" s="125"/>
      <c r="D440" s="125"/>
      <c r="E440" s="125"/>
      <c r="F440" s="126"/>
      <c r="G440" s="125"/>
      <c r="H440" s="125"/>
      <c r="I440" s="125"/>
      <c r="J440" s="125"/>
      <c r="K440" s="125"/>
      <c r="L440" s="125"/>
      <c r="M440" s="125"/>
      <c r="N440" s="129"/>
      <c r="O440" s="125"/>
      <c r="P440" s="173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spans="1:26" ht="15.75" customHeight="1">
      <c r="A441" s="125"/>
      <c r="B441" s="125"/>
      <c r="C441" s="125"/>
      <c r="D441" s="125"/>
      <c r="E441" s="125"/>
      <c r="F441" s="126"/>
      <c r="G441" s="125"/>
      <c r="H441" s="125"/>
      <c r="I441" s="125"/>
      <c r="J441" s="125"/>
      <c r="K441" s="125"/>
      <c r="L441" s="125"/>
      <c r="M441" s="125"/>
      <c r="N441" s="129"/>
      <c r="O441" s="125"/>
      <c r="P441" s="173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spans="1:26" ht="15.75" customHeight="1">
      <c r="A442" s="125"/>
      <c r="B442" s="125"/>
      <c r="C442" s="125"/>
      <c r="D442" s="125"/>
      <c r="E442" s="125"/>
      <c r="F442" s="126"/>
      <c r="G442" s="125"/>
      <c r="H442" s="125"/>
      <c r="I442" s="125"/>
      <c r="J442" s="125"/>
      <c r="K442" s="125"/>
      <c r="L442" s="125"/>
      <c r="M442" s="125"/>
      <c r="N442" s="129"/>
      <c r="O442" s="125"/>
      <c r="P442" s="173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spans="1:26" ht="15.75" customHeight="1">
      <c r="A443" s="125"/>
      <c r="B443" s="125"/>
      <c r="C443" s="125"/>
      <c r="D443" s="125"/>
      <c r="E443" s="125"/>
      <c r="F443" s="126"/>
      <c r="G443" s="125"/>
      <c r="H443" s="125"/>
      <c r="I443" s="125"/>
      <c r="J443" s="125"/>
      <c r="K443" s="125"/>
      <c r="L443" s="125"/>
      <c r="M443" s="125"/>
      <c r="N443" s="129"/>
      <c r="O443" s="125"/>
      <c r="P443" s="173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spans="1:26" ht="15.75" customHeight="1">
      <c r="A444" s="125"/>
      <c r="B444" s="125"/>
      <c r="C444" s="125"/>
      <c r="D444" s="125"/>
      <c r="E444" s="125"/>
      <c r="F444" s="126"/>
      <c r="G444" s="125"/>
      <c r="H444" s="125"/>
      <c r="I444" s="125"/>
      <c r="J444" s="125"/>
      <c r="K444" s="125"/>
      <c r="L444" s="125"/>
      <c r="M444" s="125"/>
      <c r="N444" s="129"/>
      <c r="O444" s="125"/>
      <c r="P444" s="173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spans="1:26" ht="15.75" customHeight="1">
      <c r="A445" s="125"/>
      <c r="B445" s="125"/>
      <c r="C445" s="125"/>
      <c r="D445" s="125"/>
      <c r="E445" s="125"/>
      <c r="F445" s="126"/>
      <c r="G445" s="125"/>
      <c r="H445" s="125"/>
      <c r="I445" s="125"/>
      <c r="J445" s="125"/>
      <c r="K445" s="125"/>
      <c r="L445" s="125"/>
      <c r="M445" s="125"/>
      <c r="N445" s="129"/>
      <c r="O445" s="125"/>
      <c r="P445" s="173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spans="1:26" ht="15.75" customHeight="1">
      <c r="A446" s="125"/>
      <c r="B446" s="125"/>
      <c r="C446" s="125"/>
      <c r="D446" s="125"/>
      <c r="E446" s="125"/>
      <c r="F446" s="126"/>
      <c r="G446" s="125"/>
      <c r="H446" s="125"/>
      <c r="I446" s="125"/>
      <c r="J446" s="125"/>
      <c r="K446" s="125"/>
      <c r="L446" s="125"/>
      <c r="M446" s="125"/>
      <c r="N446" s="129"/>
      <c r="O446" s="125"/>
      <c r="P446" s="173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spans="1:26" ht="15.75" customHeight="1">
      <c r="A447" s="125"/>
      <c r="B447" s="125"/>
      <c r="C447" s="125"/>
      <c r="D447" s="125"/>
      <c r="E447" s="125"/>
      <c r="F447" s="126"/>
      <c r="G447" s="125"/>
      <c r="H447" s="125"/>
      <c r="I447" s="125"/>
      <c r="J447" s="125"/>
      <c r="K447" s="125"/>
      <c r="L447" s="125"/>
      <c r="M447" s="125"/>
      <c r="N447" s="129"/>
      <c r="O447" s="125"/>
      <c r="P447" s="173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spans="1:26" ht="15.75" customHeight="1">
      <c r="A448" s="125"/>
      <c r="B448" s="125"/>
      <c r="C448" s="125"/>
      <c r="D448" s="125"/>
      <c r="E448" s="125"/>
      <c r="F448" s="126"/>
      <c r="G448" s="125"/>
      <c r="H448" s="125"/>
      <c r="I448" s="125"/>
      <c r="J448" s="125"/>
      <c r="K448" s="125"/>
      <c r="L448" s="125"/>
      <c r="M448" s="125"/>
      <c r="N448" s="129"/>
      <c r="O448" s="125"/>
      <c r="P448" s="173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spans="1:26" ht="15.75" customHeight="1">
      <c r="A449" s="125"/>
      <c r="B449" s="125"/>
      <c r="C449" s="125"/>
      <c r="D449" s="125"/>
      <c r="E449" s="125"/>
      <c r="F449" s="126"/>
      <c r="G449" s="125"/>
      <c r="H449" s="125"/>
      <c r="I449" s="125"/>
      <c r="J449" s="125"/>
      <c r="K449" s="125"/>
      <c r="L449" s="125"/>
      <c r="M449" s="125"/>
      <c r="N449" s="129"/>
      <c r="O449" s="125"/>
      <c r="P449" s="173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spans="1:26" ht="15.75" customHeight="1">
      <c r="A450" s="125"/>
      <c r="B450" s="125"/>
      <c r="C450" s="125"/>
      <c r="D450" s="125"/>
      <c r="E450" s="125"/>
      <c r="F450" s="126"/>
      <c r="G450" s="125"/>
      <c r="H450" s="125"/>
      <c r="I450" s="125"/>
      <c r="J450" s="125"/>
      <c r="K450" s="125"/>
      <c r="L450" s="125"/>
      <c r="M450" s="125"/>
      <c r="N450" s="129"/>
      <c r="O450" s="125"/>
      <c r="P450" s="173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spans="1:26" ht="15.75" customHeight="1">
      <c r="A451" s="125"/>
      <c r="B451" s="125"/>
      <c r="C451" s="125"/>
      <c r="D451" s="125"/>
      <c r="E451" s="125"/>
      <c r="F451" s="126"/>
      <c r="G451" s="125"/>
      <c r="H451" s="125"/>
      <c r="I451" s="125"/>
      <c r="J451" s="125"/>
      <c r="K451" s="125"/>
      <c r="L451" s="125"/>
      <c r="M451" s="125"/>
      <c r="N451" s="129"/>
      <c r="O451" s="125"/>
      <c r="P451" s="173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spans="1:26" ht="15.75" customHeight="1">
      <c r="A452" s="125"/>
      <c r="B452" s="125"/>
      <c r="C452" s="125"/>
      <c r="D452" s="125"/>
      <c r="E452" s="125"/>
      <c r="F452" s="126"/>
      <c r="G452" s="125"/>
      <c r="H452" s="125"/>
      <c r="I452" s="125"/>
      <c r="J452" s="125"/>
      <c r="K452" s="125"/>
      <c r="L452" s="125"/>
      <c r="M452" s="125"/>
      <c r="N452" s="129"/>
      <c r="O452" s="125"/>
      <c r="P452" s="173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spans="1:26" ht="15.75" customHeight="1">
      <c r="A453" s="125"/>
      <c r="B453" s="125"/>
      <c r="C453" s="125"/>
      <c r="D453" s="125"/>
      <c r="E453" s="125"/>
      <c r="F453" s="126"/>
      <c r="G453" s="125"/>
      <c r="H453" s="125"/>
      <c r="I453" s="125"/>
      <c r="J453" s="125"/>
      <c r="K453" s="125"/>
      <c r="L453" s="125"/>
      <c r="M453" s="125"/>
      <c r="N453" s="129"/>
      <c r="O453" s="125"/>
      <c r="P453" s="173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spans="1:26" ht="15.75" customHeight="1">
      <c r="A454" s="125"/>
      <c r="B454" s="125"/>
      <c r="C454" s="125"/>
      <c r="D454" s="125"/>
      <c r="E454" s="125"/>
      <c r="F454" s="126"/>
      <c r="G454" s="125"/>
      <c r="H454" s="125"/>
      <c r="I454" s="125"/>
      <c r="J454" s="125"/>
      <c r="K454" s="125"/>
      <c r="L454" s="125"/>
      <c r="M454" s="125"/>
      <c r="N454" s="129"/>
      <c r="O454" s="125"/>
      <c r="P454" s="173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spans="1:26" ht="15.75" customHeight="1">
      <c r="A455" s="125"/>
      <c r="B455" s="125"/>
      <c r="C455" s="125"/>
      <c r="D455" s="125"/>
      <c r="E455" s="125"/>
      <c r="F455" s="126"/>
      <c r="G455" s="125"/>
      <c r="H455" s="125"/>
      <c r="I455" s="125"/>
      <c r="J455" s="125"/>
      <c r="K455" s="125"/>
      <c r="L455" s="125"/>
      <c r="M455" s="125"/>
      <c r="N455" s="129"/>
      <c r="O455" s="125"/>
      <c r="P455" s="173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spans="1:26" ht="15.75" customHeight="1">
      <c r="A456" s="125"/>
      <c r="B456" s="125"/>
      <c r="C456" s="125"/>
      <c r="D456" s="125"/>
      <c r="E456" s="125"/>
      <c r="F456" s="126"/>
      <c r="G456" s="125"/>
      <c r="H456" s="125"/>
      <c r="I456" s="125"/>
      <c r="J456" s="125"/>
      <c r="K456" s="125"/>
      <c r="L456" s="125"/>
      <c r="M456" s="125"/>
      <c r="N456" s="129"/>
      <c r="O456" s="125"/>
      <c r="P456" s="173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spans="1:26" ht="15.75" customHeight="1">
      <c r="A457" s="125"/>
      <c r="B457" s="125"/>
      <c r="C457" s="125"/>
      <c r="D457" s="125"/>
      <c r="E457" s="125"/>
      <c r="F457" s="126"/>
      <c r="G457" s="125"/>
      <c r="H457" s="125"/>
      <c r="I457" s="125"/>
      <c r="J457" s="125"/>
      <c r="K457" s="125"/>
      <c r="L457" s="125"/>
      <c r="M457" s="125"/>
      <c r="N457" s="129"/>
      <c r="O457" s="125"/>
      <c r="P457" s="173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spans="1:26" ht="15.75" customHeight="1">
      <c r="A458" s="125"/>
      <c r="B458" s="125"/>
      <c r="C458" s="125"/>
      <c r="D458" s="125"/>
      <c r="E458" s="125"/>
      <c r="F458" s="126"/>
      <c r="G458" s="125"/>
      <c r="H458" s="125"/>
      <c r="I458" s="125"/>
      <c r="J458" s="125"/>
      <c r="K458" s="125"/>
      <c r="L458" s="125"/>
      <c r="M458" s="125"/>
      <c r="N458" s="129"/>
      <c r="O458" s="125"/>
      <c r="P458" s="173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spans="1:26" ht="15.75" customHeight="1">
      <c r="A459" s="125"/>
      <c r="B459" s="125"/>
      <c r="C459" s="125"/>
      <c r="D459" s="125"/>
      <c r="E459" s="125"/>
      <c r="F459" s="126"/>
      <c r="G459" s="125"/>
      <c r="H459" s="125"/>
      <c r="I459" s="125"/>
      <c r="J459" s="125"/>
      <c r="K459" s="125"/>
      <c r="L459" s="125"/>
      <c r="M459" s="125"/>
      <c r="N459" s="129"/>
      <c r="O459" s="125"/>
      <c r="P459" s="173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6" ht="15.75" customHeight="1">
      <c r="A460" s="125"/>
      <c r="B460" s="125"/>
      <c r="C460" s="125"/>
      <c r="D460" s="125"/>
      <c r="E460" s="125"/>
      <c r="F460" s="126"/>
      <c r="G460" s="125"/>
      <c r="H460" s="125"/>
      <c r="I460" s="125"/>
      <c r="J460" s="125"/>
      <c r="K460" s="125"/>
      <c r="L460" s="125"/>
      <c r="M460" s="125"/>
      <c r="N460" s="129"/>
      <c r="O460" s="125"/>
      <c r="P460" s="173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spans="1:26" ht="15.75" customHeight="1">
      <c r="A461" s="125"/>
      <c r="B461" s="125"/>
      <c r="C461" s="125"/>
      <c r="D461" s="125"/>
      <c r="E461" s="125"/>
      <c r="F461" s="126"/>
      <c r="G461" s="125"/>
      <c r="H461" s="125"/>
      <c r="I461" s="125"/>
      <c r="J461" s="125"/>
      <c r="K461" s="125"/>
      <c r="L461" s="125"/>
      <c r="M461" s="125"/>
      <c r="N461" s="129"/>
      <c r="O461" s="125"/>
      <c r="P461" s="173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spans="1:26" ht="15.75" customHeight="1">
      <c r="A462" s="125"/>
      <c r="B462" s="125"/>
      <c r="C462" s="125"/>
      <c r="D462" s="125"/>
      <c r="E462" s="125"/>
      <c r="F462" s="126"/>
      <c r="G462" s="125"/>
      <c r="H462" s="125"/>
      <c r="I462" s="125"/>
      <c r="J462" s="125"/>
      <c r="K462" s="125"/>
      <c r="L462" s="125"/>
      <c r="M462" s="125"/>
      <c r="N462" s="129"/>
      <c r="O462" s="125"/>
      <c r="P462" s="173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spans="1:26" ht="15.75" customHeight="1">
      <c r="A463" s="125"/>
      <c r="B463" s="125"/>
      <c r="C463" s="125"/>
      <c r="D463" s="125"/>
      <c r="E463" s="125"/>
      <c r="F463" s="126"/>
      <c r="G463" s="125"/>
      <c r="H463" s="125"/>
      <c r="I463" s="125"/>
      <c r="J463" s="125"/>
      <c r="K463" s="125"/>
      <c r="L463" s="125"/>
      <c r="M463" s="125"/>
      <c r="N463" s="129"/>
      <c r="O463" s="125"/>
      <c r="P463" s="173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spans="1:26" ht="15.75" customHeight="1">
      <c r="A464" s="125"/>
      <c r="B464" s="125"/>
      <c r="C464" s="125"/>
      <c r="D464" s="125"/>
      <c r="E464" s="125"/>
      <c r="F464" s="126"/>
      <c r="G464" s="125"/>
      <c r="H464" s="125"/>
      <c r="I464" s="125"/>
      <c r="J464" s="125"/>
      <c r="K464" s="125"/>
      <c r="L464" s="125"/>
      <c r="M464" s="125"/>
      <c r="N464" s="129"/>
      <c r="O464" s="125"/>
      <c r="P464" s="173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spans="1:26" ht="15.75" customHeight="1">
      <c r="A465" s="125"/>
      <c r="B465" s="125"/>
      <c r="C465" s="125"/>
      <c r="D465" s="125"/>
      <c r="E465" s="125"/>
      <c r="F465" s="126"/>
      <c r="G465" s="125"/>
      <c r="H465" s="125"/>
      <c r="I465" s="125"/>
      <c r="J465" s="125"/>
      <c r="K465" s="125"/>
      <c r="L465" s="125"/>
      <c r="M465" s="125"/>
      <c r="N465" s="129"/>
      <c r="O465" s="125"/>
      <c r="P465" s="173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spans="1:26" ht="15.75" customHeight="1">
      <c r="A466" s="125"/>
      <c r="B466" s="125"/>
      <c r="C466" s="125"/>
      <c r="D466" s="125"/>
      <c r="E466" s="125"/>
      <c r="F466" s="126"/>
      <c r="G466" s="125"/>
      <c r="H466" s="125"/>
      <c r="I466" s="125"/>
      <c r="J466" s="125"/>
      <c r="K466" s="125"/>
      <c r="L466" s="125"/>
      <c r="M466" s="125"/>
      <c r="N466" s="129"/>
      <c r="O466" s="125"/>
      <c r="P466" s="173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spans="1:26" ht="15.75" customHeight="1">
      <c r="A467" s="125"/>
      <c r="B467" s="125"/>
      <c r="C467" s="125"/>
      <c r="D467" s="125"/>
      <c r="E467" s="125"/>
      <c r="F467" s="126"/>
      <c r="G467" s="125"/>
      <c r="H467" s="125"/>
      <c r="I467" s="125"/>
      <c r="J467" s="125"/>
      <c r="K467" s="125"/>
      <c r="L467" s="125"/>
      <c r="M467" s="125"/>
      <c r="N467" s="129"/>
      <c r="O467" s="125"/>
      <c r="P467" s="173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spans="1:26" ht="15.75" customHeight="1">
      <c r="A468" s="125"/>
      <c r="B468" s="125"/>
      <c r="C468" s="125"/>
      <c r="D468" s="125"/>
      <c r="E468" s="125"/>
      <c r="F468" s="126"/>
      <c r="G468" s="125"/>
      <c r="H468" s="125"/>
      <c r="I468" s="125"/>
      <c r="J468" s="125"/>
      <c r="K468" s="125"/>
      <c r="L468" s="125"/>
      <c r="M468" s="125"/>
      <c r="N468" s="129"/>
      <c r="O468" s="125"/>
      <c r="P468" s="173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spans="1:26" ht="15.75" customHeight="1">
      <c r="A469" s="125"/>
      <c r="B469" s="125"/>
      <c r="C469" s="125"/>
      <c r="D469" s="125"/>
      <c r="E469" s="125"/>
      <c r="F469" s="126"/>
      <c r="G469" s="125"/>
      <c r="H469" s="125"/>
      <c r="I469" s="125"/>
      <c r="J469" s="125"/>
      <c r="K469" s="125"/>
      <c r="L469" s="125"/>
      <c r="M469" s="125"/>
      <c r="N469" s="129"/>
      <c r="O469" s="125"/>
      <c r="P469" s="173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spans="1:26" ht="15.75" customHeight="1">
      <c r="A470" s="125"/>
      <c r="B470" s="125"/>
      <c r="C470" s="125"/>
      <c r="D470" s="125"/>
      <c r="E470" s="125"/>
      <c r="F470" s="126"/>
      <c r="G470" s="125"/>
      <c r="H470" s="125"/>
      <c r="I470" s="125"/>
      <c r="J470" s="125"/>
      <c r="K470" s="125"/>
      <c r="L470" s="125"/>
      <c r="M470" s="125"/>
      <c r="N470" s="129"/>
      <c r="O470" s="125"/>
      <c r="P470" s="173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spans="1:26" ht="15.75" customHeight="1">
      <c r="A471" s="125"/>
      <c r="B471" s="125"/>
      <c r="C471" s="125"/>
      <c r="D471" s="125"/>
      <c r="E471" s="125"/>
      <c r="F471" s="126"/>
      <c r="G471" s="125"/>
      <c r="H471" s="125"/>
      <c r="I471" s="125"/>
      <c r="J471" s="125"/>
      <c r="K471" s="125"/>
      <c r="L471" s="125"/>
      <c r="M471" s="125"/>
      <c r="N471" s="129"/>
      <c r="O471" s="125"/>
      <c r="P471" s="173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spans="1:26" ht="15.75" customHeight="1">
      <c r="A472" s="125"/>
      <c r="B472" s="125"/>
      <c r="C472" s="125"/>
      <c r="D472" s="125"/>
      <c r="E472" s="125"/>
      <c r="F472" s="126"/>
      <c r="G472" s="125"/>
      <c r="H472" s="125"/>
      <c r="I472" s="125"/>
      <c r="J472" s="125"/>
      <c r="K472" s="125"/>
      <c r="L472" s="125"/>
      <c r="M472" s="125"/>
      <c r="N472" s="129"/>
      <c r="O472" s="125"/>
      <c r="P472" s="173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spans="1:26" ht="15.75" customHeight="1">
      <c r="A473" s="125"/>
      <c r="B473" s="125"/>
      <c r="C473" s="125"/>
      <c r="D473" s="125"/>
      <c r="E473" s="125"/>
      <c r="F473" s="126"/>
      <c r="G473" s="125"/>
      <c r="H473" s="125"/>
      <c r="I473" s="125"/>
      <c r="J473" s="125"/>
      <c r="K473" s="125"/>
      <c r="L473" s="125"/>
      <c r="M473" s="125"/>
      <c r="N473" s="129"/>
      <c r="O473" s="125"/>
      <c r="P473" s="173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spans="1:26" ht="15.75" customHeight="1">
      <c r="A474" s="125"/>
      <c r="B474" s="125"/>
      <c r="C474" s="125"/>
      <c r="D474" s="125"/>
      <c r="E474" s="125"/>
      <c r="F474" s="126"/>
      <c r="G474" s="125"/>
      <c r="H474" s="125"/>
      <c r="I474" s="125"/>
      <c r="J474" s="125"/>
      <c r="K474" s="125"/>
      <c r="L474" s="125"/>
      <c r="M474" s="125"/>
      <c r="N474" s="129"/>
      <c r="O474" s="125"/>
      <c r="P474" s="173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spans="1:26" ht="15.75" customHeight="1">
      <c r="A475" s="125"/>
      <c r="B475" s="125"/>
      <c r="C475" s="125"/>
      <c r="D475" s="125"/>
      <c r="E475" s="125"/>
      <c r="F475" s="126"/>
      <c r="G475" s="125"/>
      <c r="H475" s="125"/>
      <c r="I475" s="125"/>
      <c r="J475" s="125"/>
      <c r="K475" s="125"/>
      <c r="L475" s="125"/>
      <c r="M475" s="125"/>
      <c r="N475" s="129"/>
      <c r="O475" s="125"/>
      <c r="P475" s="173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spans="1:26" ht="15.75" customHeight="1">
      <c r="A476" s="125"/>
      <c r="B476" s="125"/>
      <c r="C476" s="125"/>
      <c r="D476" s="125"/>
      <c r="E476" s="125"/>
      <c r="F476" s="126"/>
      <c r="G476" s="125"/>
      <c r="H476" s="125"/>
      <c r="I476" s="125"/>
      <c r="J476" s="125"/>
      <c r="K476" s="125"/>
      <c r="L476" s="125"/>
      <c r="M476" s="125"/>
      <c r="N476" s="129"/>
      <c r="O476" s="125"/>
      <c r="P476" s="173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spans="1:26" ht="15.75" customHeight="1">
      <c r="A477" s="125"/>
      <c r="B477" s="125"/>
      <c r="C477" s="125"/>
      <c r="D477" s="125"/>
      <c r="E477" s="125"/>
      <c r="F477" s="126"/>
      <c r="G477" s="125"/>
      <c r="H477" s="125"/>
      <c r="I477" s="125"/>
      <c r="J477" s="125"/>
      <c r="K477" s="125"/>
      <c r="L477" s="125"/>
      <c r="M477" s="125"/>
      <c r="N477" s="129"/>
      <c r="O477" s="125"/>
      <c r="P477" s="173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spans="1:26" ht="15.75" customHeight="1">
      <c r="A478" s="125"/>
      <c r="B478" s="125"/>
      <c r="C478" s="125"/>
      <c r="D478" s="125"/>
      <c r="E478" s="125"/>
      <c r="F478" s="126"/>
      <c r="G478" s="125"/>
      <c r="H478" s="125"/>
      <c r="I478" s="125"/>
      <c r="J478" s="125"/>
      <c r="K478" s="125"/>
      <c r="L478" s="125"/>
      <c r="M478" s="125"/>
      <c r="N478" s="129"/>
      <c r="O478" s="125"/>
      <c r="P478" s="173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spans="1:26" ht="15.75" customHeight="1">
      <c r="A479" s="125"/>
      <c r="B479" s="125"/>
      <c r="C479" s="125"/>
      <c r="D479" s="125"/>
      <c r="E479" s="125"/>
      <c r="F479" s="126"/>
      <c r="G479" s="125"/>
      <c r="H479" s="125"/>
      <c r="I479" s="125"/>
      <c r="J479" s="125"/>
      <c r="K479" s="125"/>
      <c r="L479" s="125"/>
      <c r="M479" s="125"/>
      <c r="N479" s="129"/>
      <c r="O479" s="125"/>
      <c r="P479" s="173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spans="1:26" ht="15.75" customHeight="1">
      <c r="A480" s="125"/>
      <c r="B480" s="125"/>
      <c r="C480" s="125"/>
      <c r="D480" s="125"/>
      <c r="E480" s="125"/>
      <c r="F480" s="126"/>
      <c r="G480" s="125"/>
      <c r="H480" s="125"/>
      <c r="I480" s="125"/>
      <c r="J480" s="125"/>
      <c r="K480" s="125"/>
      <c r="L480" s="125"/>
      <c r="M480" s="125"/>
      <c r="N480" s="129"/>
      <c r="O480" s="125"/>
      <c r="P480" s="173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spans="1:26" ht="15.75" customHeight="1">
      <c r="A481" s="125"/>
      <c r="B481" s="125"/>
      <c r="C481" s="125"/>
      <c r="D481" s="125"/>
      <c r="E481" s="125"/>
      <c r="F481" s="126"/>
      <c r="G481" s="125"/>
      <c r="H481" s="125"/>
      <c r="I481" s="125"/>
      <c r="J481" s="125"/>
      <c r="K481" s="125"/>
      <c r="L481" s="125"/>
      <c r="M481" s="125"/>
      <c r="N481" s="129"/>
      <c r="O481" s="125"/>
      <c r="P481" s="173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spans="1:26" ht="15.75" customHeight="1">
      <c r="A482" s="125"/>
      <c r="B482" s="125"/>
      <c r="C482" s="125"/>
      <c r="D482" s="125"/>
      <c r="E482" s="125"/>
      <c r="F482" s="126"/>
      <c r="G482" s="125"/>
      <c r="H482" s="125"/>
      <c r="I482" s="125"/>
      <c r="J482" s="125"/>
      <c r="K482" s="125"/>
      <c r="L482" s="125"/>
      <c r="M482" s="125"/>
      <c r="N482" s="129"/>
      <c r="O482" s="125"/>
      <c r="P482" s="173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spans="1:26" ht="15.75" customHeight="1">
      <c r="A483" s="125"/>
      <c r="B483" s="125"/>
      <c r="C483" s="125"/>
      <c r="D483" s="125"/>
      <c r="E483" s="125"/>
      <c r="F483" s="126"/>
      <c r="G483" s="125"/>
      <c r="H483" s="125"/>
      <c r="I483" s="125"/>
      <c r="J483" s="125"/>
      <c r="K483" s="125"/>
      <c r="L483" s="125"/>
      <c r="M483" s="125"/>
      <c r="N483" s="129"/>
      <c r="O483" s="125"/>
      <c r="P483" s="173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spans="1:26" ht="15.75" customHeight="1">
      <c r="A484" s="125"/>
      <c r="B484" s="125"/>
      <c r="C484" s="125"/>
      <c r="D484" s="125"/>
      <c r="E484" s="125"/>
      <c r="F484" s="126"/>
      <c r="G484" s="125"/>
      <c r="H484" s="125"/>
      <c r="I484" s="125"/>
      <c r="J484" s="125"/>
      <c r="K484" s="125"/>
      <c r="L484" s="125"/>
      <c r="M484" s="125"/>
      <c r="N484" s="129"/>
      <c r="O484" s="125"/>
      <c r="P484" s="173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spans="1:26" ht="15.75" customHeight="1">
      <c r="A485" s="125"/>
      <c r="B485" s="125"/>
      <c r="C485" s="125"/>
      <c r="D485" s="125"/>
      <c r="E485" s="125"/>
      <c r="F485" s="126"/>
      <c r="G485" s="125"/>
      <c r="H485" s="125"/>
      <c r="I485" s="125"/>
      <c r="J485" s="125"/>
      <c r="K485" s="125"/>
      <c r="L485" s="125"/>
      <c r="M485" s="125"/>
      <c r="N485" s="129"/>
      <c r="O485" s="125"/>
      <c r="P485" s="173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spans="1:26" ht="15.75" customHeight="1">
      <c r="A486" s="125"/>
      <c r="B486" s="125"/>
      <c r="C486" s="125"/>
      <c r="D486" s="125"/>
      <c r="E486" s="125"/>
      <c r="F486" s="126"/>
      <c r="G486" s="125"/>
      <c r="H486" s="125"/>
      <c r="I486" s="125"/>
      <c r="J486" s="125"/>
      <c r="K486" s="125"/>
      <c r="L486" s="125"/>
      <c r="M486" s="125"/>
      <c r="N486" s="129"/>
      <c r="O486" s="125"/>
      <c r="P486" s="173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spans="1:26" ht="15.75" customHeight="1">
      <c r="A487" s="125"/>
      <c r="B487" s="125"/>
      <c r="C487" s="125"/>
      <c r="D487" s="125"/>
      <c r="E487" s="125"/>
      <c r="F487" s="126"/>
      <c r="G487" s="125"/>
      <c r="H487" s="125"/>
      <c r="I487" s="125"/>
      <c r="J487" s="125"/>
      <c r="K487" s="125"/>
      <c r="L487" s="125"/>
      <c r="M487" s="125"/>
      <c r="N487" s="129"/>
      <c r="O487" s="125"/>
      <c r="P487" s="173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spans="1:26" ht="15.75" customHeight="1">
      <c r="A488" s="125"/>
      <c r="B488" s="125"/>
      <c r="C488" s="125"/>
      <c r="D488" s="125"/>
      <c r="E488" s="125"/>
      <c r="F488" s="126"/>
      <c r="G488" s="125"/>
      <c r="H488" s="125"/>
      <c r="I488" s="125"/>
      <c r="J488" s="125"/>
      <c r="K488" s="125"/>
      <c r="L488" s="125"/>
      <c r="M488" s="125"/>
      <c r="N488" s="129"/>
      <c r="O488" s="125"/>
      <c r="P488" s="173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spans="1:26" ht="15.75" customHeight="1">
      <c r="A489" s="125"/>
      <c r="B489" s="125"/>
      <c r="C489" s="125"/>
      <c r="D489" s="125"/>
      <c r="E489" s="125"/>
      <c r="F489" s="126"/>
      <c r="G489" s="125"/>
      <c r="H489" s="125"/>
      <c r="I489" s="125"/>
      <c r="J489" s="125"/>
      <c r="K489" s="125"/>
      <c r="L489" s="125"/>
      <c r="M489" s="125"/>
      <c r="N489" s="129"/>
      <c r="O489" s="125"/>
      <c r="P489" s="173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spans="1:26" ht="15.75" customHeight="1">
      <c r="A490" s="125"/>
      <c r="B490" s="125"/>
      <c r="C490" s="125"/>
      <c r="D490" s="125"/>
      <c r="E490" s="125"/>
      <c r="F490" s="126"/>
      <c r="G490" s="125"/>
      <c r="H490" s="125"/>
      <c r="I490" s="125"/>
      <c r="J490" s="125"/>
      <c r="K490" s="125"/>
      <c r="L490" s="125"/>
      <c r="M490" s="125"/>
      <c r="N490" s="129"/>
      <c r="O490" s="125"/>
      <c r="P490" s="173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spans="1:26" ht="15.75" customHeight="1">
      <c r="A491" s="125"/>
      <c r="B491" s="125"/>
      <c r="C491" s="125"/>
      <c r="D491" s="125"/>
      <c r="E491" s="125"/>
      <c r="F491" s="126"/>
      <c r="G491" s="125"/>
      <c r="H491" s="125"/>
      <c r="I491" s="125"/>
      <c r="J491" s="125"/>
      <c r="K491" s="125"/>
      <c r="L491" s="125"/>
      <c r="M491" s="125"/>
      <c r="N491" s="129"/>
      <c r="O491" s="125"/>
      <c r="P491" s="173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spans="1:26" ht="15.75" customHeight="1">
      <c r="A492" s="125"/>
      <c r="B492" s="125"/>
      <c r="C492" s="125"/>
      <c r="D492" s="125"/>
      <c r="E492" s="125"/>
      <c r="F492" s="126"/>
      <c r="G492" s="125"/>
      <c r="H492" s="125"/>
      <c r="I492" s="125"/>
      <c r="J492" s="125"/>
      <c r="K492" s="125"/>
      <c r="L492" s="125"/>
      <c r="M492" s="125"/>
      <c r="N492" s="129"/>
      <c r="O492" s="125"/>
      <c r="P492" s="173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spans="1:26" ht="15.75" customHeight="1">
      <c r="A493" s="125"/>
      <c r="B493" s="125"/>
      <c r="C493" s="125"/>
      <c r="D493" s="125"/>
      <c r="E493" s="125"/>
      <c r="F493" s="126"/>
      <c r="G493" s="125"/>
      <c r="H493" s="125"/>
      <c r="I493" s="125"/>
      <c r="J493" s="125"/>
      <c r="K493" s="125"/>
      <c r="L493" s="125"/>
      <c r="M493" s="125"/>
      <c r="N493" s="129"/>
      <c r="O493" s="125"/>
      <c r="P493" s="173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spans="1:26" ht="15.75" customHeight="1">
      <c r="A494" s="125"/>
      <c r="B494" s="125"/>
      <c r="C494" s="125"/>
      <c r="D494" s="125"/>
      <c r="E494" s="125"/>
      <c r="F494" s="126"/>
      <c r="G494" s="125"/>
      <c r="H494" s="125"/>
      <c r="I494" s="125"/>
      <c r="J494" s="125"/>
      <c r="K494" s="125"/>
      <c r="L494" s="125"/>
      <c r="M494" s="125"/>
      <c r="N494" s="129"/>
      <c r="O494" s="125"/>
      <c r="P494" s="173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spans="1:26" ht="15.75" customHeight="1">
      <c r="A495" s="125"/>
      <c r="B495" s="125"/>
      <c r="C495" s="125"/>
      <c r="D495" s="125"/>
      <c r="E495" s="125"/>
      <c r="F495" s="126"/>
      <c r="G495" s="125"/>
      <c r="H495" s="125"/>
      <c r="I495" s="125"/>
      <c r="J495" s="125"/>
      <c r="K495" s="125"/>
      <c r="L495" s="125"/>
      <c r="M495" s="125"/>
      <c r="N495" s="129"/>
      <c r="O495" s="125"/>
      <c r="P495" s="173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spans="1:26" ht="15.75" customHeight="1">
      <c r="A496" s="125"/>
      <c r="B496" s="125"/>
      <c r="C496" s="125"/>
      <c r="D496" s="125"/>
      <c r="E496" s="125"/>
      <c r="F496" s="126"/>
      <c r="G496" s="125"/>
      <c r="H496" s="125"/>
      <c r="I496" s="125"/>
      <c r="J496" s="125"/>
      <c r="K496" s="125"/>
      <c r="L496" s="125"/>
      <c r="M496" s="125"/>
      <c r="N496" s="129"/>
      <c r="O496" s="125"/>
      <c r="P496" s="173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spans="1:26" ht="15.75" customHeight="1">
      <c r="A497" s="125"/>
      <c r="B497" s="125"/>
      <c r="C497" s="125"/>
      <c r="D497" s="125"/>
      <c r="E497" s="125"/>
      <c r="F497" s="126"/>
      <c r="G497" s="125"/>
      <c r="H497" s="125"/>
      <c r="I497" s="125"/>
      <c r="J497" s="125"/>
      <c r="K497" s="125"/>
      <c r="L497" s="125"/>
      <c r="M497" s="125"/>
      <c r="N497" s="129"/>
      <c r="O497" s="125"/>
      <c r="P497" s="173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spans="1:26" ht="15.75" customHeight="1">
      <c r="A498" s="125"/>
      <c r="B498" s="125"/>
      <c r="C498" s="125"/>
      <c r="D498" s="125"/>
      <c r="E498" s="125"/>
      <c r="F498" s="126"/>
      <c r="G498" s="125"/>
      <c r="H498" s="125"/>
      <c r="I498" s="125"/>
      <c r="J498" s="125"/>
      <c r="K498" s="125"/>
      <c r="L498" s="125"/>
      <c r="M498" s="125"/>
      <c r="N498" s="129"/>
      <c r="O498" s="125"/>
      <c r="P498" s="173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spans="1:26" ht="15.75" customHeight="1">
      <c r="A499" s="125"/>
      <c r="B499" s="125"/>
      <c r="C499" s="125"/>
      <c r="D499" s="125"/>
      <c r="E499" s="125"/>
      <c r="F499" s="126"/>
      <c r="G499" s="125"/>
      <c r="H499" s="125"/>
      <c r="I499" s="125"/>
      <c r="J499" s="125"/>
      <c r="K499" s="125"/>
      <c r="L499" s="125"/>
      <c r="M499" s="125"/>
      <c r="N499" s="129"/>
      <c r="O499" s="125"/>
      <c r="P499" s="173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spans="1:26" ht="15.75" customHeight="1">
      <c r="A500" s="125"/>
      <c r="B500" s="125"/>
      <c r="C500" s="125"/>
      <c r="D500" s="125"/>
      <c r="E500" s="125"/>
      <c r="F500" s="126"/>
      <c r="G500" s="125"/>
      <c r="H500" s="125"/>
      <c r="I500" s="125"/>
      <c r="J500" s="125"/>
      <c r="K500" s="125"/>
      <c r="L500" s="125"/>
      <c r="M500" s="125"/>
      <c r="N500" s="129"/>
      <c r="O500" s="125"/>
      <c r="P500" s="173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spans="1:26" ht="15.75" customHeight="1">
      <c r="A501" s="125"/>
      <c r="B501" s="125"/>
      <c r="C501" s="125"/>
      <c r="D501" s="125"/>
      <c r="E501" s="125"/>
      <c r="F501" s="126"/>
      <c r="G501" s="125"/>
      <c r="H501" s="125"/>
      <c r="I501" s="125"/>
      <c r="J501" s="125"/>
      <c r="K501" s="125"/>
      <c r="L501" s="125"/>
      <c r="M501" s="125"/>
      <c r="N501" s="129"/>
      <c r="O501" s="125"/>
      <c r="P501" s="173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spans="1:26" ht="15.75" customHeight="1">
      <c r="A502" s="125"/>
      <c r="B502" s="125"/>
      <c r="C502" s="125"/>
      <c r="D502" s="125"/>
      <c r="E502" s="125"/>
      <c r="F502" s="126"/>
      <c r="G502" s="125"/>
      <c r="H502" s="125"/>
      <c r="I502" s="125"/>
      <c r="J502" s="125"/>
      <c r="K502" s="125"/>
      <c r="L502" s="125"/>
      <c r="M502" s="125"/>
      <c r="N502" s="129"/>
      <c r="O502" s="125"/>
      <c r="P502" s="173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spans="1:26" ht="15.75" customHeight="1">
      <c r="A503" s="125"/>
      <c r="B503" s="125"/>
      <c r="C503" s="125"/>
      <c r="D503" s="125"/>
      <c r="E503" s="125"/>
      <c r="F503" s="126"/>
      <c r="G503" s="125"/>
      <c r="H503" s="125"/>
      <c r="I503" s="125"/>
      <c r="J503" s="125"/>
      <c r="K503" s="125"/>
      <c r="L503" s="125"/>
      <c r="M503" s="125"/>
      <c r="N503" s="129"/>
      <c r="O503" s="125"/>
      <c r="P503" s="173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spans="1:26" ht="15.75" customHeight="1">
      <c r="A504" s="125"/>
      <c r="B504" s="125"/>
      <c r="C504" s="125"/>
      <c r="D504" s="125"/>
      <c r="E504" s="125"/>
      <c r="F504" s="126"/>
      <c r="G504" s="125"/>
      <c r="H504" s="125"/>
      <c r="I504" s="125"/>
      <c r="J504" s="125"/>
      <c r="K504" s="125"/>
      <c r="L504" s="125"/>
      <c r="M504" s="125"/>
      <c r="N504" s="129"/>
      <c r="O504" s="125"/>
      <c r="P504" s="173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spans="1:26" ht="15.75" customHeight="1">
      <c r="A505" s="125"/>
      <c r="B505" s="125"/>
      <c r="C505" s="125"/>
      <c r="D505" s="125"/>
      <c r="E505" s="125"/>
      <c r="F505" s="126"/>
      <c r="G505" s="125"/>
      <c r="H505" s="125"/>
      <c r="I505" s="125"/>
      <c r="J505" s="125"/>
      <c r="K505" s="125"/>
      <c r="L505" s="125"/>
      <c r="M505" s="125"/>
      <c r="N505" s="129"/>
      <c r="O505" s="125"/>
      <c r="P505" s="173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spans="1:26" ht="15.75" customHeight="1">
      <c r="A506" s="125"/>
      <c r="B506" s="125"/>
      <c r="C506" s="125"/>
      <c r="D506" s="125"/>
      <c r="E506" s="125"/>
      <c r="F506" s="126"/>
      <c r="G506" s="125"/>
      <c r="H506" s="125"/>
      <c r="I506" s="125"/>
      <c r="J506" s="125"/>
      <c r="K506" s="125"/>
      <c r="L506" s="125"/>
      <c r="M506" s="125"/>
      <c r="N506" s="129"/>
      <c r="O506" s="125"/>
      <c r="P506" s="173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spans="1:26" ht="15.75" customHeight="1">
      <c r="A507" s="125"/>
      <c r="B507" s="125"/>
      <c r="C507" s="125"/>
      <c r="D507" s="125"/>
      <c r="E507" s="125"/>
      <c r="F507" s="126"/>
      <c r="G507" s="125"/>
      <c r="H507" s="125"/>
      <c r="I507" s="125"/>
      <c r="J507" s="125"/>
      <c r="K507" s="125"/>
      <c r="L507" s="125"/>
      <c r="M507" s="125"/>
      <c r="N507" s="129"/>
      <c r="O507" s="125"/>
      <c r="P507" s="173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spans="1:26" ht="15.75" customHeight="1">
      <c r="A508" s="125"/>
      <c r="B508" s="125"/>
      <c r="C508" s="125"/>
      <c r="D508" s="125"/>
      <c r="E508" s="125"/>
      <c r="F508" s="126"/>
      <c r="G508" s="125"/>
      <c r="H508" s="125"/>
      <c r="I508" s="125"/>
      <c r="J508" s="125"/>
      <c r="K508" s="125"/>
      <c r="L508" s="125"/>
      <c r="M508" s="125"/>
      <c r="N508" s="129"/>
      <c r="O508" s="125"/>
      <c r="P508" s="173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spans="1:26" ht="15.75" customHeight="1">
      <c r="A509" s="125"/>
      <c r="B509" s="125"/>
      <c r="C509" s="125"/>
      <c r="D509" s="125"/>
      <c r="E509" s="125"/>
      <c r="F509" s="126"/>
      <c r="G509" s="125"/>
      <c r="H509" s="125"/>
      <c r="I509" s="125"/>
      <c r="J509" s="125"/>
      <c r="K509" s="125"/>
      <c r="L509" s="125"/>
      <c r="M509" s="125"/>
      <c r="N509" s="129"/>
      <c r="O509" s="125"/>
      <c r="P509" s="173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spans="1:26" ht="15.75" customHeight="1">
      <c r="A510" s="125"/>
      <c r="B510" s="125"/>
      <c r="C510" s="125"/>
      <c r="D510" s="125"/>
      <c r="E510" s="125"/>
      <c r="F510" s="126"/>
      <c r="G510" s="125"/>
      <c r="H510" s="125"/>
      <c r="I510" s="125"/>
      <c r="J510" s="125"/>
      <c r="K510" s="125"/>
      <c r="L510" s="125"/>
      <c r="M510" s="125"/>
      <c r="N510" s="129"/>
      <c r="O510" s="125"/>
      <c r="P510" s="173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spans="1:26" ht="15.75" customHeight="1">
      <c r="A511" s="125"/>
      <c r="B511" s="125"/>
      <c r="C511" s="125"/>
      <c r="D511" s="125"/>
      <c r="E511" s="125"/>
      <c r="F511" s="126"/>
      <c r="G511" s="125"/>
      <c r="H511" s="125"/>
      <c r="I511" s="125"/>
      <c r="J511" s="125"/>
      <c r="K511" s="125"/>
      <c r="L511" s="125"/>
      <c r="M511" s="125"/>
      <c r="N511" s="129"/>
      <c r="O511" s="125"/>
      <c r="P511" s="173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spans="1:26" ht="15.75" customHeight="1">
      <c r="A512" s="125"/>
      <c r="B512" s="125"/>
      <c r="C512" s="125"/>
      <c r="D512" s="125"/>
      <c r="E512" s="125"/>
      <c r="F512" s="126"/>
      <c r="G512" s="125"/>
      <c r="H512" s="125"/>
      <c r="I512" s="125"/>
      <c r="J512" s="125"/>
      <c r="K512" s="125"/>
      <c r="L512" s="125"/>
      <c r="M512" s="125"/>
      <c r="N512" s="129"/>
      <c r="O512" s="125"/>
      <c r="P512" s="173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spans="1:26" ht="15.75" customHeight="1">
      <c r="A513" s="125"/>
      <c r="B513" s="125"/>
      <c r="C513" s="125"/>
      <c r="D513" s="125"/>
      <c r="E513" s="125"/>
      <c r="F513" s="126"/>
      <c r="G513" s="125"/>
      <c r="H513" s="125"/>
      <c r="I513" s="125"/>
      <c r="J513" s="125"/>
      <c r="K513" s="125"/>
      <c r="L513" s="125"/>
      <c r="M513" s="125"/>
      <c r="N513" s="129"/>
      <c r="O513" s="125"/>
      <c r="P513" s="173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spans="1:26" ht="15.75" customHeight="1">
      <c r="A514" s="125"/>
      <c r="B514" s="125"/>
      <c r="C514" s="125"/>
      <c r="D514" s="125"/>
      <c r="E514" s="125"/>
      <c r="F514" s="126"/>
      <c r="G514" s="125"/>
      <c r="H514" s="125"/>
      <c r="I514" s="125"/>
      <c r="J514" s="125"/>
      <c r="K514" s="125"/>
      <c r="L514" s="125"/>
      <c r="M514" s="125"/>
      <c r="N514" s="129"/>
      <c r="O514" s="125"/>
      <c r="P514" s="173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spans="1:26" ht="15.75" customHeight="1">
      <c r="A515" s="125"/>
      <c r="B515" s="125"/>
      <c r="C515" s="125"/>
      <c r="D515" s="125"/>
      <c r="E515" s="125"/>
      <c r="F515" s="126"/>
      <c r="G515" s="125"/>
      <c r="H515" s="125"/>
      <c r="I515" s="125"/>
      <c r="J515" s="125"/>
      <c r="K515" s="125"/>
      <c r="L515" s="125"/>
      <c r="M515" s="125"/>
      <c r="N515" s="129"/>
      <c r="O515" s="125"/>
      <c r="P515" s="173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spans="1:26" ht="15.75" customHeight="1">
      <c r="A516" s="125"/>
      <c r="B516" s="125"/>
      <c r="C516" s="125"/>
      <c r="D516" s="125"/>
      <c r="E516" s="125"/>
      <c r="F516" s="126"/>
      <c r="G516" s="125"/>
      <c r="H516" s="125"/>
      <c r="I516" s="125"/>
      <c r="J516" s="125"/>
      <c r="K516" s="125"/>
      <c r="L516" s="125"/>
      <c r="M516" s="125"/>
      <c r="N516" s="129"/>
      <c r="O516" s="125"/>
      <c r="P516" s="173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spans="1:26" ht="15.75" customHeight="1">
      <c r="A517" s="125"/>
      <c r="B517" s="125"/>
      <c r="C517" s="125"/>
      <c r="D517" s="125"/>
      <c r="E517" s="125"/>
      <c r="F517" s="126"/>
      <c r="G517" s="125"/>
      <c r="H517" s="125"/>
      <c r="I517" s="125"/>
      <c r="J517" s="125"/>
      <c r="K517" s="125"/>
      <c r="L517" s="125"/>
      <c r="M517" s="125"/>
      <c r="N517" s="129"/>
      <c r="O517" s="125"/>
      <c r="P517" s="173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spans="1:26" ht="15.75" customHeight="1">
      <c r="A518" s="125"/>
      <c r="B518" s="125"/>
      <c r="C518" s="125"/>
      <c r="D518" s="125"/>
      <c r="E518" s="125"/>
      <c r="F518" s="126"/>
      <c r="G518" s="125"/>
      <c r="H518" s="125"/>
      <c r="I518" s="125"/>
      <c r="J518" s="125"/>
      <c r="K518" s="125"/>
      <c r="L518" s="125"/>
      <c r="M518" s="125"/>
      <c r="N518" s="129"/>
      <c r="O518" s="125"/>
      <c r="P518" s="173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spans="1:26" ht="15.75" customHeight="1">
      <c r="A519" s="125"/>
      <c r="B519" s="125"/>
      <c r="C519" s="125"/>
      <c r="D519" s="125"/>
      <c r="E519" s="125"/>
      <c r="F519" s="126"/>
      <c r="G519" s="125"/>
      <c r="H519" s="125"/>
      <c r="I519" s="125"/>
      <c r="J519" s="125"/>
      <c r="K519" s="125"/>
      <c r="L519" s="125"/>
      <c r="M519" s="125"/>
      <c r="N519" s="129"/>
      <c r="O519" s="125"/>
      <c r="P519" s="173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spans="1:26" ht="15.75" customHeight="1">
      <c r="A520" s="125"/>
      <c r="B520" s="125"/>
      <c r="C520" s="125"/>
      <c r="D520" s="125"/>
      <c r="E520" s="125"/>
      <c r="F520" s="126"/>
      <c r="G520" s="125"/>
      <c r="H520" s="125"/>
      <c r="I520" s="125"/>
      <c r="J520" s="125"/>
      <c r="K520" s="125"/>
      <c r="L520" s="125"/>
      <c r="M520" s="125"/>
      <c r="N520" s="129"/>
      <c r="O520" s="125"/>
      <c r="P520" s="173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spans="1:26" ht="15.75" customHeight="1">
      <c r="A521" s="125"/>
      <c r="B521" s="125"/>
      <c r="C521" s="125"/>
      <c r="D521" s="125"/>
      <c r="E521" s="125"/>
      <c r="F521" s="126"/>
      <c r="G521" s="125"/>
      <c r="H521" s="125"/>
      <c r="I521" s="125"/>
      <c r="J521" s="125"/>
      <c r="K521" s="125"/>
      <c r="L521" s="125"/>
      <c r="M521" s="125"/>
      <c r="N521" s="129"/>
      <c r="O521" s="125"/>
      <c r="P521" s="173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spans="1:26" ht="15.75" customHeight="1">
      <c r="A522" s="125"/>
      <c r="B522" s="125"/>
      <c r="C522" s="125"/>
      <c r="D522" s="125"/>
      <c r="E522" s="125"/>
      <c r="F522" s="126"/>
      <c r="G522" s="125"/>
      <c r="H522" s="125"/>
      <c r="I522" s="125"/>
      <c r="J522" s="125"/>
      <c r="K522" s="125"/>
      <c r="L522" s="125"/>
      <c r="M522" s="125"/>
      <c r="N522" s="129"/>
      <c r="O522" s="125"/>
      <c r="P522" s="173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spans="1:26" ht="15.75" customHeight="1">
      <c r="A523" s="125"/>
      <c r="B523" s="125"/>
      <c r="C523" s="125"/>
      <c r="D523" s="125"/>
      <c r="E523" s="125"/>
      <c r="F523" s="126"/>
      <c r="G523" s="125"/>
      <c r="H523" s="125"/>
      <c r="I523" s="125"/>
      <c r="J523" s="125"/>
      <c r="K523" s="125"/>
      <c r="L523" s="125"/>
      <c r="M523" s="125"/>
      <c r="N523" s="129"/>
      <c r="O523" s="125"/>
      <c r="P523" s="173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spans="1:26" ht="15.75" customHeight="1">
      <c r="A524" s="125"/>
      <c r="B524" s="125"/>
      <c r="C524" s="125"/>
      <c r="D524" s="125"/>
      <c r="E524" s="125"/>
      <c r="F524" s="126"/>
      <c r="G524" s="125"/>
      <c r="H524" s="125"/>
      <c r="I524" s="125"/>
      <c r="J524" s="125"/>
      <c r="K524" s="125"/>
      <c r="L524" s="125"/>
      <c r="M524" s="125"/>
      <c r="N524" s="129"/>
      <c r="O524" s="125"/>
      <c r="P524" s="173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spans="1:26" ht="15.75" customHeight="1">
      <c r="A525" s="125"/>
      <c r="B525" s="125"/>
      <c r="C525" s="125"/>
      <c r="D525" s="125"/>
      <c r="E525" s="125"/>
      <c r="F525" s="126"/>
      <c r="G525" s="125"/>
      <c r="H525" s="125"/>
      <c r="I525" s="125"/>
      <c r="J525" s="125"/>
      <c r="K525" s="125"/>
      <c r="L525" s="125"/>
      <c r="M525" s="125"/>
      <c r="N525" s="129"/>
      <c r="O525" s="125"/>
      <c r="P525" s="173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spans="1:26" ht="15.75" customHeight="1">
      <c r="A526" s="125"/>
      <c r="B526" s="125"/>
      <c r="C526" s="125"/>
      <c r="D526" s="125"/>
      <c r="E526" s="125"/>
      <c r="F526" s="126"/>
      <c r="G526" s="125"/>
      <c r="H526" s="125"/>
      <c r="I526" s="125"/>
      <c r="J526" s="125"/>
      <c r="K526" s="125"/>
      <c r="L526" s="125"/>
      <c r="M526" s="125"/>
      <c r="N526" s="129"/>
      <c r="O526" s="125"/>
      <c r="P526" s="173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spans="1:26" ht="15.75" customHeight="1">
      <c r="A527" s="125"/>
      <c r="B527" s="125"/>
      <c r="C527" s="125"/>
      <c r="D527" s="125"/>
      <c r="E527" s="125"/>
      <c r="F527" s="126"/>
      <c r="G527" s="125"/>
      <c r="H527" s="125"/>
      <c r="I527" s="125"/>
      <c r="J527" s="125"/>
      <c r="K527" s="125"/>
      <c r="L527" s="125"/>
      <c r="M527" s="125"/>
      <c r="N527" s="129"/>
      <c r="O527" s="125"/>
      <c r="P527" s="173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spans="1:26" ht="15.75" customHeight="1">
      <c r="A528" s="125"/>
      <c r="B528" s="125"/>
      <c r="C528" s="125"/>
      <c r="D528" s="125"/>
      <c r="E528" s="125"/>
      <c r="F528" s="126"/>
      <c r="G528" s="125"/>
      <c r="H528" s="125"/>
      <c r="I528" s="125"/>
      <c r="J528" s="125"/>
      <c r="K528" s="125"/>
      <c r="L528" s="125"/>
      <c r="M528" s="125"/>
      <c r="N528" s="129"/>
      <c r="O528" s="125"/>
      <c r="P528" s="173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spans="1:26" ht="15.75" customHeight="1">
      <c r="A529" s="125"/>
      <c r="B529" s="125"/>
      <c r="C529" s="125"/>
      <c r="D529" s="125"/>
      <c r="E529" s="125"/>
      <c r="F529" s="126"/>
      <c r="G529" s="125"/>
      <c r="H529" s="125"/>
      <c r="I529" s="125"/>
      <c r="J529" s="125"/>
      <c r="K529" s="125"/>
      <c r="L529" s="125"/>
      <c r="M529" s="125"/>
      <c r="N529" s="129"/>
      <c r="O529" s="125"/>
      <c r="P529" s="173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spans="1:26" ht="15.75" customHeight="1">
      <c r="A530" s="125"/>
      <c r="B530" s="125"/>
      <c r="C530" s="125"/>
      <c r="D530" s="125"/>
      <c r="E530" s="125"/>
      <c r="F530" s="126"/>
      <c r="G530" s="125"/>
      <c r="H530" s="125"/>
      <c r="I530" s="125"/>
      <c r="J530" s="125"/>
      <c r="K530" s="125"/>
      <c r="L530" s="125"/>
      <c r="M530" s="125"/>
      <c r="N530" s="129"/>
      <c r="O530" s="125"/>
      <c r="P530" s="173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spans="1:26" ht="15.75" customHeight="1">
      <c r="A531" s="125"/>
      <c r="B531" s="125"/>
      <c r="C531" s="125"/>
      <c r="D531" s="125"/>
      <c r="E531" s="125"/>
      <c r="F531" s="126"/>
      <c r="G531" s="125"/>
      <c r="H531" s="125"/>
      <c r="I531" s="125"/>
      <c r="J531" s="125"/>
      <c r="K531" s="125"/>
      <c r="L531" s="125"/>
      <c r="M531" s="125"/>
      <c r="N531" s="129"/>
      <c r="O531" s="125"/>
      <c r="P531" s="173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spans="1:26" ht="15.75" customHeight="1">
      <c r="A532" s="125"/>
      <c r="B532" s="125"/>
      <c r="C532" s="125"/>
      <c r="D532" s="125"/>
      <c r="E532" s="125"/>
      <c r="F532" s="126"/>
      <c r="G532" s="125"/>
      <c r="H532" s="125"/>
      <c r="I532" s="125"/>
      <c r="J532" s="125"/>
      <c r="K532" s="125"/>
      <c r="L532" s="125"/>
      <c r="M532" s="125"/>
      <c r="N532" s="129"/>
      <c r="O532" s="125"/>
      <c r="P532" s="173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spans="1:26" ht="15.75" customHeight="1">
      <c r="A533" s="125"/>
      <c r="B533" s="125"/>
      <c r="C533" s="125"/>
      <c r="D533" s="125"/>
      <c r="E533" s="125"/>
      <c r="F533" s="126"/>
      <c r="G533" s="125"/>
      <c r="H533" s="125"/>
      <c r="I533" s="125"/>
      <c r="J533" s="125"/>
      <c r="K533" s="125"/>
      <c r="L533" s="125"/>
      <c r="M533" s="125"/>
      <c r="N533" s="129"/>
      <c r="O533" s="125"/>
      <c r="P533" s="173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spans="1:26" ht="15.75" customHeight="1">
      <c r="A534" s="125"/>
      <c r="B534" s="125"/>
      <c r="C534" s="125"/>
      <c r="D534" s="125"/>
      <c r="E534" s="125"/>
      <c r="F534" s="126"/>
      <c r="G534" s="125"/>
      <c r="H534" s="125"/>
      <c r="I534" s="125"/>
      <c r="J534" s="125"/>
      <c r="K534" s="125"/>
      <c r="L534" s="125"/>
      <c r="M534" s="125"/>
      <c r="N534" s="129"/>
      <c r="O534" s="125"/>
      <c r="P534" s="173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spans="1:26" ht="15.75" customHeight="1">
      <c r="A535" s="125"/>
      <c r="B535" s="125"/>
      <c r="C535" s="125"/>
      <c r="D535" s="125"/>
      <c r="E535" s="125"/>
      <c r="F535" s="126"/>
      <c r="G535" s="125"/>
      <c r="H535" s="125"/>
      <c r="I535" s="125"/>
      <c r="J535" s="125"/>
      <c r="K535" s="125"/>
      <c r="L535" s="125"/>
      <c r="M535" s="125"/>
      <c r="N535" s="129"/>
      <c r="O535" s="125"/>
      <c r="P535" s="173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spans="1:26" ht="15.75" customHeight="1">
      <c r="A536" s="125"/>
      <c r="B536" s="125"/>
      <c r="C536" s="125"/>
      <c r="D536" s="125"/>
      <c r="E536" s="125"/>
      <c r="F536" s="126"/>
      <c r="G536" s="125"/>
      <c r="H536" s="125"/>
      <c r="I536" s="125"/>
      <c r="J536" s="125"/>
      <c r="K536" s="125"/>
      <c r="L536" s="125"/>
      <c r="M536" s="125"/>
      <c r="N536" s="129"/>
      <c r="O536" s="125"/>
      <c r="P536" s="173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spans="1:26" ht="15.75" customHeight="1">
      <c r="A537" s="125"/>
      <c r="B537" s="125"/>
      <c r="C537" s="125"/>
      <c r="D537" s="125"/>
      <c r="E537" s="125"/>
      <c r="F537" s="126"/>
      <c r="G537" s="125"/>
      <c r="H537" s="125"/>
      <c r="I537" s="125"/>
      <c r="J537" s="125"/>
      <c r="K537" s="125"/>
      <c r="L537" s="125"/>
      <c r="M537" s="125"/>
      <c r="N537" s="129"/>
      <c r="O537" s="125"/>
      <c r="P537" s="173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spans="1:26" ht="15.75" customHeight="1">
      <c r="A538" s="125"/>
      <c r="B538" s="125"/>
      <c r="C538" s="125"/>
      <c r="D538" s="125"/>
      <c r="E538" s="125"/>
      <c r="F538" s="126"/>
      <c r="G538" s="125"/>
      <c r="H538" s="125"/>
      <c r="I538" s="125"/>
      <c r="J538" s="125"/>
      <c r="K538" s="125"/>
      <c r="L538" s="125"/>
      <c r="M538" s="125"/>
      <c r="N538" s="129"/>
      <c r="O538" s="125"/>
      <c r="P538" s="173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spans="1:26" ht="15.75" customHeight="1">
      <c r="A539" s="125"/>
      <c r="B539" s="125"/>
      <c r="C539" s="125"/>
      <c r="D539" s="125"/>
      <c r="E539" s="125"/>
      <c r="F539" s="126"/>
      <c r="G539" s="125"/>
      <c r="H539" s="125"/>
      <c r="I539" s="125"/>
      <c r="J539" s="125"/>
      <c r="K539" s="125"/>
      <c r="L539" s="125"/>
      <c r="M539" s="125"/>
      <c r="N539" s="129"/>
      <c r="O539" s="125"/>
      <c r="P539" s="173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spans="1:26" ht="15.75" customHeight="1">
      <c r="A540" s="125"/>
      <c r="B540" s="125"/>
      <c r="C540" s="125"/>
      <c r="D540" s="125"/>
      <c r="E540" s="125"/>
      <c r="F540" s="126"/>
      <c r="G540" s="125"/>
      <c r="H540" s="125"/>
      <c r="I540" s="125"/>
      <c r="J540" s="125"/>
      <c r="K540" s="125"/>
      <c r="L540" s="125"/>
      <c r="M540" s="125"/>
      <c r="N540" s="129"/>
      <c r="O540" s="125"/>
      <c r="P540" s="173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spans="1:26" ht="15.75" customHeight="1">
      <c r="A541" s="125"/>
      <c r="B541" s="125"/>
      <c r="C541" s="125"/>
      <c r="D541" s="125"/>
      <c r="E541" s="125"/>
      <c r="F541" s="126"/>
      <c r="G541" s="125"/>
      <c r="H541" s="125"/>
      <c r="I541" s="125"/>
      <c r="J541" s="125"/>
      <c r="K541" s="125"/>
      <c r="L541" s="125"/>
      <c r="M541" s="125"/>
      <c r="N541" s="129"/>
      <c r="O541" s="125"/>
      <c r="P541" s="173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spans="1:26" ht="15.75" customHeight="1">
      <c r="A542" s="125"/>
      <c r="B542" s="125"/>
      <c r="C542" s="125"/>
      <c r="D542" s="125"/>
      <c r="E542" s="125"/>
      <c r="F542" s="126"/>
      <c r="G542" s="125"/>
      <c r="H542" s="125"/>
      <c r="I542" s="125"/>
      <c r="J542" s="125"/>
      <c r="K542" s="125"/>
      <c r="L542" s="125"/>
      <c r="M542" s="125"/>
      <c r="N542" s="129"/>
      <c r="O542" s="125"/>
      <c r="P542" s="173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spans="1:26" ht="15.75" customHeight="1">
      <c r="A543" s="125"/>
      <c r="B543" s="125"/>
      <c r="C543" s="125"/>
      <c r="D543" s="125"/>
      <c r="E543" s="125"/>
      <c r="F543" s="126"/>
      <c r="G543" s="125"/>
      <c r="H543" s="125"/>
      <c r="I543" s="125"/>
      <c r="J543" s="125"/>
      <c r="K543" s="125"/>
      <c r="L543" s="125"/>
      <c r="M543" s="125"/>
      <c r="N543" s="129"/>
      <c r="O543" s="125"/>
      <c r="P543" s="173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spans="1:26" ht="15.75" customHeight="1">
      <c r="A544" s="125"/>
      <c r="B544" s="125"/>
      <c r="C544" s="125"/>
      <c r="D544" s="125"/>
      <c r="E544" s="125"/>
      <c r="F544" s="126"/>
      <c r="G544" s="125"/>
      <c r="H544" s="125"/>
      <c r="I544" s="125"/>
      <c r="J544" s="125"/>
      <c r="K544" s="125"/>
      <c r="L544" s="125"/>
      <c r="M544" s="125"/>
      <c r="N544" s="129"/>
      <c r="O544" s="125"/>
      <c r="P544" s="173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spans="1:26" ht="15.75" customHeight="1">
      <c r="A545" s="125"/>
      <c r="B545" s="125"/>
      <c r="C545" s="125"/>
      <c r="D545" s="125"/>
      <c r="E545" s="125"/>
      <c r="F545" s="126"/>
      <c r="G545" s="125"/>
      <c r="H545" s="125"/>
      <c r="I545" s="125"/>
      <c r="J545" s="125"/>
      <c r="K545" s="125"/>
      <c r="L545" s="125"/>
      <c r="M545" s="125"/>
      <c r="N545" s="129"/>
      <c r="O545" s="125"/>
      <c r="P545" s="173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spans="1:26" ht="15.75" customHeight="1">
      <c r="A546" s="125"/>
      <c r="B546" s="125"/>
      <c r="C546" s="125"/>
      <c r="D546" s="125"/>
      <c r="E546" s="125"/>
      <c r="F546" s="126"/>
      <c r="G546" s="125"/>
      <c r="H546" s="125"/>
      <c r="I546" s="125"/>
      <c r="J546" s="125"/>
      <c r="K546" s="125"/>
      <c r="L546" s="125"/>
      <c r="M546" s="125"/>
      <c r="N546" s="129"/>
      <c r="O546" s="125"/>
      <c r="P546" s="173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spans="1:26" ht="15.75" customHeight="1">
      <c r="A547" s="125"/>
      <c r="B547" s="125"/>
      <c r="C547" s="125"/>
      <c r="D547" s="125"/>
      <c r="E547" s="125"/>
      <c r="F547" s="126"/>
      <c r="G547" s="125"/>
      <c r="H547" s="125"/>
      <c r="I547" s="125"/>
      <c r="J547" s="125"/>
      <c r="K547" s="125"/>
      <c r="L547" s="125"/>
      <c r="M547" s="125"/>
      <c r="N547" s="129"/>
      <c r="O547" s="125"/>
      <c r="P547" s="173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spans="1:26" ht="15.75" customHeight="1">
      <c r="A548" s="125"/>
      <c r="B548" s="125"/>
      <c r="C548" s="125"/>
      <c r="D548" s="125"/>
      <c r="E548" s="125"/>
      <c r="F548" s="126"/>
      <c r="G548" s="125"/>
      <c r="H548" s="125"/>
      <c r="I548" s="125"/>
      <c r="J548" s="125"/>
      <c r="K548" s="125"/>
      <c r="L548" s="125"/>
      <c r="M548" s="125"/>
      <c r="N548" s="129"/>
      <c r="O548" s="125"/>
      <c r="P548" s="173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spans="1:26" ht="15.75" customHeight="1">
      <c r="A549" s="125"/>
      <c r="B549" s="125"/>
      <c r="C549" s="125"/>
      <c r="D549" s="125"/>
      <c r="E549" s="125"/>
      <c r="F549" s="126"/>
      <c r="G549" s="125"/>
      <c r="H549" s="125"/>
      <c r="I549" s="125"/>
      <c r="J549" s="125"/>
      <c r="K549" s="125"/>
      <c r="L549" s="125"/>
      <c r="M549" s="125"/>
      <c r="N549" s="129"/>
      <c r="O549" s="125"/>
      <c r="P549" s="173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spans="1:26" ht="15.75" customHeight="1">
      <c r="A550" s="125"/>
      <c r="B550" s="125"/>
      <c r="C550" s="125"/>
      <c r="D550" s="125"/>
      <c r="E550" s="125"/>
      <c r="F550" s="126"/>
      <c r="G550" s="125"/>
      <c r="H550" s="125"/>
      <c r="I550" s="125"/>
      <c r="J550" s="125"/>
      <c r="K550" s="125"/>
      <c r="L550" s="125"/>
      <c r="M550" s="125"/>
      <c r="N550" s="129"/>
      <c r="O550" s="125"/>
      <c r="P550" s="173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spans="1:26" ht="15.75" customHeight="1">
      <c r="A551" s="125"/>
      <c r="B551" s="125"/>
      <c r="C551" s="125"/>
      <c r="D551" s="125"/>
      <c r="E551" s="125"/>
      <c r="F551" s="126"/>
      <c r="G551" s="125"/>
      <c r="H551" s="125"/>
      <c r="I551" s="125"/>
      <c r="J551" s="125"/>
      <c r="K551" s="125"/>
      <c r="L551" s="125"/>
      <c r="M551" s="125"/>
      <c r="N551" s="129"/>
      <c r="O551" s="125"/>
      <c r="P551" s="173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spans="1:26" ht="15.75" customHeight="1">
      <c r="A552" s="125"/>
      <c r="B552" s="125"/>
      <c r="C552" s="125"/>
      <c r="D552" s="125"/>
      <c r="E552" s="125"/>
      <c r="F552" s="126"/>
      <c r="G552" s="125"/>
      <c r="H552" s="125"/>
      <c r="I552" s="125"/>
      <c r="J552" s="125"/>
      <c r="K552" s="125"/>
      <c r="L552" s="125"/>
      <c r="M552" s="125"/>
      <c r="N552" s="129"/>
      <c r="O552" s="125"/>
      <c r="P552" s="173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26" ht="15.75" customHeight="1">
      <c r="A553" s="125"/>
      <c r="B553" s="125"/>
      <c r="C553" s="125"/>
      <c r="D553" s="125"/>
      <c r="E553" s="125"/>
      <c r="F553" s="126"/>
      <c r="G553" s="125"/>
      <c r="H553" s="125"/>
      <c r="I553" s="125"/>
      <c r="J553" s="125"/>
      <c r="K553" s="125"/>
      <c r="L553" s="125"/>
      <c r="M553" s="125"/>
      <c r="N553" s="129"/>
      <c r="O553" s="125"/>
      <c r="P553" s="173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spans="1:26" ht="15.75" customHeight="1">
      <c r="A554" s="125"/>
      <c r="B554" s="125"/>
      <c r="C554" s="125"/>
      <c r="D554" s="125"/>
      <c r="E554" s="125"/>
      <c r="F554" s="126"/>
      <c r="G554" s="125"/>
      <c r="H554" s="125"/>
      <c r="I554" s="125"/>
      <c r="J554" s="125"/>
      <c r="K554" s="125"/>
      <c r="L554" s="125"/>
      <c r="M554" s="125"/>
      <c r="N554" s="129"/>
      <c r="O554" s="125"/>
      <c r="P554" s="173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spans="1:26" ht="15.75" customHeight="1">
      <c r="A555" s="125"/>
      <c r="B555" s="125"/>
      <c r="C555" s="125"/>
      <c r="D555" s="125"/>
      <c r="E555" s="125"/>
      <c r="F555" s="126"/>
      <c r="G555" s="125"/>
      <c r="H555" s="125"/>
      <c r="I555" s="125"/>
      <c r="J555" s="125"/>
      <c r="K555" s="125"/>
      <c r="L555" s="125"/>
      <c r="M555" s="125"/>
      <c r="N555" s="129"/>
      <c r="O555" s="125"/>
      <c r="P555" s="173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spans="1:26" ht="15.75" customHeight="1">
      <c r="A556" s="125"/>
      <c r="B556" s="125"/>
      <c r="C556" s="125"/>
      <c r="D556" s="125"/>
      <c r="E556" s="125"/>
      <c r="F556" s="126"/>
      <c r="G556" s="125"/>
      <c r="H556" s="125"/>
      <c r="I556" s="125"/>
      <c r="J556" s="125"/>
      <c r="K556" s="125"/>
      <c r="L556" s="125"/>
      <c r="M556" s="125"/>
      <c r="N556" s="129"/>
      <c r="O556" s="125"/>
      <c r="P556" s="173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spans="1:26" ht="15.75" customHeight="1">
      <c r="A557" s="125"/>
      <c r="B557" s="125"/>
      <c r="C557" s="125"/>
      <c r="D557" s="125"/>
      <c r="E557" s="125"/>
      <c r="F557" s="126"/>
      <c r="G557" s="125"/>
      <c r="H557" s="125"/>
      <c r="I557" s="125"/>
      <c r="J557" s="125"/>
      <c r="K557" s="125"/>
      <c r="L557" s="125"/>
      <c r="M557" s="125"/>
      <c r="N557" s="129"/>
      <c r="O557" s="125"/>
      <c r="P557" s="173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spans="1:26" ht="15.75" customHeight="1">
      <c r="A558" s="125"/>
      <c r="B558" s="125"/>
      <c r="C558" s="125"/>
      <c r="D558" s="125"/>
      <c r="E558" s="125"/>
      <c r="F558" s="126"/>
      <c r="G558" s="125"/>
      <c r="H558" s="125"/>
      <c r="I558" s="125"/>
      <c r="J558" s="125"/>
      <c r="K558" s="125"/>
      <c r="L558" s="125"/>
      <c r="M558" s="125"/>
      <c r="N558" s="129"/>
      <c r="O558" s="125"/>
      <c r="P558" s="173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spans="1:26" ht="15.75" customHeight="1">
      <c r="A559" s="125"/>
      <c r="B559" s="125"/>
      <c r="C559" s="125"/>
      <c r="D559" s="125"/>
      <c r="E559" s="125"/>
      <c r="F559" s="126"/>
      <c r="G559" s="125"/>
      <c r="H559" s="125"/>
      <c r="I559" s="125"/>
      <c r="J559" s="125"/>
      <c r="K559" s="125"/>
      <c r="L559" s="125"/>
      <c r="M559" s="125"/>
      <c r="N559" s="129"/>
      <c r="O559" s="125"/>
      <c r="P559" s="173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spans="1:26" ht="15.75" customHeight="1">
      <c r="A560" s="125"/>
      <c r="B560" s="125"/>
      <c r="C560" s="125"/>
      <c r="D560" s="125"/>
      <c r="E560" s="125"/>
      <c r="F560" s="126"/>
      <c r="G560" s="125"/>
      <c r="H560" s="125"/>
      <c r="I560" s="125"/>
      <c r="J560" s="125"/>
      <c r="K560" s="125"/>
      <c r="L560" s="125"/>
      <c r="M560" s="125"/>
      <c r="N560" s="129"/>
      <c r="O560" s="125"/>
      <c r="P560" s="173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spans="1:26" ht="15.75" customHeight="1">
      <c r="A561" s="125"/>
      <c r="B561" s="125"/>
      <c r="C561" s="125"/>
      <c r="D561" s="125"/>
      <c r="E561" s="125"/>
      <c r="F561" s="126"/>
      <c r="G561" s="125"/>
      <c r="H561" s="125"/>
      <c r="I561" s="125"/>
      <c r="J561" s="125"/>
      <c r="K561" s="125"/>
      <c r="L561" s="125"/>
      <c r="M561" s="125"/>
      <c r="N561" s="129"/>
      <c r="O561" s="125"/>
      <c r="P561" s="173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spans="1:26" ht="15.75" customHeight="1">
      <c r="A562" s="125"/>
      <c r="B562" s="125"/>
      <c r="C562" s="125"/>
      <c r="D562" s="125"/>
      <c r="E562" s="125"/>
      <c r="F562" s="126"/>
      <c r="G562" s="125"/>
      <c r="H562" s="125"/>
      <c r="I562" s="125"/>
      <c r="J562" s="125"/>
      <c r="K562" s="125"/>
      <c r="L562" s="125"/>
      <c r="M562" s="125"/>
      <c r="N562" s="129"/>
      <c r="O562" s="125"/>
      <c r="P562" s="173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spans="1:26" ht="15.75" customHeight="1">
      <c r="A563" s="125"/>
      <c r="B563" s="125"/>
      <c r="C563" s="125"/>
      <c r="D563" s="125"/>
      <c r="E563" s="125"/>
      <c r="F563" s="126"/>
      <c r="G563" s="125"/>
      <c r="H563" s="125"/>
      <c r="I563" s="125"/>
      <c r="J563" s="125"/>
      <c r="K563" s="125"/>
      <c r="L563" s="125"/>
      <c r="M563" s="125"/>
      <c r="N563" s="129"/>
      <c r="O563" s="125"/>
      <c r="P563" s="173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spans="1:26" ht="15.75" customHeight="1">
      <c r="A564" s="125"/>
      <c r="B564" s="125"/>
      <c r="C564" s="125"/>
      <c r="D564" s="125"/>
      <c r="E564" s="125"/>
      <c r="F564" s="126"/>
      <c r="G564" s="125"/>
      <c r="H564" s="125"/>
      <c r="I564" s="125"/>
      <c r="J564" s="125"/>
      <c r="K564" s="125"/>
      <c r="L564" s="125"/>
      <c r="M564" s="125"/>
      <c r="N564" s="129"/>
      <c r="O564" s="125"/>
      <c r="P564" s="173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spans="1:26" ht="15.75" customHeight="1">
      <c r="A565" s="125"/>
      <c r="B565" s="125"/>
      <c r="C565" s="125"/>
      <c r="D565" s="125"/>
      <c r="E565" s="125"/>
      <c r="F565" s="126"/>
      <c r="G565" s="125"/>
      <c r="H565" s="125"/>
      <c r="I565" s="125"/>
      <c r="J565" s="125"/>
      <c r="K565" s="125"/>
      <c r="L565" s="125"/>
      <c r="M565" s="125"/>
      <c r="N565" s="129"/>
      <c r="O565" s="125"/>
      <c r="P565" s="173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spans="1:26" ht="15.75" customHeight="1">
      <c r="A566" s="125"/>
      <c r="B566" s="125"/>
      <c r="C566" s="125"/>
      <c r="D566" s="125"/>
      <c r="E566" s="125"/>
      <c r="F566" s="126"/>
      <c r="G566" s="125"/>
      <c r="H566" s="125"/>
      <c r="I566" s="125"/>
      <c r="J566" s="125"/>
      <c r="K566" s="125"/>
      <c r="L566" s="125"/>
      <c r="M566" s="125"/>
      <c r="N566" s="129"/>
      <c r="O566" s="125"/>
      <c r="P566" s="173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spans="1:26" ht="15.75" customHeight="1">
      <c r="A567" s="125"/>
      <c r="B567" s="125"/>
      <c r="C567" s="125"/>
      <c r="D567" s="125"/>
      <c r="E567" s="125"/>
      <c r="F567" s="126"/>
      <c r="G567" s="125"/>
      <c r="H567" s="125"/>
      <c r="I567" s="125"/>
      <c r="J567" s="125"/>
      <c r="K567" s="125"/>
      <c r="L567" s="125"/>
      <c r="M567" s="125"/>
      <c r="N567" s="129"/>
      <c r="O567" s="125"/>
      <c r="P567" s="173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spans="1:26" ht="15.75" customHeight="1">
      <c r="A568" s="125"/>
      <c r="B568" s="125"/>
      <c r="C568" s="125"/>
      <c r="D568" s="125"/>
      <c r="E568" s="125"/>
      <c r="F568" s="126"/>
      <c r="G568" s="125"/>
      <c r="H568" s="125"/>
      <c r="I568" s="125"/>
      <c r="J568" s="125"/>
      <c r="K568" s="125"/>
      <c r="L568" s="125"/>
      <c r="M568" s="125"/>
      <c r="N568" s="129"/>
      <c r="O568" s="125"/>
      <c r="P568" s="173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spans="1:26" ht="15.75" customHeight="1">
      <c r="A569" s="125"/>
      <c r="B569" s="125"/>
      <c r="C569" s="125"/>
      <c r="D569" s="125"/>
      <c r="E569" s="125"/>
      <c r="F569" s="126"/>
      <c r="G569" s="125"/>
      <c r="H569" s="125"/>
      <c r="I569" s="125"/>
      <c r="J569" s="125"/>
      <c r="K569" s="125"/>
      <c r="L569" s="125"/>
      <c r="M569" s="125"/>
      <c r="N569" s="129"/>
      <c r="O569" s="125"/>
      <c r="P569" s="173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spans="1:26" ht="15.75" customHeight="1">
      <c r="A570" s="125"/>
      <c r="B570" s="125"/>
      <c r="C570" s="125"/>
      <c r="D570" s="125"/>
      <c r="E570" s="125"/>
      <c r="F570" s="126"/>
      <c r="G570" s="125"/>
      <c r="H570" s="125"/>
      <c r="I570" s="125"/>
      <c r="J570" s="125"/>
      <c r="K570" s="125"/>
      <c r="L570" s="125"/>
      <c r="M570" s="125"/>
      <c r="N570" s="129"/>
      <c r="O570" s="125"/>
      <c r="P570" s="173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spans="1:26" ht="15.75" customHeight="1">
      <c r="A571" s="125"/>
      <c r="B571" s="125"/>
      <c r="C571" s="125"/>
      <c r="D571" s="125"/>
      <c r="E571" s="125"/>
      <c r="F571" s="126"/>
      <c r="G571" s="125"/>
      <c r="H571" s="125"/>
      <c r="I571" s="125"/>
      <c r="J571" s="125"/>
      <c r="K571" s="125"/>
      <c r="L571" s="125"/>
      <c r="M571" s="125"/>
      <c r="N571" s="129"/>
      <c r="O571" s="125"/>
      <c r="P571" s="173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spans="1:26" ht="15.75" customHeight="1">
      <c r="A572" s="125"/>
      <c r="B572" s="125"/>
      <c r="C572" s="125"/>
      <c r="D572" s="125"/>
      <c r="E572" s="125"/>
      <c r="F572" s="126"/>
      <c r="G572" s="125"/>
      <c r="H572" s="125"/>
      <c r="I572" s="125"/>
      <c r="J572" s="125"/>
      <c r="K572" s="125"/>
      <c r="L572" s="125"/>
      <c r="M572" s="125"/>
      <c r="N572" s="129"/>
      <c r="O572" s="125"/>
      <c r="P572" s="173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spans="1:26" ht="15.75" customHeight="1">
      <c r="A573" s="125"/>
      <c r="B573" s="125"/>
      <c r="C573" s="125"/>
      <c r="D573" s="125"/>
      <c r="E573" s="125"/>
      <c r="F573" s="126"/>
      <c r="G573" s="125"/>
      <c r="H573" s="125"/>
      <c r="I573" s="125"/>
      <c r="J573" s="125"/>
      <c r="K573" s="125"/>
      <c r="L573" s="125"/>
      <c r="M573" s="125"/>
      <c r="N573" s="129"/>
      <c r="O573" s="125"/>
      <c r="P573" s="173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spans="1:26" ht="15.75" customHeight="1">
      <c r="A574" s="125"/>
      <c r="B574" s="125"/>
      <c r="C574" s="125"/>
      <c r="D574" s="125"/>
      <c r="E574" s="125"/>
      <c r="F574" s="126"/>
      <c r="G574" s="125"/>
      <c r="H574" s="125"/>
      <c r="I574" s="125"/>
      <c r="J574" s="125"/>
      <c r="K574" s="125"/>
      <c r="L574" s="125"/>
      <c r="M574" s="125"/>
      <c r="N574" s="129"/>
      <c r="O574" s="125"/>
      <c r="P574" s="173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spans="1:26" ht="15.75" customHeight="1">
      <c r="A575" s="125"/>
      <c r="B575" s="125"/>
      <c r="C575" s="125"/>
      <c r="D575" s="125"/>
      <c r="E575" s="125"/>
      <c r="F575" s="126"/>
      <c r="G575" s="125"/>
      <c r="H575" s="125"/>
      <c r="I575" s="125"/>
      <c r="J575" s="125"/>
      <c r="K575" s="125"/>
      <c r="L575" s="125"/>
      <c r="M575" s="125"/>
      <c r="N575" s="129"/>
      <c r="O575" s="125"/>
      <c r="P575" s="173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spans="1:26" ht="15.75" customHeight="1">
      <c r="A576" s="125"/>
      <c r="B576" s="125"/>
      <c r="C576" s="125"/>
      <c r="D576" s="125"/>
      <c r="E576" s="125"/>
      <c r="F576" s="126"/>
      <c r="G576" s="125"/>
      <c r="H576" s="125"/>
      <c r="I576" s="125"/>
      <c r="J576" s="125"/>
      <c r="K576" s="125"/>
      <c r="L576" s="125"/>
      <c r="M576" s="125"/>
      <c r="N576" s="129"/>
      <c r="O576" s="125"/>
      <c r="P576" s="173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spans="1:26" ht="15.75" customHeight="1">
      <c r="A577" s="125"/>
      <c r="B577" s="125"/>
      <c r="C577" s="125"/>
      <c r="D577" s="125"/>
      <c r="E577" s="125"/>
      <c r="F577" s="126"/>
      <c r="G577" s="125"/>
      <c r="H577" s="125"/>
      <c r="I577" s="125"/>
      <c r="J577" s="125"/>
      <c r="K577" s="125"/>
      <c r="L577" s="125"/>
      <c r="M577" s="125"/>
      <c r="N577" s="129"/>
      <c r="O577" s="125"/>
      <c r="P577" s="173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spans="1:26" ht="15.75" customHeight="1">
      <c r="A578" s="125"/>
      <c r="B578" s="125"/>
      <c r="C578" s="125"/>
      <c r="D578" s="125"/>
      <c r="E578" s="125"/>
      <c r="F578" s="126"/>
      <c r="G578" s="125"/>
      <c r="H578" s="125"/>
      <c r="I578" s="125"/>
      <c r="J578" s="125"/>
      <c r="K578" s="125"/>
      <c r="L578" s="125"/>
      <c r="M578" s="125"/>
      <c r="N578" s="129"/>
      <c r="O578" s="125"/>
      <c r="P578" s="173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spans="1:26" ht="15.75" customHeight="1">
      <c r="A579" s="125"/>
      <c r="B579" s="125"/>
      <c r="C579" s="125"/>
      <c r="D579" s="125"/>
      <c r="E579" s="125"/>
      <c r="F579" s="126"/>
      <c r="G579" s="125"/>
      <c r="H579" s="125"/>
      <c r="I579" s="125"/>
      <c r="J579" s="125"/>
      <c r="K579" s="125"/>
      <c r="L579" s="125"/>
      <c r="M579" s="125"/>
      <c r="N579" s="129"/>
      <c r="O579" s="125"/>
      <c r="P579" s="173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spans="1:26" ht="15.75" customHeight="1">
      <c r="A580" s="125"/>
      <c r="B580" s="125"/>
      <c r="C580" s="125"/>
      <c r="D580" s="125"/>
      <c r="E580" s="125"/>
      <c r="F580" s="126"/>
      <c r="G580" s="125"/>
      <c r="H580" s="125"/>
      <c r="I580" s="125"/>
      <c r="J580" s="125"/>
      <c r="K580" s="125"/>
      <c r="L580" s="125"/>
      <c r="M580" s="125"/>
      <c r="N580" s="129"/>
      <c r="O580" s="125"/>
      <c r="P580" s="173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spans="1:26" ht="15.75" customHeight="1">
      <c r="A581" s="125"/>
      <c r="B581" s="125"/>
      <c r="C581" s="125"/>
      <c r="D581" s="125"/>
      <c r="E581" s="125"/>
      <c r="F581" s="126"/>
      <c r="G581" s="125"/>
      <c r="H581" s="125"/>
      <c r="I581" s="125"/>
      <c r="J581" s="125"/>
      <c r="K581" s="125"/>
      <c r="L581" s="125"/>
      <c r="M581" s="125"/>
      <c r="N581" s="129"/>
      <c r="O581" s="125"/>
      <c r="P581" s="173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spans="1:26" ht="15.75" customHeight="1">
      <c r="A582" s="125"/>
      <c r="B582" s="125"/>
      <c r="C582" s="125"/>
      <c r="D582" s="125"/>
      <c r="E582" s="125"/>
      <c r="F582" s="126"/>
      <c r="G582" s="125"/>
      <c r="H582" s="125"/>
      <c r="I582" s="125"/>
      <c r="J582" s="125"/>
      <c r="K582" s="125"/>
      <c r="L582" s="125"/>
      <c r="M582" s="125"/>
      <c r="N582" s="129"/>
      <c r="O582" s="125"/>
      <c r="P582" s="173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spans="1:26" ht="15.75" customHeight="1">
      <c r="A583" s="125"/>
      <c r="B583" s="125"/>
      <c r="C583" s="125"/>
      <c r="D583" s="125"/>
      <c r="E583" s="125"/>
      <c r="F583" s="126"/>
      <c r="G583" s="125"/>
      <c r="H583" s="125"/>
      <c r="I583" s="125"/>
      <c r="J583" s="125"/>
      <c r="K583" s="125"/>
      <c r="L583" s="125"/>
      <c r="M583" s="125"/>
      <c r="N583" s="129"/>
      <c r="O583" s="125"/>
      <c r="P583" s="173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spans="1:26" ht="15.75" customHeight="1">
      <c r="A584" s="125"/>
      <c r="B584" s="125"/>
      <c r="C584" s="125"/>
      <c r="D584" s="125"/>
      <c r="E584" s="125"/>
      <c r="F584" s="126"/>
      <c r="G584" s="125"/>
      <c r="H584" s="125"/>
      <c r="I584" s="125"/>
      <c r="J584" s="125"/>
      <c r="K584" s="125"/>
      <c r="L584" s="125"/>
      <c r="M584" s="125"/>
      <c r="N584" s="129"/>
      <c r="O584" s="125"/>
      <c r="P584" s="173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spans="1:26" ht="15.75" customHeight="1">
      <c r="A585" s="125"/>
      <c r="B585" s="125"/>
      <c r="C585" s="125"/>
      <c r="D585" s="125"/>
      <c r="E585" s="125"/>
      <c r="F585" s="126"/>
      <c r="G585" s="125"/>
      <c r="H585" s="125"/>
      <c r="I585" s="125"/>
      <c r="J585" s="125"/>
      <c r="K585" s="125"/>
      <c r="L585" s="125"/>
      <c r="M585" s="125"/>
      <c r="N585" s="129"/>
      <c r="O585" s="125"/>
      <c r="P585" s="173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spans="1:26" ht="15.75" customHeight="1">
      <c r="A586" s="125"/>
      <c r="B586" s="125"/>
      <c r="C586" s="125"/>
      <c r="D586" s="125"/>
      <c r="E586" s="125"/>
      <c r="F586" s="126"/>
      <c r="G586" s="125"/>
      <c r="H586" s="125"/>
      <c r="I586" s="125"/>
      <c r="J586" s="125"/>
      <c r="K586" s="125"/>
      <c r="L586" s="125"/>
      <c r="M586" s="125"/>
      <c r="N586" s="129"/>
      <c r="O586" s="125"/>
      <c r="P586" s="173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spans="1:26" ht="15.75" customHeight="1">
      <c r="A587" s="125"/>
      <c r="B587" s="125"/>
      <c r="C587" s="125"/>
      <c r="D587" s="125"/>
      <c r="E587" s="125"/>
      <c r="F587" s="126"/>
      <c r="G587" s="125"/>
      <c r="H587" s="125"/>
      <c r="I587" s="125"/>
      <c r="J587" s="125"/>
      <c r="K587" s="125"/>
      <c r="L587" s="125"/>
      <c r="M587" s="125"/>
      <c r="N587" s="129"/>
      <c r="O587" s="125"/>
      <c r="P587" s="173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spans="1:26" ht="15.75" customHeight="1">
      <c r="A588" s="125"/>
      <c r="B588" s="125"/>
      <c r="C588" s="125"/>
      <c r="D588" s="125"/>
      <c r="E588" s="125"/>
      <c r="F588" s="126"/>
      <c r="G588" s="125"/>
      <c r="H588" s="125"/>
      <c r="I588" s="125"/>
      <c r="J588" s="125"/>
      <c r="K588" s="125"/>
      <c r="L588" s="125"/>
      <c r="M588" s="125"/>
      <c r="N588" s="129"/>
      <c r="O588" s="125"/>
      <c r="P588" s="173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spans="1:26" ht="15.75" customHeight="1">
      <c r="A589" s="125"/>
      <c r="B589" s="125"/>
      <c r="C589" s="125"/>
      <c r="D589" s="125"/>
      <c r="E589" s="125"/>
      <c r="F589" s="126"/>
      <c r="G589" s="125"/>
      <c r="H589" s="125"/>
      <c r="I589" s="125"/>
      <c r="J589" s="125"/>
      <c r="K589" s="125"/>
      <c r="L589" s="125"/>
      <c r="M589" s="125"/>
      <c r="N589" s="129"/>
      <c r="O589" s="125"/>
      <c r="P589" s="173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spans="1:26" ht="15.75" customHeight="1">
      <c r="A590" s="125"/>
      <c r="B590" s="125"/>
      <c r="C590" s="125"/>
      <c r="D590" s="125"/>
      <c r="E590" s="125"/>
      <c r="F590" s="126"/>
      <c r="G590" s="125"/>
      <c r="H590" s="125"/>
      <c r="I590" s="125"/>
      <c r="J590" s="125"/>
      <c r="K590" s="125"/>
      <c r="L590" s="125"/>
      <c r="M590" s="125"/>
      <c r="N590" s="129"/>
      <c r="O590" s="125"/>
      <c r="P590" s="173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spans="1:26" ht="15.75" customHeight="1">
      <c r="A591" s="125"/>
      <c r="B591" s="125"/>
      <c r="C591" s="125"/>
      <c r="D591" s="125"/>
      <c r="E591" s="125"/>
      <c r="F591" s="126"/>
      <c r="G591" s="125"/>
      <c r="H591" s="125"/>
      <c r="I591" s="125"/>
      <c r="J591" s="125"/>
      <c r="K591" s="125"/>
      <c r="L591" s="125"/>
      <c r="M591" s="125"/>
      <c r="N591" s="129"/>
      <c r="O591" s="125"/>
      <c r="P591" s="173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spans="1:26" ht="15.75" customHeight="1">
      <c r="A592" s="125"/>
      <c r="B592" s="125"/>
      <c r="C592" s="125"/>
      <c r="D592" s="125"/>
      <c r="E592" s="125"/>
      <c r="F592" s="126"/>
      <c r="G592" s="125"/>
      <c r="H592" s="125"/>
      <c r="I592" s="125"/>
      <c r="J592" s="125"/>
      <c r="K592" s="125"/>
      <c r="L592" s="125"/>
      <c r="M592" s="125"/>
      <c r="N592" s="129"/>
      <c r="O592" s="125"/>
      <c r="P592" s="173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spans="1:26" ht="15.75" customHeight="1">
      <c r="A593" s="125"/>
      <c r="B593" s="125"/>
      <c r="C593" s="125"/>
      <c r="D593" s="125"/>
      <c r="E593" s="125"/>
      <c r="F593" s="126"/>
      <c r="G593" s="125"/>
      <c r="H593" s="125"/>
      <c r="I593" s="125"/>
      <c r="J593" s="125"/>
      <c r="K593" s="125"/>
      <c r="L593" s="125"/>
      <c r="M593" s="125"/>
      <c r="N593" s="129"/>
      <c r="O593" s="125"/>
      <c r="P593" s="173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spans="1:26" ht="15.75" customHeight="1">
      <c r="A594" s="125"/>
      <c r="B594" s="125"/>
      <c r="C594" s="125"/>
      <c r="D594" s="125"/>
      <c r="E594" s="125"/>
      <c r="F594" s="126"/>
      <c r="G594" s="125"/>
      <c r="H594" s="125"/>
      <c r="I594" s="125"/>
      <c r="J594" s="125"/>
      <c r="K594" s="125"/>
      <c r="L594" s="125"/>
      <c r="M594" s="125"/>
      <c r="N594" s="129"/>
      <c r="O594" s="125"/>
      <c r="P594" s="173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spans="1:26" ht="15.75" customHeight="1">
      <c r="A595" s="125"/>
      <c r="B595" s="125"/>
      <c r="C595" s="125"/>
      <c r="D595" s="125"/>
      <c r="E595" s="125"/>
      <c r="F595" s="126"/>
      <c r="G595" s="125"/>
      <c r="H595" s="125"/>
      <c r="I595" s="125"/>
      <c r="J595" s="125"/>
      <c r="K595" s="125"/>
      <c r="L595" s="125"/>
      <c r="M595" s="125"/>
      <c r="N595" s="129"/>
      <c r="O595" s="125"/>
      <c r="P595" s="173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spans="1:26" ht="15.75" customHeight="1">
      <c r="A596" s="125"/>
      <c r="B596" s="125"/>
      <c r="C596" s="125"/>
      <c r="D596" s="125"/>
      <c r="E596" s="125"/>
      <c r="F596" s="126"/>
      <c r="G596" s="125"/>
      <c r="H596" s="125"/>
      <c r="I596" s="125"/>
      <c r="J596" s="125"/>
      <c r="K596" s="125"/>
      <c r="L596" s="125"/>
      <c r="M596" s="125"/>
      <c r="N596" s="129"/>
      <c r="O596" s="125"/>
      <c r="P596" s="173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spans="1:26" ht="15.75" customHeight="1">
      <c r="A597" s="125"/>
      <c r="B597" s="125"/>
      <c r="C597" s="125"/>
      <c r="D597" s="125"/>
      <c r="E597" s="125"/>
      <c r="F597" s="126"/>
      <c r="G597" s="125"/>
      <c r="H597" s="125"/>
      <c r="I597" s="125"/>
      <c r="J597" s="125"/>
      <c r="K597" s="125"/>
      <c r="L597" s="125"/>
      <c r="M597" s="125"/>
      <c r="N597" s="129"/>
      <c r="O597" s="125"/>
      <c r="P597" s="173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spans="1:26" ht="15.75" customHeight="1">
      <c r="A598" s="125"/>
      <c r="B598" s="125"/>
      <c r="C598" s="125"/>
      <c r="D598" s="125"/>
      <c r="E598" s="125"/>
      <c r="F598" s="126"/>
      <c r="G598" s="125"/>
      <c r="H598" s="125"/>
      <c r="I598" s="125"/>
      <c r="J598" s="125"/>
      <c r="K598" s="125"/>
      <c r="L598" s="125"/>
      <c r="M598" s="125"/>
      <c r="N598" s="129"/>
      <c r="O598" s="125"/>
      <c r="P598" s="173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spans="1:26" ht="15.75" customHeight="1">
      <c r="A599" s="125"/>
      <c r="B599" s="125"/>
      <c r="C599" s="125"/>
      <c r="D599" s="125"/>
      <c r="E599" s="125"/>
      <c r="F599" s="126"/>
      <c r="G599" s="125"/>
      <c r="H599" s="125"/>
      <c r="I599" s="125"/>
      <c r="J599" s="125"/>
      <c r="K599" s="125"/>
      <c r="L599" s="125"/>
      <c r="M599" s="125"/>
      <c r="N599" s="129"/>
      <c r="O599" s="125"/>
      <c r="P599" s="173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spans="1:26" ht="15.75" customHeight="1">
      <c r="A600" s="125"/>
      <c r="B600" s="125"/>
      <c r="C600" s="125"/>
      <c r="D600" s="125"/>
      <c r="E600" s="125"/>
      <c r="F600" s="126"/>
      <c r="G600" s="125"/>
      <c r="H600" s="125"/>
      <c r="I600" s="125"/>
      <c r="J600" s="125"/>
      <c r="K600" s="125"/>
      <c r="L600" s="125"/>
      <c r="M600" s="125"/>
      <c r="N600" s="129"/>
      <c r="O600" s="125"/>
      <c r="P600" s="173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spans="1:26" ht="15.75" customHeight="1">
      <c r="A601" s="125"/>
      <c r="B601" s="125"/>
      <c r="C601" s="125"/>
      <c r="D601" s="125"/>
      <c r="E601" s="125"/>
      <c r="F601" s="126"/>
      <c r="G601" s="125"/>
      <c r="H601" s="125"/>
      <c r="I601" s="125"/>
      <c r="J601" s="125"/>
      <c r="K601" s="125"/>
      <c r="L601" s="125"/>
      <c r="M601" s="125"/>
      <c r="N601" s="129"/>
      <c r="O601" s="125"/>
      <c r="P601" s="173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spans="1:26" ht="15.75" customHeight="1">
      <c r="A602" s="125"/>
      <c r="B602" s="125"/>
      <c r="C602" s="125"/>
      <c r="D602" s="125"/>
      <c r="E602" s="125"/>
      <c r="F602" s="126"/>
      <c r="G602" s="125"/>
      <c r="H602" s="125"/>
      <c r="I602" s="125"/>
      <c r="J602" s="125"/>
      <c r="K602" s="125"/>
      <c r="L602" s="125"/>
      <c r="M602" s="125"/>
      <c r="N602" s="129"/>
      <c r="O602" s="125"/>
      <c r="P602" s="173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spans="1:26" ht="15.75" customHeight="1">
      <c r="A603" s="125"/>
      <c r="B603" s="125"/>
      <c r="C603" s="125"/>
      <c r="D603" s="125"/>
      <c r="E603" s="125"/>
      <c r="F603" s="126"/>
      <c r="G603" s="125"/>
      <c r="H603" s="125"/>
      <c r="I603" s="125"/>
      <c r="J603" s="125"/>
      <c r="K603" s="125"/>
      <c r="L603" s="125"/>
      <c r="M603" s="125"/>
      <c r="N603" s="129"/>
      <c r="O603" s="125"/>
      <c r="P603" s="173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spans="1:26" ht="15.75" customHeight="1">
      <c r="A604" s="125"/>
      <c r="B604" s="125"/>
      <c r="C604" s="125"/>
      <c r="D604" s="125"/>
      <c r="E604" s="125"/>
      <c r="F604" s="126"/>
      <c r="G604" s="125"/>
      <c r="H604" s="125"/>
      <c r="I604" s="125"/>
      <c r="J604" s="125"/>
      <c r="K604" s="125"/>
      <c r="L604" s="125"/>
      <c r="M604" s="125"/>
      <c r="N604" s="129"/>
      <c r="O604" s="125"/>
      <c r="P604" s="173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spans="1:26" ht="15.75" customHeight="1">
      <c r="A605" s="125"/>
      <c r="B605" s="125"/>
      <c r="C605" s="125"/>
      <c r="D605" s="125"/>
      <c r="E605" s="125"/>
      <c r="F605" s="126"/>
      <c r="G605" s="125"/>
      <c r="H605" s="125"/>
      <c r="I605" s="125"/>
      <c r="J605" s="125"/>
      <c r="K605" s="125"/>
      <c r="L605" s="125"/>
      <c r="M605" s="125"/>
      <c r="N605" s="129"/>
      <c r="O605" s="125"/>
      <c r="P605" s="173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spans="1:26" ht="15.75" customHeight="1">
      <c r="A606" s="125"/>
      <c r="B606" s="125"/>
      <c r="C606" s="125"/>
      <c r="D606" s="125"/>
      <c r="E606" s="125"/>
      <c r="F606" s="126"/>
      <c r="G606" s="125"/>
      <c r="H606" s="125"/>
      <c r="I606" s="125"/>
      <c r="J606" s="125"/>
      <c r="K606" s="125"/>
      <c r="L606" s="125"/>
      <c r="M606" s="125"/>
      <c r="N606" s="129"/>
      <c r="O606" s="125"/>
      <c r="P606" s="173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spans="1:26" ht="15.75" customHeight="1">
      <c r="A607" s="125"/>
      <c r="B607" s="125"/>
      <c r="C607" s="125"/>
      <c r="D607" s="125"/>
      <c r="E607" s="125"/>
      <c r="F607" s="126"/>
      <c r="G607" s="125"/>
      <c r="H607" s="125"/>
      <c r="I607" s="125"/>
      <c r="J607" s="125"/>
      <c r="K607" s="125"/>
      <c r="L607" s="125"/>
      <c r="M607" s="125"/>
      <c r="N607" s="129"/>
      <c r="O607" s="125"/>
      <c r="P607" s="173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spans="1:26" ht="15.75" customHeight="1">
      <c r="A608" s="125"/>
      <c r="B608" s="125"/>
      <c r="C608" s="125"/>
      <c r="D608" s="125"/>
      <c r="E608" s="125"/>
      <c r="F608" s="126"/>
      <c r="G608" s="125"/>
      <c r="H608" s="125"/>
      <c r="I608" s="125"/>
      <c r="J608" s="125"/>
      <c r="K608" s="125"/>
      <c r="L608" s="125"/>
      <c r="M608" s="125"/>
      <c r="N608" s="129"/>
      <c r="O608" s="125"/>
      <c r="P608" s="173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spans="1:26" ht="15.75" customHeight="1">
      <c r="A609" s="125"/>
      <c r="B609" s="125"/>
      <c r="C609" s="125"/>
      <c r="D609" s="125"/>
      <c r="E609" s="125"/>
      <c r="F609" s="126"/>
      <c r="G609" s="125"/>
      <c r="H609" s="125"/>
      <c r="I609" s="125"/>
      <c r="J609" s="125"/>
      <c r="K609" s="125"/>
      <c r="L609" s="125"/>
      <c r="M609" s="125"/>
      <c r="N609" s="129"/>
      <c r="O609" s="125"/>
      <c r="P609" s="173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spans="1:26" ht="15.75" customHeight="1">
      <c r="A610" s="125"/>
      <c r="B610" s="125"/>
      <c r="C610" s="125"/>
      <c r="D610" s="125"/>
      <c r="E610" s="125"/>
      <c r="F610" s="126"/>
      <c r="G610" s="125"/>
      <c r="H610" s="125"/>
      <c r="I610" s="125"/>
      <c r="J610" s="125"/>
      <c r="K610" s="125"/>
      <c r="L610" s="125"/>
      <c r="M610" s="125"/>
      <c r="N610" s="129"/>
      <c r="O610" s="125"/>
      <c r="P610" s="173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spans="1:26" ht="15.75" customHeight="1">
      <c r="A611" s="125"/>
      <c r="B611" s="125"/>
      <c r="C611" s="125"/>
      <c r="D611" s="125"/>
      <c r="E611" s="125"/>
      <c r="F611" s="126"/>
      <c r="G611" s="125"/>
      <c r="H611" s="125"/>
      <c r="I611" s="125"/>
      <c r="J611" s="125"/>
      <c r="K611" s="125"/>
      <c r="L611" s="125"/>
      <c r="M611" s="125"/>
      <c r="N611" s="129"/>
      <c r="O611" s="125"/>
      <c r="P611" s="173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spans="1:26" ht="15.75" customHeight="1">
      <c r="A612" s="125"/>
      <c r="B612" s="125"/>
      <c r="C612" s="125"/>
      <c r="D612" s="125"/>
      <c r="E612" s="125"/>
      <c r="F612" s="126"/>
      <c r="G612" s="125"/>
      <c r="H612" s="125"/>
      <c r="I612" s="125"/>
      <c r="J612" s="125"/>
      <c r="K612" s="125"/>
      <c r="L612" s="125"/>
      <c r="M612" s="125"/>
      <c r="N612" s="129"/>
      <c r="O612" s="125"/>
      <c r="P612" s="173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spans="1:26" ht="15.75" customHeight="1">
      <c r="A613" s="125"/>
      <c r="B613" s="125"/>
      <c r="C613" s="125"/>
      <c r="D613" s="125"/>
      <c r="E613" s="125"/>
      <c r="F613" s="126"/>
      <c r="G613" s="125"/>
      <c r="H613" s="125"/>
      <c r="I613" s="125"/>
      <c r="J613" s="125"/>
      <c r="K613" s="125"/>
      <c r="L613" s="125"/>
      <c r="M613" s="125"/>
      <c r="N613" s="129"/>
      <c r="O613" s="125"/>
      <c r="P613" s="173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spans="1:26" ht="15.75" customHeight="1">
      <c r="A614" s="125"/>
      <c r="B614" s="125"/>
      <c r="C614" s="125"/>
      <c r="D614" s="125"/>
      <c r="E614" s="125"/>
      <c r="F614" s="126"/>
      <c r="G614" s="125"/>
      <c r="H614" s="125"/>
      <c r="I614" s="125"/>
      <c r="J614" s="125"/>
      <c r="K614" s="125"/>
      <c r="L614" s="125"/>
      <c r="M614" s="125"/>
      <c r="N614" s="129"/>
      <c r="O614" s="125"/>
      <c r="P614" s="173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spans="1:26" ht="15.75" customHeight="1">
      <c r="A615" s="125"/>
      <c r="B615" s="125"/>
      <c r="C615" s="125"/>
      <c r="D615" s="125"/>
      <c r="E615" s="125"/>
      <c r="F615" s="126"/>
      <c r="G615" s="125"/>
      <c r="H615" s="125"/>
      <c r="I615" s="125"/>
      <c r="J615" s="125"/>
      <c r="K615" s="125"/>
      <c r="L615" s="125"/>
      <c r="M615" s="125"/>
      <c r="N615" s="129"/>
      <c r="O615" s="125"/>
      <c r="P615" s="173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spans="1:26" ht="15.75" customHeight="1">
      <c r="A616" s="125"/>
      <c r="B616" s="125"/>
      <c r="C616" s="125"/>
      <c r="D616" s="125"/>
      <c r="E616" s="125"/>
      <c r="F616" s="126"/>
      <c r="G616" s="125"/>
      <c r="H616" s="125"/>
      <c r="I616" s="125"/>
      <c r="J616" s="125"/>
      <c r="K616" s="125"/>
      <c r="L616" s="125"/>
      <c r="M616" s="125"/>
      <c r="N616" s="129"/>
      <c r="O616" s="125"/>
      <c r="P616" s="173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spans="1:26" ht="15.75" customHeight="1">
      <c r="A617" s="125"/>
      <c r="B617" s="125"/>
      <c r="C617" s="125"/>
      <c r="D617" s="125"/>
      <c r="E617" s="125"/>
      <c r="F617" s="126"/>
      <c r="G617" s="125"/>
      <c r="H617" s="125"/>
      <c r="I617" s="125"/>
      <c r="J617" s="125"/>
      <c r="K617" s="125"/>
      <c r="L617" s="125"/>
      <c r="M617" s="125"/>
      <c r="N617" s="129"/>
      <c r="O617" s="125"/>
      <c r="P617" s="173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spans="1:26" ht="15.75" customHeight="1">
      <c r="A618" s="125"/>
      <c r="B618" s="125"/>
      <c r="C618" s="125"/>
      <c r="D618" s="125"/>
      <c r="E618" s="125"/>
      <c r="F618" s="126"/>
      <c r="G618" s="125"/>
      <c r="H618" s="125"/>
      <c r="I618" s="125"/>
      <c r="J618" s="125"/>
      <c r="K618" s="125"/>
      <c r="L618" s="125"/>
      <c r="M618" s="125"/>
      <c r="N618" s="129"/>
      <c r="O618" s="125"/>
      <c r="P618" s="173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spans="1:26" ht="15.75" customHeight="1">
      <c r="A619" s="125"/>
      <c r="B619" s="125"/>
      <c r="C619" s="125"/>
      <c r="D619" s="125"/>
      <c r="E619" s="125"/>
      <c r="F619" s="126"/>
      <c r="G619" s="125"/>
      <c r="H619" s="125"/>
      <c r="I619" s="125"/>
      <c r="J619" s="125"/>
      <c r="K619" s="125"/>
      <c r="L619" s="125"/>
      <c r="M619" s="125"/>
      <c r="N619" s="129"/>
      <c r="O619" s="125"/>
      <c r="P619" s="173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spans="1:26" ht="15.75" customHeight="1">
      <c r="A620" s="125"/>
      <c r="B620" s="125"/>
      <c r="C620" s="125"/>
      <c r="D620" s="125"/>
      <c r="E620" s="125"/>
      <c r="F620" s="126"/>
      <c r="G620" s="125"/>
      <c r="H620" s="125"/>
      <c r="I620" s="125"/>
      <c r="J620" s="125"/>
      <c r="K620" s="125"/>
      <c r="L620" s="125"/>
      <c r="M620" s="125"/>
      <c r="N620" s="129"/>
      <c r="O620" s="125"/>
      <c r="P620" s="173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spans="1:26" ht="15.75" customHeight="1">
      <c r="A621" s="125"/>
      <c r="B621" s="125"/>
      <c r="C621" s="125"/>
      <c r="D621" s="125"/>
      <c r="E621" s="125"/>
      <c r="F621" s="126"/>
      <c r="G621" s="125"/>
      <c r="H621" s="125"/>
      <c r="I621" s="125"/>
      <c r="J621" s="125"/>
      <c r="K621" s="125"/>
      <c r="L621" s="125"/>
      <c r="M621" s="125"/>
      <c r="N621" s="129"/>
      <c r="O621" s="125"/>
      <c r="P621" s="173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spans="1:26" ht="15.75" customHeight="1">
      <c r="A622" s="125"/>
      <c r="B622" s="125"/>
      <c r="C622" s="125"/>
      <c r="D622" s="125"/>
      <c r="E622" s="125"/>
      <c r="F622" s="126"/>
      <c r="G622" s="125"/>
      <c r="H622" s="125"/>
      <c r="I622" s="125"/>
      <c r="J622" s="125"/>
      <c r="K622" s="125"/>
      <c r="L622" s="125"/>
      <c r="M622" s="125"/>
      <c r="N622" s="129"/>
      <c r="O622" s="125"/>
      <c r="P622" s="173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spans="1:26" ht="15.75" customHeight="1">
      <c r="A623" s="125"/>
      <c r="B623" s="125"/>
      <c r="C623" s="125"/>
      <c r="D623" s="125"/>
      <c r="E623" s="125"/>
      <c r="F623" s="126"/>
      <c r="G623" s="125"/>
      <c r="H623" s="125"/>
      <c r="I623" s="125"/>
      <c r="J623" s="125"/>
      <c r="K623" s="125"/>
      <c r="L623" s="125"/>
      <c r="M623" s="125"/>
      <c r="N623" s="129"/>
      <c r="O623" s="125"/>
      <c r="P623" s="173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spans="1:26" ht="15.75" customHeight="1">
      <c r="A624" s="125"/>
      <c r="B624" s="125"/>
      <c r="C624" s="125"/>
      <c r="D624" s="125"/>
      <c r="E624" s="125"/>
      <c r="F624" s="126"/>
      <c r="G624" s="125"/>
      <c r="H624" s="125"/>
      <c r="I624" s="125"/>
      <c r="J624" s="125"/>
      <c r="K624" s="125"/>
      <c r="L624" s="125"/>
      <c r="M624" s="125"/>
      <c r="N624" s="129"/>
      <c r="O624" s="125"/>
      <c r="P624" s="173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spans="1:26" ht="15.75" customHeight="1">
      <c r="A625" s="125"/>
      <c r="B625" s="125"/>
      <c r="C625" s="125"/>
      <c r="D625" s="125"/>
      <c r="E625" s="125"/>
      <c r="F625" s="126"/>
      <c r="G625" s="125"/>
      <c r="H625" s="125"/>
      <c r="I625" s="125"/>
      <c r="J625" s="125"/>
      <c r="K625" s="125"/>
      <c r="L625" s="125"/>
      <c r="M625" s="125"/>
      <c r="N625" s="129"/>
      <c r="O625" s="125"/>
      <c r="P625" s="173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spans="1:26" ht="15.75" customHeight="1">
      <c r="A626" s="125"/>
      <c r="B626" s="125"/>
      <c r="C626" s="125"/>
      <c r="D626" s="125"/>
      <c r="E626" s="125"/>
      <c r="F626" s="126"/>
      <c r="G626" s="125"/>
      <c r="H626" s="125"/>
      <c r="I626" s="125"/>
      <c r="J626" s="125"/>
      <c r="K626" s="125"/>
      <c r="L626" s="125"/>
      <c r="M626" s="125"/>
      <c r="N626" s="129"/>
      <c r="O626" s="125"/>
      <c r="P626" s="173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spans="1:26" ht="15.75" customHeight="1">
      <c r="A627" s="125"/>
      <c r="B627" s="125"/>
      <c r="C627" s="125"/>
      <c r="D627" s="125"/>
      <c r="E627" s="125"/>
      <c r="F627" s="126"/>
      <c r="G627" s="125"/>
      <c r="H627" s="125"/>
      <c r="I627" s="125"/>
      <c r="J627" s="125"/>
      <c r="K627" s="125"/>
      <c r="L627" s="125"/>
      <c r="M627" s="125"/>
      <c r="N627" s="129"/>
      <c r="O627" s="125"/>
      <c r="P627" s="173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spans="1:26" ht="15.75" customHeight="1">
      <c r="A628" s="125"/>
      <c r="B628" s="125"/>
      <c r="C628" s="125"/>
      <c r="D628" s="125"/>
      <c r="E628" s="125"/>
      <c r="F628" s="126"/>
      <c r="G628" s="125"/>
      <c r="H628" s="125"/>
      <c r="I628" s="125"/>
      <c r="J628" s="125"/>
      <c r="K628" s="125"/>
      <c r="L628" s="125"/>
      <c r="M628" s="125"/>
      <c r="N628" s="129"/>
      <c r="O628" s="125"/>
      <c r="P628" s="173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spans="1:26" ht="15.75" customHeight="1">
      <c r="A629" s="125"/>
      <c r="B629" s="125"/>
      <c r="C629" s="125"/>
      <c r="D629" s="125"/>
      <c r="E629" s="125"/>
      <c r="F629" s="126"/>
      <c r="G629" s="125"/>
      <c r="H629" s="125"/>
      <c r="I629" s="125"/>
      <c r="J629" s="125"/>
      <c r="K629" s="125"/>
      <c r="L629" s="125"/>
      <c r="M629" s="125"/>
      <c r="N629" s="129"/>
      <c r="O629" s="125"/>
      <c r="P629" s="173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spans="1:26" ht="15.75" customHeight="1">
      <c r="A630" s="125"/>
      <c r="B630" s="125"/>
      <c r="C630" s="125"/>
      <c r="D630" s="125"/>
      <c r="E630" s="125"/>
      <c r="F630" s="126"/>
      <c r="G630" s="125"/>
      <c r="H630" s="125"/>
      <c r="I630" s="125"/>
      <c r="J630" s="125"/>
      <c r="K630" s="125"/>
      <c r="L630" s="125"/>
      <c r="M630" s="125"/>
      <c r="N630" s="129"/>
      <c r="O630" s="125"/>
      <c r="P630" s="173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spans="1:26" ht="15.75" customHeight="1">
      <c r="A631" s="125"/>
      <c r="B631" s="125"/>
      <c r="C631" s="125"/>
      <c r="D631" s="125"/>
      <c r="E631" s="125"/>
      <c r="F631" s="126"/>
      <c r="G631" s="125"/>
      <c r="H631" s="125"/>
      <c r="I631" s="125"/>
      <c r="J631" s="125"/>
      <c r="K631" s="125"/>
      <c r="L631" s="125"/>
      <c r="M631" s="125"/>
      <c r="N631" s="129"/>
      <c r="O631" s="125"/>
      <c r="P631" s="173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spans="1:26" ht="15.75" customHeight="1">
      <c r="A632" s="125"/>
      <c r="B632" s="125"/>
      <c r="C632" s="125"/>
      <c r="D632" s="125"/>
      <c r="E632" s="125"/>
      <c r="F632" s="126"/>
      <c r="G632" s="125"/>
      <c r="H632" s="125"/>
      <c r="I632" s="125"/>
      <c r="J632" s="125"/>
      <c r="K632" s="125"/>
      <c r="L632" s="125"/>
      <c r="M632" s="125"/>
      <c r="N632" s="129"/>
      <c r="O632" s="125"/>
      <c r="P632" s="173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spans="1:26" ht="15.75" customHeight="1">
      <c r="A633" s="125"/>
      <c r="B633" s="125"/>
      <c r="C633" s="125"/>
      <c r="D633" s="125"/>
      <c r="E633" s="125"/>
      <c r="F633" s="126"/>
      <c r="G633" s="125"/>
      <c r="H633" s="125"/>
      <c r="I633" s="125"/>
      <c r="J633" s="125"/>
      <c r="K633" s="125"/>
      <c r="L633" s="125"/>
      <c r="M633" s="125"/>
      <c r="N633" s="129"/>
      <c r="O633" s="125"/>
      <c r="P633" s="173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spans="1:26" ht="15.75" customHeight="1">
      <c r="A634" s="125"/>
      <c r="B634" s="125"/>
      <c r="C634" s="125"/>
      <c r="D634" s="125"/>
      <c r="E634" s="125"/>
      <c r="F634" s="126"/>
      <c r="G634" s="125"/>
      <c r="H634" s="125"/>
      <c r="I634" s="125"/>
      <c r="J634" s="125"/>
      <c r="K634" s="125"/>
      <c r="L634" s="125"/>
      <c r="M634" s="125"/>
      <c r="N634" s="129"/>
      <c r="O634" s="125"/>
      <c r="P634" s="173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spans="1:26" ht="15.75" customHeight="1">
      <c r="A635" s="125"/>
      <c r="B635" s="125"/>
      <c r="C635" s="125"/>
      <c r="D635" s="125"/>
      <c r="E635" s="125"/>
      <c r="F635" s="126"/>
      <c r="G635" s="125"/>
      <c r="H635" s="125"/>
      <c r="I635" s="125"/>
      <c r="J635" s="125"/>
      <c r="K635" s="125"/>
      <c r="L635" s="125"/>
      <c r="M635" s="125"/>
      <c r="N635" s="129"/>
      <c r="O635" s="125"/>
      <c r="P635" s="173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spans="1:26" ht="15.75" customHeight="1">
      <c r="A636" s="125"/>
      <c r="B636" s="125"/>
      <c r="C636" s="125"/>
      <c r="D636" s="125"/>
      <c r="E636" s="125"/>
      <c r="F636" s="126"/>
      <c r="G636" s="125"/>
      <c r="H636" s="125"/>
      <c r="I636" s="125"/>
      <c r="J636" s="125"/>
      <c r="K636" s="125"/>
      <c r="L636" s="125"/>
      <c r="M636" s="125"/>
      <c r="N636" s="129"/>
      <c r="O636" s="125"/>
      <c r="P636" s="173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spans="1:26" ht="15.75" customHeight="1">
      <c r="A637" s="125"/>
      <c r="B637" s="125"/>
      <c r="C637" s="125"/>
      <c r="D637" s="125"/>
      <c r="E637" s="125"/>
      <c r="F637" s="126"/>
      <c r="G637" s="125"/>
      <c r="H637" s="125"/>
      <c r="I637" s="125"/>
      <c r="J637" s="125"/>
      <c r="K637" s="125"/>
      <c r="L637" s="125"/>
      <c r="M637" s="125"/>
      <c r="N637" s="129"/>
      <c r="O637" s="125"/>
      <c r="P637" s="173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spans="1:26" ht="15.75" customHeight="1">
      <c r="A638" s="125"/>
      <c r="B638" s="125"/>
      <c r="C638" s="125"/>
      <c r="D638" s="125"/>
      <c r="E638" s="125"/>
      <c r="F638" s="126"/>
      <c r="G638" s="125"/>
      <c r="H638" s="125"/>
      <c r="I638" s="125"/>
      <c r="J638" s="125"/>
      <c r="K638" s="125"/>
      <c r="L638" s="125"/>
      <c r="M638" s="125"/>
      <c r="N638" s="129"/>
      <c r="O638" s="125"/>
      <c r="P638" s="173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spans="1:26" ht="15.75" customHeight="1">
      <c r="A639" s="125"/>
      <c r="B639" s="125"/>
      <c r="C639" s="125"/>
      <c r="D639" s="125"/>
      <c r="E639" s="125"/>
      <c r="F639" s="126"/>
      <c r="G639" s="125"/>
      <c r="H639" s="125"/>
      <c r="I639" s="125"/>
      <c r="J639" s="125"/>
      <c r="K639" s="125"/>
      <c r="L639" s="125"/>
      <c r="M639" s="125"/>
      <c r="N639" s="129"/>
      <c r="O639" s="125"/>
      <c r="P639" s="173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spans="1:26" ht="15.75" customHeight="1">
      <c r="A640" s="125"/>
      <c r="B640" s="125"/>
      <c r="C640" s="125"/>
      <c r="D640" s="125"/>
      <c r="E640" s="125"/>
      <c r="F640" s="126"/>
      <c r="G640" s="125"/>
      <c r="H640" s="125"/>
      <c r="I640" s="125"/>
      <c r="J640" s="125"/>
      <c r="K640" s="125"/>
      <c r="L640" s="125"/>
      <c r="M640" s="125"/>
      <c r="N640" s="129"/>
      <c r="O640" s="125"/>
      <c r="P640" s="173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spans="1:26" ht="15.75" customHeight="1">
      <c r="A641" s="125"/>
      <c r="B641" s="125"/>
      <c r="C641" s="125"/>
      <c r="D641" s="125"/>
      <c r="E641" s="125"/>
      <c r="F641" s="126"/>
      <c r="G641" s="125"/>
      <c r="H641" s="125"/>
      <c r="I641" s="125"/>
      <c r="J641" s="125"/>
      <c r="K641" s="125"/>
      <c r="L641" s="125"/>
      <c r="M641" s="125"/>
      <c r="N641" s="129"/>
      <c r="O641" s="125"/>
      <c r="P641" s="173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spans="1:26" ht="15.75" customHeight="1">
      <c r="A642" s="125"/>
      <c r="B642" s="125"/>
      <c r="C642" s="125"/>
      <c r="D642" s="125"/>
      <c r="E642" s="125"/>
      <c r="F642" s="126"/>
      <c r="G642" s="125"/>
      <c r="H642" s="125"/>
      <c r="I642" s="125"/>
      <c r="J642" s="125"/>
      <c r="K642" s="125"/>
      <c r="L642" s="125"/>
      <c r="M642" s="125"/>
      <c r="N642" s="129"/>
      <c r="O642" s="125"/>
      <c r="P642" s="173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spans="1:26" ht="15.75" customHeight="1">
      <c r="A643" s="125"/>
      <c r="B643" s="125"/>
      <c r="C643" s="125"/>
      <c r="D643" s="125"/>
      <c r="E643" s="125"/>
      <c r="F643" s="126"/>
      <c r="G643" s="125"/>
      <c r="H643" s="125"/>
      <c r="I643" s="125"/>
      <c r="J643" s="125"/>
      <c r="K643" s="125"/>
      <c r="L643" s="125"/>
      <c r="M643" s="125"/>
      <c r="N643" s="129"/>
      <c r="O643" s="125"/>
      <c r="P643" s="173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spans="1:26" ht="15.75" customHeight="1">
      <c r="A644" s="125"/>
      <c r="B644" s="125"/>
      <c r="C644" s="125"/>
      <c r="D644" s="125"/>
      <c r="E644" s="125"/>
      <c r="F644" s="126"/>
      <c r="G644" s="125"/>
      <c r="H644" s="125"/>
      <c r="I644" s="125"/>
      <c r="J644" s="125"/>
      <c r="K644" s="125"/>
      <c r="L644" s="125"/>
      <c r="M644" s="125"/>
      <c r="N644" s="129"/>
      <c r="O644" s="125"/>
      <c r="P644" s="173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spans="1:26" ht="15.75" customHeight="1">
      <c r="A645" s="125"/>
      <c r="B645" s="125"/>
      <c r="C645" s="125"/>
      <c r="D645" s="125"/>
      <c r="E645" s="125"/>
      <c r="F645" s="126"/>
      <c r="G645" s="125"/>
      <c r="H645" s="125"/>
      <c r="I645" s="125"/>
      <c r="J645" s="125"/>
      <c r="K645" s="125"/>
      <c r="L645" s="125"/>
      <c r="M645" s="125"/>
      <c r="N645" s="129"/>
      <c r="O645" s="125"/>
      <c r="P645" s="173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6" ht="15.75" customHeight="1">
      <c r="A646" s="125"/>
      <c r="B646" s="125"/>
      <c r="C646" s="125"/>
      <c r="D646" s="125"/>
      <c r="E646" s="125"/>
      <c r="F646" s="126"/>
      <c r="G646" s="125"/>
      <c r="H646" s="125"/>
      <c r="I646" s="125"/>
      <c r="J646" s="125"/>
      <c r="K646" s="125"/>
      <c r="L646" s="125"/>
      <c r="M646" s="125"/>
      <c r="N646" s="129"/>
      <c r="O646" s="125"/>
      <c r="P646" s="173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spans="1:26" ht="15.75" customHeight="1">
      <c r="A647" s="125"/>
      <c r="B647" s="125"/>
      <c r="C647" s="125"/>
      <c r="D647" s="125"/>
      <c r="E647" s="125"/>
      <c r="F647" s="126"/>
      <c r="G647" s="125"/>
      <c r="H647" s="125"/>
      <c r="I647" s="125"/>
      <c r="J647" s="125"/>
      <c r="K647" s="125"/>
      <c r="L647" s="125"/>
      <c r="M647" s="125"/>
      <c r="N647" s="129"/>
      <c r="O647" s="125"/>
      <c r="P647" s="173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spans="1:26" ht="15.75" customHeight="1">
      <c r="A648" s="125"/>
      <c r="B648" s="125"/>
      <c r="C648" s="125"/>
      <c r="D648" s="125"/>
      <c r="E648" s="125"/>
      <c r="F648" s="126"/>
      <c r="G648" s="125"/>
      <c r="H648" s="125"/>
      <c r="I648" s="125"/>
      <c r="J648" s="125"/>
      <c r="K648" s="125"/>
      <c r="L648" s="125"/>
      <c r="M648" s="125"/>
      <c r="N648" s="129"/>
      <c r="O648" s="125"/>
      <c r="P648" s="173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spans="1:26" ht="15.75" customHeight="1">
      <c r="A649" s="125"/>
      <c r="B649" s="125"/>
      <c r="C649" s="125"/>
      <c r="D649" s="125"/>
      <c r="E649" s="125"/>
      <c r="F649" s="126"/>
      <c r="G649" s="125"/>
      <c r="H649" s="125"/>
      <c r="I649" s="125"/>
      <c r="J649" s="125"/>
      <c r="K649" s="125"/>
      <c r="L649" s="125"/>
      <c r="M649" s="125"/>
      <c r="N649" s="129"/>
      <c r="O649" s="125"/>
      <c r="P649" s="173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spans="1:26" ht="15.75" customHeight="1">
      <c r="A650" s="125"/>
      <c r="B650" s="125"/>
      <c r="C650" s="125"/>
      <c r="D650" s="125"/>
      <c r="E650" s="125"/>
      <c r="F650" s="126"/>
      <c r="G650" s="125"/>
      <c r="H650" s="125"/>
      <c r="I650" s="125"/>
      <c r="J650" s="125"/>
      <c r="K650" s="125"/>
      <c r="L650" s="125"/>
      <c r="M650" s="125"/>
      <c r="N650" s="129"/>
      <c r="O650" s="125"/>
      <c r="P650" s="173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spans="1:26" ht="15.75" customHeight="1">
      <c r="A651" s="125"/>
      <c r="B651" s="125"/>
      <c r="C651" s="125"/>
      <c r="D651" s="125"/>
      <c r="E651" s="125"/>
      <c r="F651" s="126"/>
      <c r="G651" s="125"/>
      <c r="H651" s="125"/>
      <c r="I651" s="125"/>
      <c r="J651" s="125"/>
      <c r="K651" s="125"/>
      <c r="L651" s="125"/>
      <c r="M651" s="125"/>
      <c r="N651" s="129"/>
      <c r="O651" s="125"/>
      <c r="P651" s="173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spans="1:26" ht="15.75" customHeight="1">
      <c r="A652" s="125"/>
      <c r="B652" s="125"/>
      <c r="C652" s="125"/>
      <c r="D652" s="125"/>
      <c r="E652" s="125"/>
      <c r="F652" s="126"/>
      <c r="G652" s="125"/>
      <c r="H652" s="125"/>
      <c r="I652" s="125"/>
      <c r="J652" s="125"/>
      <c r="K652" s="125"/>
      <c r="L652" s="125"/>
      <c r="M652" s="125"/>
      <c r="N652" s="129"/>
      <c r="O652" s="125"/>
      <c r="P652" s="173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spans="1:26" ht="15.75" customHeight="1">
      <c r="A653" s="125"/>
      <c r="B653" s="125"/>
      <c r="C653" s="125"/>
      <c r="D653" s="125"/>
      <c r="E653" s="125"/>
      <c r="F653" s="126"/>
      <c r="G653" s="125"/>
      <c r="H653" s="125"/>
      <c r="I653" s="125"/>
      <c r="J653" s="125"/>
      <c r="K653" s="125"/>
      <c r="L653" s="125"/>
      <c r="M653" s="125"/>
      <c r="N653" s="129"/>
      <c r="O653" s="125"/>
      <c r="P653" s="173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spans="1:26" ht="15.75" customHeight="1">
      <c r="A654" s="125"/>
      <c r="B654" s="125"/>
      <c r="C654" s="125"/>
      <c r="D654" s="125"/>
      <c r="E654" s="125"/>
      <c r="F654" s="126"/>
      <c r="G654" s="125"/>
      <c r="H654" s="125"/>
      <c r="I654" s="125"/>
      <c r="J654" s="125"/>
      <c r="K654" s="125"/>
      <c r="L654" s="125"/>
      <c r="M654" s="125"/>
      <c r="N654" s="129"/>
      <c r="O654" s="125"/>
      <c r="P654" s="173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spans="1:26" ht="15.75" customHeight="1">
      <c r="A655" s="125"/>
      <c r="B655" s="125"/>
      <c r="C655" s="125"/>
      <c r="D655" s="125"/>
      <c r="E655" s="125"/>
      <c r="F655" s="126"/>
      <c r="G655" s="125"/>
      <c r="H655" s="125"/>
      <c r="I655" s="125"/>
      <c r="J655" s="125"/>
      <c r="K655" s="125"/>
      <c r="L655" s="125"/>
      <c r="M655" s="125"/>
      <c r="N655" s="129"/>
      <c r="O655" s="125"/>
      <c r="P655" s="173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spans="1:26" ht="15.75" customHeight="1">
      <c r="A656" s="125"/>
      <c r="B656" s="125"/>
      <c r="C656" s="125"/>
      <c r="D656" s="125"/>
      <c r="E656" s="125"/>
      <c r="F656" s="126"/>
      <c r="G656" s="125"/>
      <c r="H656" s="125"/>
      <c r="I656" s="125"/>
      <c r="J656" s="125"/>
      <c r="K656" s="125"/>
      <c r="L656" s="125"/>
      <c r="M656" s="125"/>
      <c r="N656" s="129"/>
      <c r="O656" s="125"/>
      <c r="P656" s="173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spans="1:26" ht="15.75" customHeight="1">
      <c r="A657" s="125"/>
      <c r="B657" s="125"/>
      <c r="C657" s="125"/>
      <c r="D657" s="125"/>
      <c r="E657" s="125"/>
      <c r="F657" s="126"/>
      <c r="G657" s="125"/>
      <c r="H657" s="125"/>
      <c r="I657" s="125"/>
      <c r="J657" s="125"/>
      <c r="K657" s="125"/>
      <c r="L657" s="125"/>
      <c r="M657" s="125"/>
      <c r="N657" s="129"/>
      <c r="O657" s="125"/>
      <c r="P657" s="173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spans="1:26" ht="15.75" customHeight="1">
      <c r="A658" s="125"/>
      <c r="B658" s="125"/>
      <c r="C658" s="125"/>
      <c r="D658" s="125"/>
      <c r="E658" s="125"/>
      <c r="F658" s="126"/>
      <c r="G658" s="125"/>
      <c r="H658" s="125"/>
      <c r="I658" s="125"/>
      <c r="J658" s="125"/>
      <c r="K658" s="125"/>
      <c r="L658" s="125"/>
      <c r="M658" s="125"/>
      <c r="N658" s="129"/>
      <c r="O658" s="125"/>
      <c r="P658" s="173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spans="1:26" ht="15.75" customHeight="1">
      <c r="A659" s="125"/>
      <c r="B659" s="125"/>
      <c r="C659" s="125"/>
      <c r="D659" s="125"/>
      <c r="E659" s="125"/>
      <c r="F659" s="126"/>
      <c r="G659" s="125"/>
      <c r="H659" s="125"/>
      <c r="I659" s="125"/>
      <c r="J659" s="125"/>
      <c r="K659" s="125"/>
      <c r="L659" s="125"/>
      <c r="M659" s="125"/>
      <c r="N659" s="129"/>
      <c r="O659" s="125"/>
      <c r="P659" s="173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spans="1:26" ht="15.75" customHeight="1">
      <c r="A660" s="125"/>
      <c r="B660" s="125"/>
      <c r="C660" s="125"/>
      <c r="D660" s="125"/>
      <c r="E660" s="125"/>
      <c r="F660" s="126"/>
      <c r="G660" s="125"/>
      <c r="H660" s="125"/>
      <c r="I660" s="125"/>
      <c r="J660" s="125"/>
      <c r="K660" s="125"/>
      <c r="L660" s="125"/>
      <c r="M660" s="125"/>
      <c r="N660" s="129"/>
      <c r="O660" s="125"/>
      <c r="P660" s="173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spans="1:26" ht="15.75" customHeight="1">
      <c r="A661" s="125"/>
      <c r="B661" s="125"/>
      <c r="C661" s="125"/>
      <c r="D661" s="125"/>
      <c r="E661" s="125"/>
      <c r="F661" s="126"/>
      <c r="G661" s="125"/>
      <c r="H661" s="125"/>
      <c r="I661" s="125"/>
      <c r="J661" s="125"/>
      <c r="K661" s="125"/>
      <c r="L661" s="125"/>
      <c r="M661" s="125"/>
      <c r="N661" s="129"/>
      <c r="O661" s="125"/>
      <c r="P661" s="173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spans="1:26" ht="15.75" customHeight="1">
      <c r="A662" s="125"/>
      <c r="B662" s="125"/>
      <c r="C662" s="125"/>
      <c r="D662" s="125"/>
      <c r="E662" s="125"/>
      <c r="F662" s="126"/>
      <c r="G662" s="125"/>
      <c r="H662" s="125"/>
      <c r="I662" s="125"/>
      <c r="J662" s="125"/>
      <c r="K662" s="125"/>
      <c r="L662" s="125"/>
      <c r="M662" s="125"/>
      <c r="N662" s="129"/>
      <c r="O662" s="125"/>
      <c r="P662" s="173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spans="1:26" ht="15.75" customHeight="1">
      <c r="A663" s="125"/>
      <c r="B663" s="125"/>
      <c r="C663" s="125"/>
      <c r="D663" s="125"/>
      <c r="E663" s="125"/>
      <c r="F663" s="126"/>
      <c r="G663" s="125"/>
      <c r="H663" s="125"/>
      <c r="I663" s="125"/>
      <c r="J663" s="125"/>
      <c r="K663" s="125"/>
      <c r="L663" s="125"/>
      <c r="M663" s="125"/>
      <c r="N663" s="129"/>
      <c r="O663" s="125"/>
      <c r="P663" s="173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spans="1:26" ht="15.75" customHeight="1">
      <c r="A664" s="125"/>
      <c r="B664" s="125"/>
      <c r="C664" s="125"/>
      <c r="D664" s="125"/>
      <c r="E664" s="125"/>
      <c r="F664" s="126"/>
      <c r="G664" s="125"/>
      <c r="H664" s="125"/>
      <c r="I664" s="125"/>
      <c r="J664" s="125"/>
      <c r="K664" s="125"/>
      <c r="L664" s="125"/>
      <c r="M664" s="125"/>
      <c r="N664" s="129"/>
      <c r="O664" s="125"/>
      <c r="P664" s="173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spans="1:26" ht="15.75" customHeight="1">
      <c r="A665" s="125"/>
      <c r="B665" s="125"/>
      <c r="C665" s="125"/>
      <c r="D665" s="125"/>
      <c r="E665" s="125"/>
      <c r="F665" s="126"/>
      <c r="G665" s="125"/>
      <c r="H665" s="125"/>
      <c r="I665" s="125"/>
      <c r="J665" s="125"/>
      <c r="K665" s="125"/>
      <c r="L665" s="125"/>
      <c r="M665" s="125"/>
      <c r="N665" s="129"/>
      <c r="O665" s="125"/>
      <c r="P665" s="173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spans="1:26" ht="15.75" customHeight="1">
      <c r="A666" s="125"/>
      <c r="B666" s="125"/>
      <c r="C666" s="125"/>
      <c r="D666" s="125"/>
      <c r="E666" s="125"/>
      <c r="F666" s="126"/>
      <c r="G666" s="125"/>
      <c r="H666" s="125"/>
      <c r="I666" s="125"/>
      <c r="J666" s="125"/>
      <c r="K666" s="125"/>
      <c r="L666" s="125"/>
      <c r="M666" s="125"/>
      <c r="N666" s="129"/>
      <c r="O666" s="125"/>
      <c r="P666" s="173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spans="1:26" ht="15.75" customHeight="1">
      <c r="A667" s="125"/>
      <c r="B667" s="125"/>
      <c r="C667" s="125"/>
      <c r="D667" s="125"/>
      <c r="E667" s="125"/>
      <c r="F667" s="126"/>
      <c r="G667" s="125"/>
      <c r="H667" s="125"/>
      <c r="I667" s="125"/>
      <c r="J667" s="125"/>
      <c r="K667" s="125"/>
      <c r="L667" s="125"/>
      <c r="M667" s="125"/>
      <c r="N667" s="129"/>
      <c r="O667" s="125"/>
      <c r="P667" s="173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spans="1:26" ht="15.75" customHeight="1">
      <c r="A668" s="125"/>
      <c r="B668" s="125"/>
      <c r="C668" s="125"/>
      <c r="D668" s="125"/>
      <c r="E668" s="125"/>
      <c r="F668" s="126"/>
      <c r="G668" s="125"/>
      <c r="H668" s="125"/>
      <c r="I668" s="125"/>
      <c r="J668" s="125"/>
      <c r="K668" s="125"/>
      <c r="L668" s="125"/>
      <c r="M668" s="125"/>
      <c r="N668" s="129"/>
      <c r="O668" s="125"/>
      <c r="P668" s="173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spans="1:26" ht="15.75" customHeight="1">
      <c r="A669" s="125"/>
      <c r="B669" s="125"/>
      <c r="C669" s="125"/>
      <c r="D669" s="125"/>
      <c r="E669" s="125"/>
      <c r="F669" s="126"/>
      <c r="G669" s="125"/>
      <c r="H669" s="125"/>
      <c r="I669" s="125"/>
      <c r="J669" s="125"/>
      <c r="K669" s="125"/>
      <c r="L669" s="125"/>
      <c r="M669" s="125"/>
      <c r="N669" s="129"/>
      <c r="O669" s="125"/>
      <c r="P669" s="173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spans="1:26" ht="15.75" customHeight="1">
      <c r="A670" s="125"/>
      <c r="B670" s="125"/>
      <c r="C670" s="125"/>
      <c r="D670" s="125"/>
      <c r="E670" s="125"/>
      <c r="F670" s="126"/>
      <c r="G670" s="125"/>
      <c r="H670" s="125"/>
      <c r="I670" s="125"/>
      <c r="J670" s="125"/>
      <c r="K670" s="125"/>
      <c r="L670" s="125"/>
      <c r="M670" s="125"/>
      <c r="N670" s="129"/>
      <c r="O670" s="125"/>
      <c r="P670" s="173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spans="1:26" ht="15.75" customHeight="1">
      <c r="A671" s="125"/>
      <c r="B671" s="125"/>
      <c r="C671" s="125"/>
      <c r="D671" s="125"/>
      <c r="E671" s="125"/>
      <c r="F671" s="126"/>
      <c r="G671" s="125"/>
      <c r="H671" s="125"/>
      <c r="I671" s="125"/>
      <c r="J671" s="125"/>
      <c r="K671" s="125"/>
      <c r="L671" s="125"/>
      <c r="M671" s="125"/>
      <c r="N671" s="129"/>
      <c r="O671" s="125"/>
      <c r="P671" s="173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spans="1:26" ht="15.75" customHeight="1">
      <c r="A672" s="125"/>
      <c r="B672" s="125"/>
      <c r="C672" s="125"/>
      <c r="D672" s="125"/>
      <c r="E672" s="125"/>
      <c r="F672" s="126"/>
      <c r="G672" s="125"/>
      <c r="H672" s="125"/>
      <c r="I672" s="125"/>
      <c r="J672" s="125"/>
      <c r="K672" s="125"/>
      <c r="L672" s="125"/>
      <c r="M672" s="125"/>
      <c r="N672" s="129"/>
      <c r="O672" s="125"/>
      <c r="P672" s="173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spans="1:26" ht="15.75" customHeight="1">
      <c r="A673" s="125"/>
      <c r="B673" s="125"/>
      <c r="C673" s="125"/>
      <c r="D673" s="125"/>
      <c r="E673" s="125"/>
      <c r="F673" s="126"/>
      <c r="G673" s="125"/>
      <c r="H673" s="125"/>
      <c r="I673" s="125"/>
      <c r="J673" s="125"/>
      <c r="K673" s="125"/>
      <c r="L673" s="125"/>
      <c r="M673" s="125"/>
      <c r="N673" s="129"/>
      <c r="O673" s="125"/>
      <c r="P673" s="173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spans="1:26" ht="15.75" customHeight="1">
      <c r="A674" s="125"/>
      <c r="B674" s="125"/>
      <c r="C674" s="125"/>
      <c r="D674" s="125"/>
      <c r="E674" s="125"/>
      <c r="F674" s="126"/>
      <c r="G674" s="125"/>
      <c r="H674" s="125"/>
      <c r="I674" s="125"/>
      <c r="J674" s="125"/>
      <c r="K674" s="125"/>
      <c r="L674" s="125"/>
      <c r="M674" s="125"/>
      <c r="N674" s="129"/>
      <c r="O674" s="125"/>
      <c r="P674" s="173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spans="1:26" ht="15.75" customHeight="1">
      <c r="A675" s="125"/>
      <c r="B675" s="125"/>
      <c r="C675" s="125"/>
      <c r="D675" s="125"/>
      <c r="E675" s="125"/>
      <c r="F675" s="126"/>
      <c r="G675" s="125"/>
      <c r="H675" s="125"/>
      <c r="I675" s="125"/>
      <c r="J675" s="125"/>
      <c r="K675" s="125"/>
      <c r="L675" s="125"/>
      <c r="M675" s="125"/>
      <c r="N675" s="129"/>
      <c r="O675" s="125"/>
      <c r="P675" s="173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spans="1:26" ht="15.75" customHeight="1">
      <c r="A676" s="125"/>
      <c r="B676" s="125"/>
      <c r="C676" s="125"/>
      <c r="D676" s="125"/>
      <c r="E676" s="125"/>
      <c r="F676" s="126"/>
      <c r="G676" s="125"/>
      <c r="H676" s="125"/>
      <c r="I676" s="125"/>
      <c r="J676" s="125"/>
      <c r="K676" s="125"/>
      <c r="L676" s="125"/>
      <c r="M676" s="125"/>
      <c r="N676" s="129"/>
      <c r="O676" s="125"/>
      <c r="P676" s="173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spans="1:26" ht="15.75" customHeight="1">
      <c r="A677" s="125"/>
      <c r="B677" s="125"/>
      <c r="C677" s="125"/>
      <c r="D677" s="125"/>
      <c r="E677" s="125"/>
      <c r="F677" s="126"/>
      <c r="G677" s="125"/>
      <c r="H677" s="125"/>
      <c r="I677" s="125"/>
      <c r="J677" s="125"/>
      <c r="K677" s="125"/>
      <c r="L677" s="125"/>
      <c r="M677" s="125"/>
      <c r="N677" s="129"/>
      <c r="O677" s="125"/>
      <c r="P677" s="173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spans="1:26" ht="15.75" customHeight="1">
      <c r="A678" s="125"/>
      <c r="B678" s="125"/>
      <c r="C678" s="125"/>
      <c r="D678" s="125"/>
      <c r="E678" s="125"/>
      <c r="F678" s="126"/>
      <c r="G678" s="125"/>
      <c r="H678" s="125"/>
      <c r="I678" s="125"/>
      <c r="J678" s="125"/>
      <c r="K678" s="125"/>
      <c r="L678" s="125"/>
      <c r="M678" s="125"/>
      <c r="N678" s="129"/>
      <c r="O678" s="125"/>
      <c r="P678" s="173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spans="1:26" ht="15.75" customHeight="1">
      <c r="A679" s="125"/>
      <c r="B679" s="125"/>
      <c r="C679" s="125"/>
      <c r="D679" s="125"/>
      <c r="E679" s="125"/>
      <c r="F679" s="126"/>
      <c r="G679" s="125"/>
      <c r="H679" s="125"/>
      <c r="I679" s="125"/>
      <c r="J679" s="125"/>
      <c r="K679" s="125"/>
      <c r="L679" s="125"/>
      <c r="M679" s="125"/>
      <c r="N679" s="129"/>
      <c r="O679" s="125"/>
      <c r="P679" s="173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spans="1:26" ht="15.75" customHeight="1">
      <c r="A680" s="125"/>
      <c r="B680" s="125"/>
      <c r="C680" s="125"/>
      <c r="D680" s="125"/>
      <c r="E680" s="125"/>
      <c r="F680" s="126"/>
      <c r="G680" s="125"/>
      <c r="H680" s="125"/>
      <c r="I680" s="125"/>
      <c r="J680" s="125"/>
      <c r="K680" s="125"/>
      <c r="L680" s="125"/>
      <c r="M680" s="125"/>
      <c r="N680" s="129"/>
      <c r="O680" s="125"/>
      <c r="P680" s="173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spans="1:26" ht="15.75" customHeight="1">
      <c r="A681" s="125"/>
      <c r="B681" s="125"/>
      <c r="C681" s="125"/>
      <c r="D681" s="125"/>
      <c r="E681" s="125"/>
      <c r="F681" s="126"/>
      <c r="G681" s="125"/>
      <c r="H681" s="125"/>
      <c r="I681" s="125"/>
      <c r="J681" s="125"/>
      <c r="K681" s="125"/>
      <c r="L681" s="125"/>
      <c r="M681" s="125"/>
      <c r="N681" s="129"/>
      <c r="O681" s="125"/>
      <c r="P681" s="173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spans="1:26" ht="15.75" customHeight="1">
      <c r="A682" s="125"/>
      <c r="B682" s="125"/>
      <c r="C682" s="125"/>
      <c r="D682" s="125"/>
      <c r="E682" s="125"/>
      <c r="F682" s="126"/>
      <c r="G682" s="125"/>
      <c r="H682" s="125"/>
      <c r="I682" s="125"/>
      <c r="J682" s="125"/>
      <c r="K682" s="125"/>
      <c r="L682" s="125"/>
      <c r="M682" s="125"/>
      <c r="N682" s="129"/>
      <c r="O682" s="125"/>
      <c r="P682" s="173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spans="1:26" ht="15.75" customHeight="1">
      <c r="A683" s="125"/>
      <c r="B683" s="125"/>
      <c r="C683" s="125"/>
      <c r="D683" s="125"/>
      <c r="E683" s="125"/>
      <c r="F683" s="126"/>
      <c r="G683" s="125"/>
      <c r="H683" s="125"/>
      <c r="I683" s="125"/>
      <c r="J683" s="125"/>
      <c r="K683" s="125"/>
      <c r="L683" s="125"/>
      <c r="M683" s="125"/>
      <c r="N683" s="129"/>
      <c r="O683" s="125"/>
      <c r="P683" s="173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spans="1:26" ht="15.75" customHeight="1">
      <c r="A684" s="125"/>
      <c r="B684" s="125"/>
      <c r="C684" s="125"/>
      <c r="D684" s="125"/>
      <c r="E684" s="125"/>
      <c r="F684" s="126"/>
      <c r="G684" s="125"/>
      <c r="H684" s="125"/>
      <c r="I684" s="125"/>
      <c r="J684" s="125"/>
      <c r="K684" s="125"/>
      <c r="L684" s="125"/>
      <c r="M684" s="125"/>
      <c r="N684" s="129"/>
      <c r="O684" s="125"/>
      <c r="P684" s="173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spans="1:26" ht="15.75" customHeight="1">
      <c r="A685" s="125"/>
      <c r="B685" s="125"/>
      <c r="C685" s="125"/>
      <c r="D685" s="125"/>
      <c r="E685" s="125"/>
      <c r="F685" s="126"/>
      <c r="G685" s="125"/>
      <c r="H685" s="125"/>
      <c r="I685" s="125"/>
      <c r="J685" s="125"/>
      <c r="K685" s="125"/>
      <c r="L685" s="125"/>
      <c r="M685" s="125"/>
      <c r="N685" s="129"/>
      <c r="O685" s="125"/>
      <c r="P685" s="173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spans="1:26" ht="15.75" customHeight="1">
      <c r="A686" s="125"/>
      <c r="B686" s="125"/>
      <c r="C686" s="125"/>
      <c r="D686" s="125"/>
      <c r="E686" s="125"/>
      <c r="F686" s="126"/>
      <c r="G686" s="125"/>
      <c r="H686" s="125"/>
      <c r="I686" s="125"/>
      <c r="J686" s="125"/>
      <c r="K686" s="125"/>
      <c r="L686" s="125"/>
      <c r="M686" s="125"/>
      <c r="N686" s="129"/>
      <c r="O686" s="125"/>
      <c r="P686" s="173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spans="1:26" ht="15.75" customHeight="1">
      <c r="A687" s="125"/>
      <c r="B687" s="125"/>
      <c r="C687" s="125"/>
      <c r="D687" s="125"/>
      <c r="E687" s="125"/>
      <c r="F687" s="126"/>
      <c r="G687" s="125"/>
      <c r="H687" s="125"/>
      <c r="I687" s="125"/>
      <c r="J687" s="125"/>
      <c r="K687" s="125"/>
      <c r="L687" s="125"/>
      <c r="M687" s="125"/>
      <c r="N687" s="129"/>
      <c r="O687" s="125"/>
      <c r="P687" s="173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spans="1:26" ht="15.75" customHeight="1">
      <c r="A688" s="125"/>
      <c r="B688" s="125"/>
      <c r="C688" s="125"/>
      <c r="D688" s="125"/>
      <c r="E688" s="125"/>
      <c r="F688" s="126"/>
      <c r="G688" s="125"/>
      <c r="H688" s="125"/>
      <c r="I688" s="125"/>
      <c r="J688" s="125"/>
      <c r="K688" s="125"/>
      <c r="L688" s="125"/>
      <c r="M688" s="125"/>
      <c r="N688" s="129"/>
      <c r="O688" s="125"/>
      <c r="P688" s="173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spans="1:26" ht="15.75" customHeight="1">
      <c r="A689" s="125"/>
      <c r="B689" s="125"/>
      <c r="C689" s="125"/>
      <c r="D689" s="125"/>
      <c r="E689" s="125"/>
      <c r="F689" s="126"/>
      <c r="G689" s="125"/>
      <c r="H689" s="125"/>
      <c r="I689" s="125"/>
      <c r="J689" s="125"/>
      <c r="K689" s="125"/>
      <c r="L689" s="125"/>
      <c r="M689" s="125"/>
      <c r="N689" s="129"/>
      <c r="O689" s="125"/>
      <c r="P689" s="173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spans="1:26" ht="15.75" customHeight="1">
      <c r="A690" s="125"/>
      <c r="B690" s="125"/>
      <c r="C690" s="125"/>
      <c r="D690" s="125"/>
      <c r="E690" s="125"/>
      <c r="F690" s="126"/>
      <c r="G690" s="125"/>
      <c r="H690" s="125"/>
      <c r="I690" s="125"/>
      <c r="J690" s="125"/>
      <c r="K690" s="125"/>
      <c r="L690" s="125"/>
      <c r="M690" s="125"/>
      <c r="N690" s="129"/>
      <c r="O690" s="125"/>
      <c r="P690" s="173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spans="1:26" ht="15.75" customHeight="1">
      <c r="A691" s="125"/>
      <c r="B691" s="125"/>
      <c r="C691" s="125"/>
      <c r="D691" s="125"/>
      <c r="E691" s="125"/>
      <c r="F691" s="126"/>
      <c r="G691" s="125"/>
      <c r="H691" s="125"/>
      <c r="I691" s="125"/>
      <c r="J691" s="125"/>
      <c r="K691" s="125"/>
      <c r="L691" s="125"/>
      <c r="M691" s="125"/>
      <c r="N691" s="129"/>
      <c r="O691" s="125"/>
      <c r="P691" s="173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spans="1:26" ht="15.75" customHeight="1">
      <c r="A692" s="125"/>
      <c r="B692" s="125"/>
      <c r="C692" s="125"/>
      <c r="D692" s="125"/>
      <c r="E692" s="125"/>
      <c r="F692" s="126"/>
      <c r="G692" s="125"/>
      <c r="H692" s="125"/>
      <c r="I692" s="125"/>
      <c r="J692" s="125"/>
      <c r="K692" s="125"/>
      <c r="L692" s="125"/>
      <c r="M692" s="125"/>
      <c r="N692" s="129"/>
      <c r="O692" s="125"/>
      <c r="P692" s="173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spans="1:26" ht="15.75" customHeight="1">
      <c r="A693" s="125"/>
      <c r="B693" s="125"/>
      <c r="C693" s="125"/>
      <c r="D693" s="125"/>
      <c r="E693" s="125"/>
      <c r="F693" s="126"/>
      <c r="G693" s="125"/>
      <c r="H693" s="125"/>
      <c r="I693" s="125"/>
      <c r="J693" s="125"/>
      <c r="K693" s="125"/>
      <c r="L693" s="125"/>
      <c r="M693" s="125"/>
      <c r="N693" s="129"/>
      <c r="O693" s="125"/>
      <c r="P693" s="173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spans="1:26" ht="15.75" customHeight="1">
      <c r="A694" s="125"/>
      <c r="B694" s="125"/>
      <c r="C694" s="125"/>
      <c r="D694" s="125"/>
      <c r="E694" s="125"/>
      <c r="F694" s="126"/>
      <c r="G694" s="125"/>
      <c r="H694" s="125"/>
      <c r="I694" s="125"/>
      <c r="J694" s="125"/>
      <c r="K694" s="125"/>
      <c r="L694" s="125"/>
      <c r="M694" s="125"/>
      <c r="N694" s="129"/>
      <c r="O694" s="125"/>
      <c r="P694" s="173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spans="1:26" ht="15.75" customHeight="1">
      <c r="A695" s="125"/>
      <c r="B695" s="125"/>
      <c r="C695" s="125"/>
      <c r="D695" s="125"/>
      <c r="E695" s="125"/>
      <c r="F695" s="126"/>
      <c r="G695" s="125"/>
      <c r="H695" s="125"/>
      <c r="I695" s="125"/>
      <c r="J695" s="125"/>
      <c r="K695" s="125"/>
      <c r="L695" s="125"/>
      <c r="M695" s="125"/>
      <c r="N695" s="129"/>
      <c r="O695" s="125"/>
      <c r="P695" s="173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spans="1:26" ht="15.75" customHeight="1">
      <c r="A696" s="125"/>
      <c r="B696" s="125"/>
      <c r="C696" s="125"/>
      <c r="D696" s="125"/>
      <c r="E696" s="125"/>
      <c r="F696" s="126"/>
      <c r="G696" s="125"/>
      <c r="H696" s="125"/>
      <c r="I696" s="125"/>
      <c r="J696" s="125"/>
      <c r="K696" s="125"/>
      <c r="L696" s="125"/>
      <c r="M696" s="125"/>
      <c r="N696" s="129"/>
      <c r="O696" s="125"/>
      <c r="P696" s="173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spans="1:26" ht="15.75" customHeight="1">
      <c r="A697" s="125"/>
      <c r="B697" s="125"/>
      <c r="C697" s="125"/>
      <c r="D697" s="125"/>
      <c r="E697" s="125"/>
      <c r="F697" s="126"/>
      <c r="G697" s="125"/>
      <c r="H697" s="125"/>
      <c r="I697" s="125"/>
      <c r="J697" s="125"/>
      <c r="K697" s="125"/>
      <c r="L697" s="125"/>
      <c r="M697" s="125"/>
      <c r="N697" s="129"/>
      <c r="O697" s="125"/>
      <c r="P697" s="173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spans="1:26" ht="15.75" customHeight="1">
      <c r="A698" s="125"/>
      <c r="B698" s="125"/>
      <c r="C698" s="125"/>
      <c r="D698" s="125"/>
      <c r="E698" s="125"/>
      <c r="F698" s="126"/>
      <c r="G698" s="125"/>
      <c r="H698" s="125"/>
      <c r="I698" s="125"/>
      <c r="J698" s="125"/>
      <c r="K698" s="125"/>
      <c r="L698" s="125"/>
      <c r="M698" s="125"/>
      <c r="N698" s="129"/>
      <c r="O698" s="125"/>
      <c r="P698" s="173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spans="1:26" ht="15.75" customHeight="1">
      <c r="A699" s="125"/>
      <c r="B699" s="125"/>
      <c r="C699" s="125"/>
      <c r="D699" s="125"/>
      <c r="E699" s="125"/>
      <c r="F699" s="126"/>
      <c r="G699" s="125"/>
      <c r="H699" s="125"/>
      <c r="I699" s="125"/>
      <c r="J699" s="125"/>
      <c r="K699" s="125"/>
      <c r="L699" s="125"/>
      <c r="M699" s="125"/>
      <c r="N699" s="129"/>
      <c r="O699" s="125"/>
      <c r="P699" s="173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spans="1:26" ht="15.75" customHeight="1">
      <c r="A700" s="125"/>
      <c r="B700" s="125"/>
      <c r="C700" s="125"/>
      <c r="D700" s="125"/>
      <c r="E700" s="125"/>
      <c r="F700" s="126"/>
      <c r="G700" s="125"/>
      <c r="H700" s="125"/>
      <c r="I700" s="125"/>
      <c r="J700" s="125"/>
      <c r="K700" s="125"/>
      <c r="L700" s="125"/>
      <c r="M700" s="125"/>
      <c r="N700" s="129"/>
      <c r="O700" s="125"/>
      <c r="P700" s="173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spans="1:26" ht="15.75" customHeight="1">
      <c r="A701" s="125"/>
      <c r="B701" s="125"/>
      <c r="C701" s="125"/>
      <c r="D701" s="125"/>
      <c r="E701" s="125"/>
      <c r="F701" s="126"/>
      <c r="G701" s="125"/>
      <c r="H701" s="125"/>
      <c r="I701" s="125"/>
      <c r="J701" s="125"/>
      <c r="K701" s="125"/>
      <c r="L701" s="125"/>
      <c r="M701" s="125"/>
      <c r="N701" s="129"/>
      <c r="O701" s="125"/>
      <c r="P701" s="173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spans="1:26" ht="15.75" customHeight="1">
      <c r="A702" s="125"/>
      <c r="B702" s="125"/>
      <c r="C702" s="125"/>
      <c r="D702" s="125"/>
      <c r="E702" s="125"/>
      <c r="F702" s="126"/>
      <c r="G702" s="125"/>
      <c r="H702" s="125"/>
      <c r="I702" s="125"/>
      <c r="J702" s="125"/>
      <c r="K702" s="125"/>
      <c r="L702" s="125"/>
      <c r="M702" s="125"/>
      <c r="N702" s="129"/>
      <c r="O702" s="125"/>
      <c r="P702" s="173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spans="1:26" ht="15.75" customHeight="1">
      <c r="A703" s="125"/>
      <c r="B703" s="125"/>
      <c r="C703" s="125"/>
      <c r="D703" s="125"/>
      <c r="E703" s="125"/>
      <c r="F703" s="126"/>
      <c r="G703" s="125"/>
      <c r="H703" s="125"/>
      <c r="I703" s="125"/>
      <c r="J703" s="125"/>
      <c r="K703" s="125"/>
      <c r="L703" s="125"/>
      <c r="M703" s="125"/>
      <c r="N703" s="129"/>
      <c r="O703" s="125"/>
      <c r="P703" s="173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spans="1:26" ht="15.75" customHeight="1">
      <c r="A704" s="125"/>
      <c r="B704" s="125"/>
      <c r="C704" s="125"/>
      <c r="D704" s="125"/>
      <c r="E704" s="125"/>
      <c r="F704" s="126"/>
      <c r="G704" s="125"/>
      <c r="H704" s="125"/>
      <c r="I704" s="125"/>
      <c r="J704" s="125"/>
      <c r="K704" s="125"/>
      <c r="L704" s="125"/>
      <c r="M704" s="125"/>
      <c r="N704" s="129"/>
      <c r="O704" s="125"/>
      <c r="P704" s="173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spans="1:26" ht="15.75" customHeight="1">
      <c r="A705" s="125"/>
      <c r="B705" s="125"/>
      <c r="C705" s="125"/>
      <c r="D705" s="125"/>
      <c r="E705" s="125"/>
      <c r="F705" s="126"/>
      <c r="G705" s="125"/>
      <c r="H705" s="125"/>
      <c r="I705" s="125"/>
      <c r="J705" s="125"/>
      <c r="K705" s="125"/>
      <c r="L705" s="125"/>
      <c r="M705" s="125"/>
      <c r="N705" s="129"/>
      <c r="O705" s="125"/>
      <c r="P705" s="173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spans="1:26" ht="15.75" customHeight="1">
      <c r="A706" s="125"/>
      <c r="B706" s="125"/>
      <c r="C706" s="125"/>
      <c r="D706" s="125"/>
      <c r="E706" s="125"/>
      <c r="F706" s="126"/>
      <c r="G706" s="125"/>
      <c r="H706" s="125"/>
      <c r="I706" s="125"/>
      <c r="J706" s="125"/>
      <c r="K706" s="125"/>
      <c r="L706" s="125"/>
      <c r="M706" s="125"/>
      <c r="N706" s="129"/>
      <c r="O706" s="125"/>
      <c r="P706" s="173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spans="1:26" ht="15.75" customHeight="1">
      <c r="A707" s="125"/>
      <c r="B707" s="125"/>
      <c r="C707" s="125"/>
      <c r="D707" s="125"/>
      <c r="E707" s="125"/>
      <c r="F707" s="126"/>
      <c r="G707" s="125"/>
      <c r="H707" s="125"/>
      <c r="I707" s="125"/>
      <c r="J707" s="125"/>
      <c r="K707" s="125"/>
      <c r="L707" s="125"/>
      <c r="M707" s="125"/>
      <c r="N707" s="129"/>
      <c r="O707" s="125"/>
      <c r="P707" s="173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spans="1:26" ht="15.75" customHeight="1">
      <c r="A708" s="125"/>
      <c r="B708" s="125"/>
      <c r="C708" s="125"/>
      <c r="D708" s="125"/>
      <c r="E708" s="125"/>
      <c r="F708" s="126"/>
      <c r="G708" s="125"/>
      <c r="H708" s="125"/>
      <c r="I708" s="125"/>
      <c r="J708" s="125"/>
      <c r="K708" s="125"/>
      <c r="L708" s="125"/>
      <c r="M708" s="125"/>
      <c r="N708" s="129"/>
      <c r="O708" s="125"/>
      <c r="P708" s="173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spans="1:26" ht="15.75" customHeight="1">
      <c r="A709" s="125"/>
      <c r="B709" s="125"/>
      <c r="C709" s="125"/>
      <c r="D709" s="125"/>
      <c r="E709" s="125"/>
      <c r="F709" s="126"/>
      <c r="G709" s="125"/>
      <c r="H709" s="125"/>
      <c r="I709" s="125"/>
      <c r="J709" s="125"/>
      <c r="K709" s="125"/>
      <c r="L709" s="125"/>
      <c r="M709" s="125"/>
      <c r="N709" s="129"/>
      <c r="O709" s="125"/>
      <c r="P709" s="173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spans="1:26" ht="15.75" customHeight="1">
      <c r="A710" s="125"/>
      <c r="B710" s="125"/>
      <c r="C710" s="125"/>
      <c r="D710" s="125"/>
      <c r="E710" s="125"/>
      <c r="F710" s="126"/>
      <c r="G710" s="125"/>
      <c r="H710" s="125"/>
      <c r="I710" s="125"/>
      <c r="J710" s="125"/>
      <c r="K710" s="125"/>
      <c r="L710" s="125"/>
      <c r="M710" s="125"/>
      <c r="N710" s="129"/>
      <c r="O710" s="125"/>
      <c r="P710" s="173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spans="1:26" ht="15.75" customHeight="1">
      <c r="A711" s="125"/>
      <c r="B711" s="125"/>
      <c r="C711" s="125"/>
      <c r="D711" s="125"/>
      <c r="E711" s="125"/>
      <c r="F711" s="126"/>
      <c r="G711" s="125"/>
      <c r="H711" s="125"/>
      <c r="I711" s="125"/>
      <c r="J711" s="125"/>
      <c r="K711" s="125"/>
      <c r="L711" s="125"/>
      <c r="M711" s="125"/>
      <c r="N711" s="129"/>
      <c r="O711" s="125"/>
      <c r="P711" s="173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spans="1:26" ht="15.75" customHeight="1">
      <c r="A712" s="125"/>
      <c r="B712" s="125"/>
      <c r="C712" s="125"/>
      <c r="D712" s="125"/>
      <c r="E712" s="125"/>
      <c r="F712" s="126"/>
      <c r="G712" s="125"/>
      <c r="H712" s="125"/>
      <c r="I712" s="125"/>
      <c r="J712" s="125"/>
      <c r="K712" s="125"/>
      <c r="L712" s="125"/>
      <c r="M712" s="125"/>
      <c r="N712" s="129"/>
      <c r="O712" s="125"/>
      <c r="P712" s="173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spans="1:26" ht="15.75" customHeight="1">
      <c r="A713" s="125"/>
      <c r="B713" s="125"/>
      <c r="C713" s="125"/>
      <c r="D713" s="125"/>
      <c r="E713" s="125"/>
      <c r="F713" s="126"/>
      <c r="G713" s="125"/>
      <c r="H713" s="125"/>
      <c r="I713" s="125"/>
      <c r="J713" s="125"/>
      <c r="K713" s="125"/>
      <c r="L713" s="125"/>
      <c r="M713" s="125"/>
      <c r="N713" s="129"/>
      <c r="O713" s="125"/>
      <c r="P713" s="173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spans="1:26" ht="15.75" customHeight="1">
      <c r="A714" s="125"/>
      <c r="B714" s="125"/>
      <c r="C714" s="125"/>
      <c r="D714" s="125"/>
      <c r="E714" s="125"/>
      <c r="F714" s="126"/>
      <c r="G714" s="125"/>
      <c r="H714" s="125"/>
      <c r="I714" s="125"/>
      <c r="J714" s="125"/>
      <c r="K714" s="125"/>
      <c r="L714" s="125"/>
      <c r="M714" s="125"/>
      <c r="N714" s="129"/>
      <c r="O714" s="125"/>
      <c r="P714" s="173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spans="1:26" ht="15.75" customHeight="1">
      <c r="A715" s="125"/>
      <c r="B715" s="125"/>
      <c r="C715" s="125"/>
      <c r="D715" s="125"/>
      <c r="E715" s="125"/>
      <c r="F715" s="126"/>
      <c r="G715" s="125"/>
      <c r="H715" s="125"/>
      <c r="I715" s="125"/>
      <c r="J715" s="125"/>
      <c r="K715" s="125"/>
      <c r="L715" s="125"/>
      <c r="M715" s="125"/>
      <c r="N715" s="129"/>
      <c r="O715" s="125"/>
      <c r="P715" s="173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spans="1:26" ht="15.75" customHeight="1">
      <c r="A716" s="125"/>
      <c r="B716" s="125"/>
      <c r="C716" s="125"/>
      <c r="D716" s="125"/>
      <c r="E716" s="125"/>
      <c r="F716" s="126"/>
      <c r="G716" s="125"/>
      <c r="H716" s="125"/>
      <c r="I716" s="125"/>
      <c r="J716" s="125"/>
      <c r="K716" s="125"/>
      <c r="L716" s="125"/>
      <c r="M716" s="125"/>
      <c r="N716" s="129"/>
      <c r="O716" s="125"/>
      <c r="P716" s="173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spans="1:26" ht="15.75" customHeight="1">
      <c r="A717" s="125"/>
      <c r="B717" s="125"/>
      <c r="C717" s="125"/>
      <c r="D717" s="125"/>
      <c r="E717" s="125"/>
      <c r="F717" s="126"/>
      <c r="G717" s="125"/>
      <c r="H717" s="125"/>
      <c r="I717" s="125"/>
      <c r="J717" s="125"/>
      <c r="K717" s="125"/>
      <c r="L717" s="125"/>
      <c r="M717" s="125"/>
      <c r="N717" s="129"/>
      <c r="O717" s="125"/>
      <c r="P717" s="173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spans="1:26" ht="15.75" customHeight="1">
      <c r="A718" s="125"/>
      <c r="B718" s="125"/>
      <c r="C718" s="125"/>
      <c r="D718" s="125"/>
      <c r="E718" s="125"/>
      <c r="F718" s="126"/>
      <c r="G718" s="125"/>
      <c r="H718" s="125"/>
      <c r="I718" s="125"/>
      <c r="J718" s="125"/>
      <c r="K718" s="125"/>
      <c r="L718" s="125"/>
      <c r="M718" s="125"/>
      <c r="N718" s="129"/>
      <c r="O718" s="125"/>
      <c r="P718" s="173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spans="1:26" ht="15.75" customHeight="1">
      <c r="A719" s="125"/>
      <c r="B719" s="125"/>
      <c r="C719" s="125"/>
      <c r="D719" s="125"/>
      <c r="E719" s="125"/>
      <c r="F719" s="126"/>
      <c r="G719" s="125"/>
      <c r="H719" s="125"/>
      <c r="I719" s="125"/>
      <c r="J719" s="125"/>
      <c r="K719" s="125"/>
      <c r="L719" s="125"/>
      <c r="M719" s="125"/>
      <c r="N719" s="129"/>
      <c r="O719" s="125"/>
      <c r="P719" s="173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spans="1:26" ht="15.75" customHeight="1">
      <c r="A720" s="125"/>
      <c r="B720" s="125"/>
      <c r="C720" s="125"/>
      <c r="D720" s="125"/>
      <c r="E720" s="125"/>
      <c r="F720" s="126"/>
      <c r="G720" s="125"/>
      <c r="H720" s="125"/>
      <c r="I720" s="125"/>
      <c r="J720" s="125"/>
      <c r="K720" s="125"/>
      <c r="L720" s="125"/>
      <c r="M720" s="125"/>
      <c r="N720" s="129"/>
      <c r="O720" s="125"/>
      <c r="P720" s="173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spans="1:26" ht="15.75" customHeight="1">
      <c r="A721" s="125"/>
      <c r="B721" s="125"/>
      <c r="C721" s="125"/>
      <c r="D721" s="125"/>
      <c r="E721" s="125"/>
      <c r="F721" s="126"/>
      <c r="G721" s="125"/>
      <c r="H721" s="125"/>
      <c r="I721" s="125"/>
      <c r="J721" s="125"/>
      <c r="K721" s="125"/>
      <c r="L721" s="125"/>
      <c r="M721" s="125"/>
      <c r="N721" s="129"/>
      <c r="O721" s="125"/>
      <c r="P721" s="173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spans="1:26" ht="15.75" customHeight="1">
      <c r="A722" s="125"/>
      <c r="B722" s="125"/>
      <c r="C722" s="125"/>
      <c r="D722" s="125"/>
      <c r="E722" s="125"/>
      <c r="F722" s="126"/>
      <c r="G722" s="125"/>
      <c r="H722" s="125"/>
      <c r="I722" s="125"/>
      <c r="J722" s="125"/>
      <c r="K722" s="125"/>
      <c r="L722" s="125"/>
      <c r="M722" s="125"/>
      <c r="N722" s="129"/>
      <c r="O722" s="125"/>
      <c r="P722" s="173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spans="1:26" ht="15.75" customHeight="1">
      <c r="A723" s="125"/>
      <c r="B723" s="125"/>
      <c r="C723" s="125"/>
      <c r="D723" s="125"/>
      <c r="E723" s="125"/>
      <c r="F723" s="126"/>
      <c r="G723" s="125"/>
      <c r="H723" s="125"/>
      <c r="I723" s="125"/>
      <c r="J723" s="125"/>
      <c r="K723" s="125"/>
      <c r="L723" s="125"/>
      <c r="M723" s="125"/>
      <c r="N723" s="129"/>
      <c r="O723" s="125"/>
      <c r="P723" s="173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spans="1:26" ht="15.75" customHeight="1">
      <c r="A724" s="125"/>
      <c r="B724" s="125"/>
      <c r="C724" s="125"/>
      <c r="D724" s="125"/>
      <c r="E724" s="125"/>
      <c r="F724" s="126"/>
      <c r="G724" s="125"/>
      <c r="H724" s="125"/>
      <c r="I724" s="125"/>
      <c r="J724" s="125"/>
      <c r="K724" s="125"/>
      <c r="L724" s="125"/>
      <c r="M724" s="125"/>
      <c r="N724" s="129"/>
      <c r="O724" s="125"/>
      <c r="P724" s="173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spans="1:26" ht="15.75" customHeight="1">
      <c r="A725" s="125"/>
      <c r="B725" s="125"/>
      <c r="C725" s="125"/>
      <c r="D725" s="125"/>
      <c r="E725" s="125"/>
      <c r="F725" s="126"/>
      <c r="G725" s="125"/>
      <c r="H725" s="125"/>
      <c r="I725" s="125"/>
      <c r="J725" s="125"/>
      <c r="K725" s="125"/>
      <c r="L725" s="125"/>
      <c r="M725" s="125"/>
      <c r="N725" s="129"/>
      <c r="O725" s="125"/>
      <c r="P725" s="173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spans="1:26" ht="15.75" customHeight="1">
      <c r="A726" s="125"/>
      <c r="B726" s="125"/>
      <c r="C726" s="125"/>
      <c r="D726" s="125"/>
      <c r="E726" s="125"/>
      <c r="F726" s="126"/>
      <c r="G726" s="125"/>
      <c r="H726" s="125"/>
      <c r="I726" s="125"/>
      <c r="J726" s="125"/>
      <c r="K726" s="125"/>
      <c r="L726" s="125"/>
      <c r="M726" s="125"/>
      <c r="N726" s="129"/>
      <c r="O726" s="125"/>
      <c r="P726" s="173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spans="1:26" ht="15.75" customHeight="1">
      <c r="A727" s="125"/>
      <c r="B727" s="125"/>
      <c r="C727" s="125"/>
      <c r="D727" s="125"/>
      <c r="E727" s="125"/>
      <c r="F727" s="126"/>
      <c r="G727" s="125"/>
      <c r="H727" s="125"/>
      <c r="I727" s="125"/>
      <c r="J727" s="125"/>
      <c r="K727" s="125"/>
      <c r="L727" s="125"/>
      <c r="M727" s="125"/>
      <c r="N727" s="129"/>
      <c r="O727" s="125"/>
      <c r="P727" s="173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spans="1:26" ht="15.75" customHeight="1">
      <c r="A728" s="125"/>
      <c r="B728" s="125"/>
      <c r="C728" s="125"/>
      <c r="D728" s="125"/>
      <c r="E728" s="125"/>
      <c r="F728" s="126"/>
      <c r="G728" s="125"/>
      <c r="H728" s="125"/>
      <c r="I728" s="125"/>
      <c r="J728" s="125"/>
      <c r="K728" s="125"/>
      <c r="L728" s="125"/>
      <c r="M728" s="125"/>
      <c r="N728" s="129"/>
      <c r="O728" s="125"/>
      <c r="P728" s="173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spans="1:26" ht="15.75" customHeight="1">
      <c r="A729" s="125"/>
      <c r="B729" s="125"/>
      <c r="C729" s="125"/>
      <c r="D729" s="125"/>
      <c r="E729" s="125"/>
      <c r="F729" s="126"/>
      <c r="G729" s="125"/>
      <c r="H729" s="125"/>
      <c r="I729" s="125"/>
      <c r="J729" s="125"/>
      <c r="K729" s="125"/>
      <c r="L729" s="125"/>
      <c r="M729" s="125"/>
      <c r="N729" s="129"/>
      <c r="O729" s="125"/>
      <c r="P729" s="173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spans="1:26" ht="15.75" customHeight="1">
      <c r="A730" s="125"/>
      <c r="B730" s="125"/>
      <c r="C730" s="125"/>
      <c r="D730" s="125"/>
      <c r="E730" s="125"/>
      <c r="F730" s="126"/>
      <c r="G730" s="125"/>
      <c r="H730" s="125"/>
      <c r="I730" s="125"/>
      <c r="J730" s="125"/>
      <c r="K730" s="125"/>
      <c r="L730" s="125"/>
      <c r="M730" s="125"/>
      <c r="N730" s="129"/>
      <c r="O730" s="125"/>
      <c r="P730" s="173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spans="1:26" ht="15.75" customHeight="1">
      <c r="A731" s="125"/>
      <c r="B731" s="125"/>
      <c r="C731" s="125"/>
      <c r="D731" s="125"/>
      <c r="E731" s="125"/>
      <c r="F731" s="126"/>
      <c r="G731" s="125"/>
      <c r="H731" s="125"/>
      <c r="I731" s="125"/>
      <c r="J731" s="125"/>
      <c r="K731" s="125"/>
      <c r="L731" s="125"/>
      <c r="M731" s="125"/>
      <c r="N731" s="129"/>
      <c r="O731" s="125"/>
      <c r="P731" s="173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spans="1:26" ht="15.75" customHeight="1">
      <c r="A732" s="125"/>
      <c r="B732" s="125"/>
      <c r="C732" s="125"/>
      <c r="D732" s="125"/>
      <c r="E732" s="125"/>
      <c r="F732" s="126"/>
      <c r="G732" s="125"/>
      <c r="H732" s="125"/>
      <c r="I732" s="125"/>
      <c r="J732" s="125"/>
      <c r="K732" s="125"/>
      <c r="L732" s="125"/>
      <c r="M732" s="125"/>
      <c r="N732" s="129"/>
      <c r="O732" s="125"/>
      <c r="P732" s="173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spans="1:26" ht="15.75" customHeight="1">
      <c r="A733" s="125"/>
      <c r="B733" s="125"/>
      <c r="C733" s="125"/>
      <c r="D733" s="125"/>
      <c r="E733" s="125"/>
      <c r="F733" s="126"/>
      <c r="G733" s="125"/>
      <c r="H733" s="125"/>
      <c r="I733" s="125"/>
      <c r="J733" s="125"/>
      <c r="K733" s="125"/>
      <c r="L733" s="125"/>
      <c r="M733" s="125"/>
      <c r="N733" s="129"/>
      <c r="O733" s="125"/>
      <c r="P733" s="173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spans="1:26" ht="15.75" customHeight="1">
      <c r="A734" s="125"/>
      <c r="B734" s="125"/>
      <c r="C734" s="125"/>
      <c r="D734" s="125"/>
      <c r="E734" s="125"/>
      <c r="F734" s="126"/>
      <c r="G734" s="125"/>
      <c r="H734" s="125"/>
      <c r="I734" s="125"/>
      <c r="J734" s="125"/>
      <c r="K734" s="125"/>
      <c r="L734" s="125"/>
      <c r="M734" s="125"/>
      <c r="N734" s="129"/>
      <c r="O734" s="125"/>
      <c r="P734" s="173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spans="1:26" ht="15.75" customHeight="1">
      <c r="A735" s="125"/>
      <c r="B735" s="125"/>
      <c r="C735" s="125"/>
      <c r="D735" s="125"/>
      <c r="E735" s="125"/>
      <c r="F735" s="126"/>
      <c r="G735" s="125"/>
      <c r="H735" s="125"/>
      <c r="I735" s="125"/>
      <c r="J735" s="125"/>
      <c r="K735" s="125"/>
      <c r="L735" s="125"/>
      <c r="M735" s="125"/>
      <c r="N735" s="129"/>
      <c r="O735" s="125"/>
      <c r="P735" s="173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spans="1:26" ht="15.75" customHeight="1">
      <c r="A736" s="125"/>
      <c r="B736" s="125"/>
      <c r="C736" s="125"/>
      <c r="D736" s="125"/>
      <c r="E736" s="125"/>
      <c r="F736" s="126"/>
      <c r="G736" s="125"/>
      <c r="H736" s="125"/>
      <c r="I736" s="125"/>
      <c r="J736" s="125"/>
      <c r="K736" s="125"/>
      <c r="L736" s="125"/>
      <c r="M736" s="125"/>
      <c r="N736" s="129"/>
      <c r="O736" s="125"/>
      <c r="P736" s="173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spans="1:26" ht="15.75" customHeight="1">
      <c r="A737" s="125"/>
      <c r="B737" s="125"/>
      <c r="C737" s="125"/>
      <c r="D737" s="125"/>
      <c r="E737" s="125"/>
      <c r="F737" s="126"/>
      <c r="G737" s="125"/>
      <c r="H737" s="125"/>
      <c r="I737" s="125"/>
      <c r="J737" s="125"/>
      <c r="K737" s="125"/>
      <c r="L737" s="125"/>
      <c r="M737" s="125"/>
      <c r="N737" s="129"/>
      <c r="O737" s="125"/>
      <c r="P737" s="173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spans="1:26" ht="15.75" customHeight="1">
      <c r="A738" s="125"/>
      <c r="B738" s="125"/>
      <c r="C738" s="125"/>
      <c r="D738" s="125"/>
      <c r="E738" s="125"/>
      <c r="F738" s="126"/>
      <c r="G738" s="125"/>
      <c r="H738" s="125"/>
      <c r="I738" s="125"/>
      <c r="J738" s="125"/>
      <c r="K738" s="125"/>
      <c r="L738" s="125"/>
      <c r="M738" s="125"/>
      <c r="N738" s="129"/>
      <c r="O738" s="125"/>
      <c r="P738" s="173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spans="1:26" ht="15.75" customHeight="1">
      <c r="A739" s="125"/>
      <c r="B739" s="125"/>
      <c r="C739" s="125"/>
      <c r="D739" s="125"/>
      <c r="E739" s="125"/>
      <c r="F739" s="126"/>
      <c r="G739" s="125"/>
      <c r="H739" s="125"/>
      <c r="I739" s="125"/>
      <c r="J739" s="125"/>
      <c r="K739" s="125"/>
      <c r="L739" s="125"/>
      <c r="M739" s="125"/>
      <c r="N739" s="129"/>
      <c r="O739" s="125"/>
      <c r="P739" s="173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spans="1:26" ht="15.75" customHeight="1">
      <c r="A740" s="125"/>
      <c r="B740" s="125"/>
      <c r="C740" s="125"/>
      <c r="D740" s="125"/>
      <c r="E740" s="125"/>
      <c r="F740" s="126"/>
      <c r="G740" s="125"/>
      <c r="H740" s="125"/>
      <c r="I740" s="125"/>
      <c r="J740" s="125"/>
      <c r="K740" s="125"/>
      <c r="L740" s="125"/>
      <c r="M740" s="125"/>
      <c r="N740" s="129"/>
      <c r="O740" s="125"/>
      <c r="P740" s="173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spans="1:26" ht="15.75" customHeight="1">
      <c r="A741" s="125"/>
      <c r="B741" s="125"/>
      <c r="C741" s="125"/>
      <c r="D741" s="125"/>
      <c r="E741" s="125"/>
      <c r="F741" s="126"/>
      <c r="G741" s="125"/>
      <c r="H741" s="125"/>
      <c r="I741" s="125"/>
      <c r="J741" s="125"/>
      <c r="K741" s="125"/>
      <c r="L741" s="125"/>
      <c r="M741" s="125"/>
      <c r="N741" s="129"/>
      <c r="O741" s="125"/>
      <c r="P741" s="173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spans="1:26" ht="15.75" customHeight="1">
      <c r="A742" s="125"/>
      <c r="B742" s="125"/>
      <c r="C742" s="125"/>
      <c r="D742" s="125"/>
      <c r="E742" s="125"/>
      <c r="F742" s="126"/>
      <c r="G742" s="125"/>
      <c r="H742" s="125"/>
      <c r="I742" s="125"/>
      <c r="J742" s="125"/>
      <c r="K742" s="125"/>
      <c r="L742" s="125"/>
      <c r="M742" s="125"/>
      <c r="N742" s="129"/>
      <c r="O742" s="125"/>
      <c r="P742" s="173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spans="1:26" ht="15.75" customHeight="1">
      <c r="A743" s="125"/>
      <c r="B743" s="125"/>
      <c r="C743" s="125"/>
      <c r="D743" s="125"/>
      <c r="E743" s="125"/>
      <c r="F743" s="126"/>
      <c r="G743" s="125"/>
      <c r="H743" s="125"/>
      <c r="I743" s="125"/>
      <c r="J743" s="125"/>
      <c r="K743" s="125"/>
      <c r="L743" s="125"/>
      <c r="M743" s="125"/>
      <c r="N743" s="129"/>
      <c r="O743" s="125"/>
      <c r="P743" s="173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spans="1:26" ht="15.75" customHeight="1">
      <c r="A744" s="125"/>
      <c r="B744" s="125"/>
      <c r="C744" s="125"/>
      <c r="D744" s="125"/>
      <c r="E744" s="125"/>
      <c r="F744" s="126"/>
      <c r="G744" s="125"/>
      <c r="H744" s="125"/>
      <c r="I744" s="125"/>
      <c r="J744" s="125"/>
      <c r="K744" s="125"/>
      <c r="L744" s="125"/>
      <c r="M744" s="125"/>
      <c r="N744" s="129"/>
      <c r="O744" s="125"/>
      <c r="P744" s="173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spans="1:26" ht="15.75" customHeight="1">
      <c r="A745" s="125"/>
      <c r="B745" s="125"/>
      <c r="C745" s="125"/>
      <c r="D745" s="125"/>
      <c r="E745" s="125"/>
      <c r="F745" s="126"/>
      <c r="G745" s="125"/>
      <c r="H745" s="125"/>
      <c r="I745" s="125"/>
      <c r="J745" s="125"/>
      <c r="K745" s="125"/>
      <c r="L745" s="125"/>
      <c r="M745" s="125"/>
      <c r="N745" s="129"/>
      <c r="O745" s="125"/>
      <c r="P745" s="173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spans="1:26" ht="15.75" customHeight="1">
      <c r="A746" s="125"/>
      <c r="B746" s="125"/>
      <c r="C746" s="125"/>
      <c r="D746" s="125"/>
      <c r="E746" s="125"/>
      <c r="F746" s="126"/>
      <c r="G746" s="125"/>
      <c r="H746" s="125"/>
      <c r="I746" s="125"/>
      <c r="J746" s="125"/>
      <c r="K746" s="125"/>
      <c r="L746" s="125"/>
      <c r="M746" s="125"/>
      <c r="N746" s="129"/>
      <c r="O746" s="125"/>
      <c r="P746" s="173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spans="1:26" ht="15.75" customHeight="1">
      <c r="A747" s="125"/>
      <c r="B747" s="125"/>
      <c r="C747" s="125"/>
      <c r="D747" s="125"/>
      <c r="E747" s="125"/>
      <c r="F747" s="126"/>
      <c r="G747" s="125"/>
      <c r="H747" s="125"/>
      <c r="I747" s="125"/>
      <c r="J747" s="125"/>
      <c r="K747" s="125"/>
      <c r="L747" s="125"/>
      <c r="M747" s="125"/>
      <c r="N747" s="129"/>
      <c r="O747" s="125"/>
      <c r="P747" s="173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spans="1:26" ht="15.75" customHeight="1">
      <c r="A748" s="125"/>
      <c r="B748" s="125"/>
      <c r="C748" s="125"/>
      <c r="D748" s="125"/>
      <c r="E748" s="125"/>
      <c r="F748" s="126"/>
      <c r="G748" s="125"/>
      <c r="H748" s="125"/>
      <c r="I748" s="125"/>
      <c r="J748" s="125"/>
      <c r="K748" s="125"/>
      <c r="L748" s="125"/>
      <c r="M748" s="125"/>
      <c r="N748" s="129"/>
      <c r="O748" s="125"/>
      <c r="P748" s="173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spans="1:26" ht="15.75" customHeight="1">
      <c r="A749" s="125"/>
      <c r="B749" s="125"/>
      <c r="C749" s="125"/>
      <c r="D749" s="125"/>
      <c r="E749" s="125"/>
      <c r="F749" s="126"/>
      <c r="G749" s="125"/>
      <c r="H749" s="125"/>
      <c r="I749" s="125"/>
      <c r="J749" s="125"/>
      <c r="K749" s="125"/>
      <c r="L749" s="125"/>
      <c r="M749" s="125"/>
      <c r="N749" s="129"/>
      <c r="O749" s="125"/>
      <c r="P749" s="173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spans="1:26" ht="15.75" customHeight="1">
      <c r="A750" s="125"/>
      <c r="B750" s="125"/>
      <c r="C750" s="125"/>
      <c r="D750" s="125"/>
      <c r="E750" s="125"/>
      <c r="F750" s="126"/>
      <c r="G750" s="125"/>
      <c r="H750" s="125"/>
      <c r="I750" s="125"/>
      <c r="J750" s="125"/>
      <c r="K750" s="125"/>
      <c r="L750" s="125"/>
      <c r="M750" s="125"/>
      <c r="N750" s="129"/>
      <c r="O750" s="125"/>
      <c r="P750" s="173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spans="1:26" ht="15.75" customHeight="1">
      <c r="A751" s="125"/>
      <c r="B751" s="125"/>
      <c r="C751" s="125"/>
      <c r="D751" s="125"/>
      <c r="E751" s="125"/>
      <c r="F751" s="126"/>
      <c r="G751" s="125"/>
      <c r="H751" s="125"/>
      <c r="I751" s="125"/>
      <c r="J751" s="125"/>
      <c r="K751" s="125"/>
      <c r="L751" s="125"/>
      <c r="M751" s="125"/>
      <c r="N751" s="129"/>
      <c r="O751" s="125"/>
      <c r="P751" s="173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spans="1:26" ht="15.75" customHeight="1">
      <c r="A752" s="125"/>
      <c r="B752" s="125"/>
      <c r="C752" s="125"/>
      <c r="D752" s="125"/>
      <c r="E752" s="125"/>
      <c r="F752" s="126"/>
      <c r="G752" s="125"/>
      <c r="H752" s="125"/>
      <c r="I752" s="125"/>
      <c r="J752" s="125"/>
      <c r="K752" s="125"/>
      <c r="L752" s="125"/>
      <c r="M752" s="125"/>
      <c r="N752" s="129"/>
      <c r="O752" s="125"/>
      <c r="P752" s="173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spans="1:26" ht="15.75" customHeight="1">
      <c r="A753" s="125"/>
      <c r="B753" s="125"/>
      <c r="C753" s="125"/>
      <c r="D753" s="125"/>
      <c r="E753" s="125"/>
      <c r="F753" s="126"/>
      <c r="G753" s="125"/>
      <c r="H753" s="125"/>
      <c r="I753" s="125"/>
      <c r="J753" s="125"/>
      <c r="K753" s="125"/>
      <c r="L753" s="125"/>
      <c r="M753" s="125"/>
      <c r="N753" s="129"/>
      <c r="O753" s="125"/>
      <c r="P753" s="173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spans="1:26" ht="15.75" customHeight="1">
      <c r="A754" s="125"/>
      <c r="B754" s="125"/>
      <c r="C754" s="125"/>
      <c r="D754" s="125"/>
      <c r="E754" s="125"/>
      <c r="F754" s="126"/>
      <c r="G754" s="125"/>
      <c r="H754" s="125"/>
      <c r="I754" s="125"/>
      <c r="J754" s="125"/>
      <c r="K754" s="125"/>
      <c r="L754" s="125"/>
      <c r="M754" s="125"/>
      <c r="N754" s="129"/>
      <c r="O754" s="125"/>
      <c r="P754" s="173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spans="1:26" ht="15.75" customHeight="1">
      <c r="A755" s="125"/>
      <c r="B755" s="125"/>
      <c r="C755" s="125"/>
      <c r="D755" s="125"/>
      <c r="E755" s="125"/>
      <c r="F755" s="126"/>
      <c r="G755" s="125"/>
      <c r="H755" s="125"/>
      <c r="I755" s="125"/>
      <c r="J755" s="125"/>
      <c r="K755" s="125"/>
      <c r="L755" s="125"/>
      <c r="M755" s="125"/>
      <c r="N755" s="129"/>
      <c r="O755" s="125"/>
      <c r="P755" s="173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spans="1:26" ht="15.75" customHeight="1">
      <c r="A756" s="125"/>
      <c r="B756" s="125"/>
      <c r="C756" s="125"/>
      <c r="D756" s="125"/>
      <c r="E756" s="125"/>
      <c r="F756" s="126"/>
      <c r="G756" s="125"/>
      <c r="H756" s="125"/>
      <c r="I756" s="125"/>
      <c r="J756" s="125"/>
      <c r="K756" s="125"/>
      <c r="L756" s="125"/>
      <c r="M756" s="125"/>
      <c r="N756" s="129"/>
      <c r="O756" s="125"/>
      <c r="P756" s="173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spans="1:26" ht="15.75" customHeight="1">
      <c r="A757" s="125"/>
      <c r="B757" s="125"/>
      <c r="C757" s="125"/>
      <c r="D757" s="125"/>
      <c r="E757" s="125"/>
      <c r="F757" s="126"/>
      <c r="G757" s="125"/>
      <c r="H757" s="125"/>
      <c r="I757" s="125"/>
      <c r="J757" s="125"/>
      <c r="K757" s="125"/>
      <c r="L757" s="125"/>
      <c r="M757" s="125"/>
      <c r="N757" s="129"/>
      <c r="O757" s="125"/>
      <c r="P757" s="173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spans="1:26" ht="15.75" customHeight="1">
      <c r="A758" s="125"/>
      <c r="B758" s="125"/>
      <c r="C758" s="125"/>
      <c r="D758" s="125"/>
      <c r="E758" s="125"/>
      <c r="F758" s="126"/>
      <c r="G758" s="125"/>
      <c r="H758" s="125"/>
      <c r="I758" s="125"/>
      <c r="J758" s="125"/>
      <c r="K758" s="125"/>
      <c r="L758" s="125"/>
      <c r="M758" s="125"/>
      <c r="N758" s="129"/>
      <c r="O758" s="125"/>
      <c r="P758" s="173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spans="1:26" ht="15.75" customHeight="1">
      <c r="A759" s="125"/>
      <c r="B759" s="125"/>
      <c r="C759" s="125"/>
      <c r="D759" s="125"/>
      <c r="E759" s="125"/>
      <c r="F759" s="126"/>
      <c r="G759" s="125"/>
      <c r="H759" s="125"/>
      <c r="I759" s="125"/>
      <c r="J759" s="125"/>
      <c r="K759" s="125"/>
      <c r="L759" s="125"/>
      <c r="M759" s="125"/>
      <c r="N759" s="129"/>
      <c r="O759" s="125"/>
      <c r="P759" s="173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spans="1:26" ht="15.75" customHeight="1">
      <c r="A760" s="125"/>
      <c r="B760" s="125"/>
      <c r="C760" s="125"/>
      <c r="D760" s="125"/>
      <c r="E760" s="125"/>
      <c r="F760" s="126"/>
      <c r="G760" s="125"/>
      <c r="H760" s="125"/>
      <c r="I760" s="125"/>
      <c r="J760" s="125"/>
      <c r="K760" s="125"/>
      <c r="L760" s="125"/>
      <c r="M760" s="125"/>
      <c r="N760" s="129"/>
      <c r="O760" s="125"/>
      <c r="P760" s="173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spans="1:26" ht="15.75" customHeight="1">
      <c r="A761" s="125"/>
      <c r="B761" s="125"/>
      <c r="C761" s="125"/>
      <c r="D761" s="125"/>
      <c r="E761" s="125"/>
      <c r="F761" s="126"/>
      <c r="G761" s="125"/>
      <c r="H761" s="125"/>
      <c r="I761" s="125"/>
      <c r="J761" s="125"/>
      <c r="K761" s="125"/>
      <c r="L761" s="125"/>
      <c r="M761" s="125"/>
      <c r="N761" s="129"/>
      <c r="O761" s="125"/>
      <c r="P761" s="173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spans="1:26" ht="15.75" customHeight="1">
      <c r="A762" s="125"/>
      <c r="B762" s="125"/>
      <c r="C762" s="125"/>
      <c r="D762" s="125"/>
      <c r="E762" s="125"/>
      <c r="F762" s="126"/>
      <c r="G762" s="125"/>
      <c r="H762" s="125"/>
      <c r="I762" s="125"/>
      <c r="J762" s="125"/>
      <c r="K762" s="125"/>
      <c r="L762" s="125"/>
      <c r="M762" s="125"/>
      <c r="N762" s="129"/>
      <c r="O762" s="125"/>
      <c r="P762" s="173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spans="1:26" ht="15.75" customHeight="1">
      <c r="A763" s="125"/>
      <c r="B763" s="125"/>
      <c r="C763" s="125"/>
      <c r="D763" s="125"/>
      <c r="E763" s="125"/>
      <c r="F763" s="126"/>
      <c r="G763" s="125"/>
      <c r="H763" s="125"/>
      <c r="I763" s="125"/>
      <c r="J763" s="125"/>
      <c r="K763" s="125"/>
      <c r="L763" s="125"/>
      <c r="M763" s="125"/>
      <c r="N763" s="129"/>
      <c r="O763" s="125"/>
      <c r="P763" s="173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spans="1:26" ht="15.75" customHeight="1">
      <c r="A764" s="125"/>
      <c r="B764" s="125"/>
      <c r="C764" s="125"/>
      <c r="D764" s="125"/>
      <c r="E764" s="125"/>
      <c r="F764" s="126"/>
      <c r="G764" s="125"/>
      <c r="H764" s="125"/>
      <c r="I764" s="125"/>
      <c r="J764" s="125"/>
      <c r="K764" s="125"/>
      <c r="L764" s="125"/>
      <c r="M764" s="125"/>
      <c r="N764" s="129"/>
      <c r="O764" s="125"/>
      <c r="P764" s="173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spans="1:26" ht="15.75" customHeight="1">
      <c r="A765" s="125"/>
      <c r="B765" s="125"/>
      <c r="C765" s="125"/>
      <c r="D765" s="125"/>
      <c r="E765" s="125"/>
      <c r="F765" s="126"/>
      <c r="G765" s="125"/>
      <c r="H765" s="125"/>
      <c r="I765" s="125"/>
      <c r="J765" s="125"/>
      <c r="K765" s="125"/>
      <c r="L765" s="125"/>
      <c r="M765" s="125"/>
      <c r="N765" s="129"/>
      <c r="O765" s="125"/>
      <c r="P765" s="173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spans="1:26" ht="15.75" customHeight="1">
      <c r="A766" s="125"/>
      <c r="B766" s="125"/>
      <c r="C766" s="125"/>
      <c r="D766" s="125"/>
      <c r="E766" s="125"/>
      <c r="F766" s="126"/>
      <c r="G766" s="125"/>
      <c r="H766" s="125"/>
      <c r="I766" s="125"/>
      <c r="J766" s="125"/>
      <c r="K766" s="125"/>
      <c r="L766" s="125"/>
      <c r="M766" s="125"/>
      <c r="N766" s="129"/>
      <c r="O766" s="125"/>
      <c r="P766" s="173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spans="1:26" ht="15.75" customHeight="1">
      <c r="A767" s="125"/>
      <c r="B767" s="125"/>
      <c r="C767" s="125"/>
      <c r="D767" s="125"/>
      <c r="E767" s="125"/>
      <c r="F767" s="126"/>
      <c r="G767" s="125"/>
      <c r="H767" s="125"/>
      <c r="I767" s="125"/>
      <c r="J767" s="125"/>
      <c r="K767" s="125"/>
      <c r="L767" s="125"/>
      <c r="M767" s="125"/>
      <c r="N767" s="129"/>
      <c r="O767" s="125"/>
      <c r="P767" s="173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spans="1:26" ht="15.75" customHeight="1">
      <c r="A768" s="125"/>
      <c r="B768" s="125"/>
      <c r="C768" s="125"/>
      <c r="D768" s="125"/>
      <c r="E768" s="125"/>
      <c r="F768" s="126"/>
      <c r="G768" s="125"/>
      <c r="H768" s="125"/>
      <c r="I768" s="125"/>
      <c r="J768" s="125"/>
      <c r="K768" s="125"/>
      <c r="L768" s="125"/>
      <c r="M768" s="125"/>
      <c r="N768" s="129"/>
      <c r="O768" s="125"/>
      <c r="P768" s="173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spans="1:26" ht="15.75" customHeight="1">
      <c r="A769" s="125"/>
      <c r="B769" s="125"/>
      <c r="C769" s="125"/>
      <c r="D769" s="125"/>
      <c r="E769" s="125"/>
      <c r="F769" s="126"/>
      <c r="G769" s="125"/>
      <c r="H769" s="125"/>
      <c r="I769" s="125"/>
      <c r="J769" s="125"/>
      <c r="K769" s="125"/>
      <c r="L769" s="125"/>
      <c r="M769" s="125"/>
      <c r="N769" s="129"/>
      <c r="O769" s="125"/>
      <c r="P769" s="173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spans="1:26" ht="15.75" customHeight="1">
      <c r="A770" s="125"/>
      <c r="B770" s="125"/>
      <c r="C770" s="125"/>
      <c r="D770" s="125"/>
      <c r="E770" s="125"/>
      <c r="F770" s="126"/>
      <c r="G770" s="125"/>
      <c r="H770" s="125"/>
      <c r="I770" s="125"/>
      <c r="J770" s="125"/>
      <c r="K770" s="125"/>
      <c r="L770" s="125"/>
      <c r="M770" s="125"/>
      <c r="N770" s="129"/>
      <c r="O770" s="125"/>
      <c r="P770" s="173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spans="1:26" ht="15.75" customHeight="1">
      <c r="A771" s="125"/>
      <c r="B771" s="125"/>
      <c r="C771" s="125"/>
      <c r="D771" s="125"/>
      <c r="E771" s="125"/>
      <c r="F771" s="126"/>
      <c r="G771" s="125"/>
      <c r="H771" s="125"/>
      <c r="I771" s="125"/>
      <c r="J771" s="125"/>
      <c r="K771" s="125"/>
      <c r="L771" s="125"/>
      <c r="M771" s="125"/>
      <c r="N771" s="129"/>
      <c r="O771" s="125"/>
      <c r="P771" s="173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spans="1:26" ht="15.75" customHeight="1">
      <c r="A772" s="125"/>
      <c r="B772" s="125"/>
      <c r="C772" s="125"/>
      <c r="D772" s="125"/>
      <c r="E772" s="125"/>
      <c r="F772" s="126"/>
      <c r="G772" s="125"/>
      <c r="H772" s="125"/>
      <c r="I772" s="125"/>
      <c r="J772" s="125"/>
      <c r="K772" s="125"/>
      <c r="L772" s="125"/>
      <c r="M772" s="125"/>
      <c r="N772" s="129"/>
      <c r="O772" s="125"/>
      <c r="P772" s="173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spans="1:26" ht="15.75" customHeight="1">
      <c r="A773" s="125"/>
      <c r="B773" s="125"/>
      <c r="C773" s="125"/>
      <c r="D773" s="125"/>
      <c r="E773" s="125"/>
      <c r="F773" s="126"/>
      <c r="G773" s="125"/>
      <c r="H773" s="125"/>
      <c r="I773" s="125"/>
      <c r="J773" s="125"/>
      <c r="K773" s="125"/>
      <c r="L773" s="125"/>
      <c r="M773" s="125"/>
      <c r="N773" s="129"/>
      <c r="O773" s="125"/>
      <c r="P773" s="173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spans="1:26" ht="15.75" customHeight="1">
      <c r="A774" s="125"/>
      <c r="B774" s="125"/>
      <c r="C774" s="125"/>
      <c r="D774" s="125"/>
      <c r="E774" s="125"/>
      <c r="F774" s="126"/>
      <c r="G774" s="125"/>
      <c r="H774" s="125"/>
      <c r="I774" s="125"/>
      <c r="J774" s="125"/>
      <c r="K774" s="125"/>
      <c r="L774" s="125"/>
      <c r="M774" s="125"/>
      <c r="N774" s="129"/>
      <c r="O774" s="125"/>
      <c r="P774" s="173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spans="1:26" ht="15.75" customHeight="1">
      <c r="A775" s="125"/>
      <c r="B775" s="125"/>
      <c r="C775" s="125"/>
      <c r="D775" s="125"/>
      <c r="E775" s="125"/>
      <c r="F775" s="126"/>
      <c r="G775" s="125"/>
      <c r="H775" s="125"/>
      <c r="I775" s="125"/>
      <c r="J775" s="125"/>
      <c r="K775" s="125"/>
      <c r="L775" s="125"/>
      <c r="M775" s="125"/>
      <c r="N775" s="129"/>
      <c r="O775" s="125"/>
      <c r="P775" s="173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spans="1:26" ht="15.75" customHeight="1">
      <c r="A776" s="125"/>
      <c r="B776" s="125"/>
      <c r="C776" s="125"/>
      <c r="D776" s="125"/>
      <c r="E776" s="125"/>
      <c r="F776" s="126"/>
      <c r="G776" s="125"/>
      <c r="H776" s="125"/>
      <c r="I776" s="125"/>
      <c r="J776" s="125"/>
      <c r="K776" s="125"/>
      <c r="L776" s="125"/>
      <c r="M776" s="125"/>
      <c r="N776" s="129"/>
      <c r="O776" s="125"/>
      <c r="P776" s="173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spans="1:26" ht="15.75" customHeight="1">
      <c r="A777" s="125"/>
      <c r="B777" s="125"/>
      <c r="C777" s="125"/>
      <c r="D777" s="125"/>
      <c r="E777" s="125"/>
      <c r="F777" s="126"/>
      <c r="G777" s="125"/>
      <c r="H777" s="125"/>
      <c r="I777" s="125"/>
      <c r="J777" s="125"/>
      <c r="K777" s="125"/>
      <c r="L777" s="125"/>
      <c r="M777" s="125"/>
      <c r="N777" s="129"/>
      <c r="O777" s="125"/>
      <c r="P777" s="173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spans="1:26" ht="15.75" customHeight="1">
      <c r="A778" s="125"/>
      <c r="B778" s="125"/>
      <c r="C778" s="125"/>
      <c r="D778" s="125"/>
      <c r="E778" s="125"/>
      <c r="F778" s="126"/>
      <c r="G778" s="125"/>
      <c r="H778" s="125"/>
      <c r="I778" s="125"/>
      <c r="J778" s="125"/>
      <c r="K778" s="125"/>
      <c r="L778" s="125"/>
      <c r="M778" s="125"/>
      <c r="N778" s="129"/>
      <c r="O778" s="125"/>
      <c r="P778" s="173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spans="1:26" ht="15.75" customHeight="1">
      <c r="A779" s="125"/>
      <c r="B779" s="125"/>
      <c r="C779" s="125"/>
      <c r="D779" s="125"/>
      <c r="E779" s="125"/>
      <c r="F779" s="126"/>
      <c r="G779" s="125"/>
      <c r="H779" s="125"/>
      <c r="I779" s="125"/>
      <c r="J779" s="125"/>
      <c r="K779" s="125"/>
      <c r="L779" s="125"/>
      <c r="M779" s="125"/>
      <c r="N779" s="129"/>
      <c r="O779" s="125"/>
      <c r="P779" s="173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spans="1:26" ht="15.75" customHeight="1">
      <c r="A780" s="125"/>
      <c r="B780" s="125"/>
      <c r="C780" s="125"/>
      <c r="D780" s="125"/>
      <c r="E780" s="125"/>
      <c r="F780" s="126"/>
      <c r="G780" s="125"/>
      <c r="H780" s="125"/>
      <c r="I780" s="125"/>
      <c r="J780" s="125"/>
      <c r="K780" s="125"/>
      <c r="L780" s="125"/>
      <c r="M780" s="125"/>
      <c r="N780" s="129"/>
      <c r="O780" s="125"/>
      <c r="P780" s="173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spans="1:26" ht="15.75" customHeight="1">
      <c r="A781" s="125"/>
      <c r="B781" s="125"/>
      <c r="C781" s="125"/>
      <c r="D781" s="125"/>
      <c r="E781" s="125"/>
      <c r="F781" s="126"/>
      <c r="G781" s="125"/>
      <c r="H781" s="125"/>
      <c r="I781" s="125"/>
      <c r="J781" s="125"/>
      <c r="K781" s="125"/>
      <c r="L781" s="125"/>
      <c r="M781" s="125"/>
      <c r="N781" s="129"/>
      <c r="O781" s="125"/>
      <c r="P781" s="173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spans="1:26" ht="15.75" customHeight="1">
      <c r="A782" s="125"/>
      <c r="B782" s="125"/>
      <c r="C782" s="125"/>
      <c r="D782" s="125"/>
      <c r="E782" s="125"/>
      <c r="F782" s="126"/>
      <c r="G782" s="125"/>
      <c r="H782" s="125"/>
      <c r="I782" s="125"/>
      <c r="J782" s="125"/>
      <c r="K782" s="125"/>
      <c r="L782" s="125"/>
      <c r="M782" s="125"/>
      <c r="N782" s="129"/>
      <c r="O782" s="125"/>
      <c r="P782" s="173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spans="1:26" ht="15.75" customHeight="1">
      <c r="A783" s="125"/>
      <c r="B783" s="125"/>
      <c r="C783" s="125"/>
      <c r="D783" s="125"/>
      <c r="E783" s="125"/>
      <c r="F783" s="126"/>
      <c r="G783" s="125"/>
      <c r="H783" s="125"/>
      <c r="I783" s="125"/>
      <c r="J783" s="125"/>
      <c r="K783" s="125"/>
      <c r="L783" s="125"/>
      <c r="M783" s="125"/>
      <c r="N783" s="129"/>
      <c r="O783" s="125"/>
      <c r="P783" s="173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spans="1:26" ht="15.75" customHeight="1">
      <c r="A784" s="125"/>
      <c r="B784" s="125"/>
      <c r="C784" s="125"/>
      <c r="D784" s="125"/>
      <c r="E784" s="125"/>
      <c r="F784" s="126"/>
      <c r="G784" s="125"/>
      <c r="H784" s="125"/>
      <c r="I784" s="125"/>
      <c r="J784" s="125"/>
      <c r="K784" s="125"/>
      <c r="L784" s="125"/>
      <c r="M784" s="125"/>
      <c r="N784" s="129"/>
      <c r="O784" s="125"/>
      <c r="P784" s="173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spans="1:26" ht="15.75" customHeight="1">
      <c r="A785" s="125"/>
      <c r="B785" s="125"/>
      <c r="C785" s="125"/>
      <c r="D785" s="125"/>
      <c r="E785" s="125"/>
      <c r="F785" s="126"/>
      <c r="G785" s="125"/>
      <c r="H785" s="125"/>
      <c r="I785" s="125"/>
      <c r="J785" s="125"/>
      <c r="K785" s="125"/>
      <c r="L785" s="125"/>
      <c r="M785" s="125"/>
      <c r="N785" s="129"/>
      <c r="O785" s="125"/>
      <c r="P785" s="173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spans="1:26" ht="15.75" customHeight="1">
      <c r="A786" s="125"/>
      <c r="B786" s="125"/>
      <c r="C786" s="125"/>
      <c r="D786" s="125"/>
      <c r="E786" s="125"/>
      <c r="F786" s="126"/>
      <c r="G786" s="125"/>
      <c r="H786" s="125"/>
      <c r="I786" s="125"/>
      <c r="J786" s="125"/>
      <c r="K786" s="125"/>
      <c r="L786" s="125"/>
      <c r="M786" s="125"/>
      <c r="N786" s="129"/>
      <c r="O786" s="125"/>
      <c r="P786" s="173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spans="1:26" ht="15.75" customHeight="1">
      <c r="A787" s="125"/>
      <c r="B787" s="125"/>
      <c r="C787" s="125"/>
      <c r="D787" s="125"/>
      <c r="E787" s="125"/>
      <c r="F787" s="126"/>
      <c r="G787" s="125"/>
      <c r="H787" s="125"/>
      <c r="I787" s="125"/>
      <c r="J787" s="125"/>
      <c r="K787" s="125"/>
      <c r="L787" s="125"/>
      <c r="M787" s="125"/>
      <c r="N787" s="129"/>
      <c r="O787" s="125"/>
      <c r="P787" s="173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spans="1:26" ht="15.75" customHeight="1">
      <c r="A788" s="125"/>
      <c r="B788" s="125"/>
      <c r="C788" s="125"/>
      <c r="D788" s="125"/>
      <c r="E788" s="125"/>
      <c r="F788" s="126"/>
      <c r="G788" s="125"/>
      <c r="H788" s="125"/>
      <c r="I788" s="125"/>
      <c r="J788" s="125"/>
      <c r="K788" s="125"/>
      <c r="L788" s="125"/>
      <c r="M788" s="125"/>
      <c r="N788" s="129"/>
      <c r="O788" s="125"/>
      <c r="P788" s="173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spans="1:26" ht="15.75" customHeight="1">
      <c r="A789" s="125"/>
      <c r="B789" s="125"/>
      <c r="C789" s="125"/>
      <c r="D789" s="125"/>
      <c r="E789" s="125"/>
      <c r="F789" s="126"/>
      <c r="G789" s="125"/>
      <c r="H789" s="125"/>
      <c r="I789" s="125"/>
      <c r="J789" s="125"/>
      <c r="K789" s="125"/>
      <c r="L789" s="125"/>
      <c r="M789" s="125"/>
      <c r="N789" s="129"/>
      <c r="O789" s="125"/>
      <c r="P789" s="173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spans="1:26" ht="15.75" customHeight="1">
      <c r="A790" s="125"/>
      <c r="B790" s="125"/>
      <c r="C790" s="125"/>
      <c r="D790" s="125"/>
      <c r="E790" s="125"/>
      <c r="F790" s="126"/>
      <c r="G790" s="125"/>
      <c r="H790" s="125"/>
      <c r="I790" s="125"/>
      <c r="J790" s="125"/>
      <c r="K790" s="125"/>
      <c r="L790" s="125"/>
      <c r="M790" s="125"/>
      <c r="N790" s="129"/>
      <c r="O790" s="125"/>
      <c r="P790" s="173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spans="1:26" ht="15.75" customHeight="1">
      <c r="A791" s="125"/>
      <c r="B791" s="125"/>
      <c r="C791" s="125"/>
      <c r="D791" s="125"/>
      <c r="E791" s="125"/>
      <c r="F791" s="126"/>
      <c r="G791" s="125"/>
      <c r="H791" s="125"/>
      <c r="I791" s="125"/>
      <c r="J791" s="125"/>
      <c r="K791" s="125"/>
      <c r="L791" s="125"/>
      <c r="M791" s="125"/>
      <c r="N791" s="129"/>
      <c r="O791" s="125"/>
      <c r="P791" s="173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spans="1:26" ht="15.75" customHeight="1">
      <c r="A792" s="125"/>
      <c r="B792" s="125"/>
      <c r="C792" s="125"/>
      <c r="D792" s="125"/>
      <c r="E792" s="125"/>
      <c r="F792" s="126"/>
      <c r="G792" s="125"/>
      <c r="H792" s="125"/>
      <c r="I792" s="125"/>
      <c r="J792" s="125"/>
      <c r="K792" s="125"/>
      <c r="L792" s="125"/>
      <c r="M792" s="125"/>
      <c r="N792" s="129"/>
      <c r="O792" s="125"/>
      <c r="P792" s="173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spans="1:26" ht="15.75" customHeight="1">
      <c r="A793" s="125"/>
      <c r="B793" s="125"/>
      <c r="C793" s="125"/>
      <c r="D793" s="125"/>
      <c r="E793" s="125"/>
      <c r="F793" s="126"/>
      <c r="G793" s="125"/>
      <c r="H793" s="125"/>
      <c r="I793" s="125"/>
      <c r="J793" s="125"/>
      <c r="K793" s="125"/>
      <c r="L793" s="125"/>
      <c r="M793" s="125"/>
      <c r="N793" s="129"/>
      <c r="O793" s="125"/>
      <c r="P793" s="173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spans="1:26" ht="15.75" customHeight="1">
      <c r="A794" s="125"/>
      <c r="B794" s="125"/>
      <c r="C794" s="125"/>
      <c r="D794" s="125"/>
      <c r="E794" s="125"/>
      <c r="F794" s="126"/>
      <c r="G794" s="125"/>
      <c r="H794" s="125"/>
      <c r="I794" s="125"/>
      <c r="J794" s="125"/>
      <c r="K794" s="125"/>
      <c r="L794" s="125"/>
      <c r="M794" s="125"/>
      <c r="N794" s="129"/>
      <c r="O794" s="125"/>
      <c r="P794" s="173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spans="1:26" ht="15.75" customHeight="1">
      <c r="A795" s="125"/>
      <c r="B795" s="125"/>
      <c r="C795" s="125"/>
      <c r="D795" s="125"/>
      <c r="E795" s="125"/>
      <c r="F795" s="126"/>
      <c r="G795" s="125"/>
      <c r="H795" s="125"/>
      <c r="I795" s="125"/>
      <c r="J795" s="125"/>
      <c r="K795" s="125"/>
      <c r="L795" s="125"/>
      <c r="M795" s="125"/>
      <c r="N795" s="129"/>
      <c r="O795" s="125"/>
      <c r="P795" s="173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spans="1:26" ht="15.75" customHeight="1">
      <c r="A796" s="125"/>
      <c r="B796" s="125"/>
      <c r="C796" s="125"/>
      <c r="D796" s="125"/>
      <c r="E796" s="125"/>
      <c r="F796" s="126"/>
      <c r="G796" s="125"/>
      <c r="H796" s="125"/>
      <c r="I796" s="125"/>
      <c r="J796" s="125"/>
      <c r="K796" s="125"/>
      <c r="L796" s="125"/>
      <c r="M796" s="125"/>
      <c r="N796" s="129"/>
      <c r="O796" s="125"/>
      <c r="P796" s="173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spans="1:26" ht="15.75" customHeight="1">
      <c r="A797" s="125"/>
      <c r="B797" s="125"/>
      <c r="C797" s="125"/>
      <c r="D797" s="125"/>
      <c r="E797" s="125"/>
      <c r="F797" s="126"/>
      <c r="G797" s="125"/>
      <c r="H797" s="125"/>
      <c r="I797" s="125"/>
      <c r="J797" s="125"/>
      <c r="K797" s="125"/>
      <c r="L797" s="125"/>
      <c r="M797" s="125"/>
      <c r="N797" s="129"/>
      <c r="O797" s="125"/>
      <c r="P797" s="173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spans="1:26" ht="15.75" customHeight="1">
      <c r="A798" s="125"/>
      <c r="B798" s="125"/>
      <c r="C798" s="125"/>
      <c r="D798" s="125"/>
      <c r="E798" s="125"/>
      <c r="F798" s="126"/>
      <c r="G798" s="125"/>
      <c r="H798" s="125"/>
      <c r="I798" s="125"/>
      <c r="J798" s="125"/>
      <c r="K798" s="125"/>
      <c r="L798" s="125"/>
      <c r="M798" s="125"/>
      <c r="N798" s="129"/>
      <c r="O798" s="125"/>
      <c r="P798" s="173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spans="1:26" ht="15.75" customHeight="1">
      <c r="A799" s="125"/>
      <c r="B799" s="125"/>
      <c r="C799" s="125"/>
      <c r="D799" s="125"/>
      <c r="E799" s="125"/>
      <c r="F799" s="126"/>
      <c r="G799" s="125"/>
      <c r="H799" s="125"/>
      <c r="I799" s="125"/>
      <c r="J799" s="125"/>
      <c r="K799" s="125"/>
      <c r="L799" s="125"/>
      <c r="M799" s="125"/>
      <c r="N799" s="129"/>
      <c r="O799" s="125"/>
      <c r="P799" s="173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spans="1:26" ht="15.75" customHeight="1">
      <c r="A800" s="125"/>
      <c r="B800" s="125"/>
      <c r="C800" s="125"/>
      <c r="D800" s="125"/>
      <c r="E800" s="125"/>
      <c r="F800" s="126"/>
      <c r="G800" s="125"/>
      <c r="H800" s="125"/>
      <c r="I800" s="125"/>
      <c r="J800" s="125"/>
      <c r="K800" s="125"/>
      <c r="L800" s="125"/>
      <c r="M800" s="125"/>
      <c r="N800" s="129"/>
      <c r="O800" s="125"/>
      <c r="P800" s="173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spans="1:26" ht="15.75" customHeight="1">
      <c r="A801" s="125"/>
      <c r="B801" s="125"/>
      <c r="C801" s="125"/>
      <c r="D801" s="125"/>
      <c r="E801" s="125"/>
      <c r="F801" s="126"/>
      <c r="G801" s="125"/>
      <c r="H801" s="125"/>
      <c r="I801" s="125"/>
      <c r="J801" s="125"/>
      <c r="K801" s="125"/>
      <c r="L801" s="125"/>
      <c r="M801" s="125"/>
      <c r="N801" s="129"/>
      <c r="O801" s="125"/>
      <c r="P801" s="173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spans="1:26" ht="15.75" customHeight="1">
      <c r="A802" s="125"/>
      <c r="B802" s="125"/>
      <c r="C802" s="125"/>
      <c r="D802" s="125"/>
      <c r="E802" s="125"/>
      <c r="F802" s="126"/>
      <c r="G802" s="125"/>
      <c r="H802" s="125"/>
      <c r="I802" s="125"/>
      <c r="J802" s="125"/>
      <c r="K802" s="125"/>
      <c r="L802" s="125"/>
      <c r="M802" s="125"/>
      <c r="N802" s="129"/>
      <c r="O802" s="125"/>
      <c r="P802" s="173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spans="1:26" ht="15.75" customHeight="1">
      <c r="A803" s="125"/>
      <c r="B803" s="125"/>
      <c r="C803" s="125"/>
      <c r="D803" s="125"/>
      <c r="E803" s="125"/>
      <c r="F803" s="126"/>
      <c r="G803" s="125"/>
      <c r="H803" s="125"/>
      <c r="I803" s="125"/>
      <c r="J803" s="125"/>
      <c r="K803" s="125"/>
      <c r="L803" s="125"/>
      <c r="M803" s="125"/>
      <c r="N803" s="129"/>
      <c r="O803" s="125"/>
      <c r="P803" s="173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spans="1:26" ht="15.75" customHeight="1">
      <c r="A804" s="125"/>
      <c r="B804" s="125"/>
      <c r="C804" s="125"/>
      <c r="D804" s="125"/>
      <c r="E804" s="125"/>
      <c r="F804" s="126"/>
      <c r="G804" s="125"/>
      <c r="H804" s="125"/>
      <c r="I804" s="125"/>
      <c r="J804" s="125"/>
      <c r="K804" s="125"/>
      <c r="L804" s="125"/>
      <c r="M804" s="125"/>
      <c r="N804" s="129"/>
      <c r="O804" s="125"/>
      <c r="P804" s="173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spans="1:26" ht="15.75" customHeight="1">
      <c r="A805" s="125"/>
      <c r="B805" s="125"/>
      <c r="C805" s="125"/>
      <c r="D805" s="125"/>
      <c r="E805" s="125"/>
      <c r="F805" s="126"/>
      <c r="G805" s="125"/>
      <c r="H805" s="125"/>
      <c r="I805" s="125"/>
      <c r="J805" s="125"/>
      <c r="K805" s="125"/>
      <c r="L805" s="125"/>
      <c r="M805" s="125"/>
      <c r="N805" s="129"/>
      <c r="O805" s="125"/>
      <c r="P805" s="173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spans="1:26" ht="15.75" customHeight="1">
      <c r="A806" s="125"/>
      <c r="B806" s="125"/>
      <c r="C806" s="125"/>
      <c r="D806" s="125"/>
      <c r="E806" s="125"/>
      <c r="F806" s="126"/>
      <c r="G806" s="125"/>
      <c r="H806" s="125"/>
      <c r="I806" s="125"/>
      <c r="J806" s="125"/>
      <c r="K806" s="125"/>
      <c r="L806" s="125"/>
      <c r="M806" s="125"/>
      <c r="N806" s="129"/>
      <c r="O806" s="125"/>
      <c r="P806" s="173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spans="1:26" ht="15.75" customHeight="1">
      <c r="A807" s="125"/>
      <c r="B807" s="125"/>
      <c r="C807" s="125"/>
      <c r="D807" s="125"/>
      <c r="E807" s="125"/>
      <c r="F807" s="126"/>
      <c r="G807" s="125"/>
      <c r="H807" s="125"/>
      <c r="I807" s="125"/>
      <c r="J807" s="125"/>
      <c r="K807" s="125"/>
      <c r="L807" s="125"/>
      <c r="M807" s="125"/>
      <c r="N807" s="129"/>
      <c r="O807" s="125"/>
      <c r="P807" s="173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spans="1:26" ht="15.75" customHeight="1">
      <c r="A808" s="125"/>
      <c r="B808" s="125"/>
      <c r="C808" s="125"/>
      <c r="D808" s="125"/>
      <c r="E808" s="125"/>
      <c r="F808" s="126"/>
      <c r="G808" s="125"/>
      <c r="H808" s="125"/>
      <c r="I808" s="125"/>
      <c r="J808" s="125"/>
      <c r="K808" s="125"/>
      <c r="L808" s="125"/>
      <c r="M808" s="125"/>
      <c r="N808" s="129"/>
      <c r="O808" s="125"/>
      <c r="P808" s="173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spans="1:26" ht="15.75" customHeight="1">
      <c r="A809" s="125"/>
      <c r="B809" s="125"/>
      <c r="C809" s="125"/>
      <c r="D809" s="125"/>
      <c r="E809" s="125"/>
      <c r="F809" s="126"/>
      <c r="G809" s="125"/>
      <c r="H809" s="125"/>
      <c r="I809" s="125"/>
      <c r="J809" s="125"/>
      <c r="K809" s="125"/>
      <c r="L809" s="125"/>
      <c r="M809" s="125"/>
      <c r="N809" s="129"/>
      <c r="O809" s="125"/>
      <c r="P809" s="173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spans="1:26" ht="15.75" customHeight="1">
      <c r="A810" s="125"/>
      <c r="B810" s="125"/>
      <c r="C810" s="125"/>
      <c r="D810" s="125"/>
      <c r="E810" s="125"/>
      <c r="F810" s="126"/>
      <c r="G810" s="125"/>
      <c r="H810" s="125"/>
      <c r="I810" s="125"/>
      <c r="J810" s="125"/>
      <c r="K810" s="125"/>
      <c r="L810" s="125"/>
      <c r="M810" s="125"/>
      <c r="N810" s="129"/>
      <c r="O810" s="125"/>
      <c r="P810" s="173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spans="1:26" ht="15.75" customHeight="1">
      <c r="A811" s="125"/>
      <c r="B811" s="125"/>
      <c r="C811" s="125"/>
      <c r="D811" s="125"/>
      <c r="E811" s="125"/>
      <c r="F811" s="126"/>
      <c r="G811" s="125"/>
      <c r="H811" s="125"/>
      <c r="I811" s="125"/>
      <c r="J811" s="125"/>
      <c r="K811" s="125"/>
      <c r="L811" s="125"/>
      <c r="M811" s="125"/>
      <c r="N811" s="129"/>
      <c r="O811" s="125"/>
      <c r="P811" s="173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spans="1:26" ht="15.75" customHeight="1">
      <c r="A812" s="125"/>
      <c r="B812" s="125"/>
      <c r="C812" s="125"/>
      <c r="D812" s="125"/>
      <c r="E812" s="125"/>
      <c r="F812" s="126"/>
      <c r="G812" s="125"/>
      <c r="H812" s="125"/>
      <c r="I812" s="125"/>
      <c r="J812" s="125"/>
      <c r="K812" s="125"/>
      <c r="L812" s="125"/>
      <c r="M812" s="125"/>
      <c r="N812" s="129"/>
      <c r="O812" s="125"/>
      <c r="P812" s="173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spans="1:26" ht="15.75" customHeight="1">
      <c r="A813" s="125"/>
      <c r="B813" s="125"/>
      <c r="C813" s="125"/>
      <c r="D813" s="125"/>
      <c r="E813" s="125"/>
      <c r="F813" s="126"/>
      <c r="G813" s="125"/>
      <c r="H813" s="125"/>
      <c r="I813" s="125"/>
      <c r="J813" s="125"/>
      <c r="K813" s="125"/>
      <c r="L813" s="125"/>
      <c r="M813" s="125"/>
      <c r="N813" s="129"/>
      <c r="O813" s="125"/>
      <c r="P813" s="173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spans="1:26" ht="15.75" customHeight="1">
      <c r="A814" s="125"/>
      <c r="B814" s="125"/>
      <c r="C814" s="125"/>
      <c r="D814" s="125"/>
      <c r="E814" s="125"/>
      <c r="F814" s="126"/>
      <c r="G814" s="125"/>
      <c r="H814" s="125"/>
      <c r="I814" s="125"/>
      <c r="J814" s="125"/>
      <c r="K814" s="125"/>
      <c r="L814" s="125"/>
      <c r="M814" s="125"/>
      <c r="N814" s="129"/>
      <c r="O814" s="125"/>
      <c r="P814" s="173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spans="1:26" ht="15.75" customHeight="1">
      <c r="A815" s="125"/>
      <c r="B815" s="125"/>
      <c r="C815" s="125"/>
      <c r="D815" s="125"/>
      <c r="E815" s="125"/>
      <c r="F815" s="126"/>
      <c r="G815" s="125"/>
      <c r="H815" s="125"/>
      <c r="I815" s="125"/>
      <c r="J815" s="125"/>
      <c r="K815" s="125"/>
      <c r="L815" s="125"/>
      <c r="M815" s="125"/>
      <c r="N815" s="129"/>
      <c r="O815" s="125"/>
      <c r="P815" s="173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spans="1:26" ht="15.75" customHeight="1">
      <c r="A816" s="125"/>
      <c r="B816" s="125"/>
      <c r="C816" s="125"/>
      <c r="D816" s="125"/>
      <c r="E816" s="125"/>
      <c r="F816" s="126"/>
      <c r="G816" s="125"/>
      <c r="H816" s="125"/>
      <c r="I816" s="125"/>
      <c r="J816" s="125"/>
      <c r="K816" s="125"/>
      <c r="L816" s="125"/>
      <c r="M816" s="125"/>
      <c r="N816" s="129"/>
      <c r="O816" s="125"/>
      <c r="P816" s="173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spans="1:26" ht="15.75" customHeight="1">
      <c r="A817" s="125"/>
      <c r="B817" s="125"/>
      <c r="C817" s="125"/>
      <c r="D817" s="125"/>
      <c r="E817" s="125"/>
      <c r="F817" s="126"/>
      <c r="G817" s="125"/>
      <c r="H817" s="125"/>
      <c r="I817" s="125"/>
      <c r="J817" s="125"/>
      <c r="K817" s="125"/>
      <c r="L817" s="125"/>
      <c r="M817" s="125"/>
      <c r="N817" s="129"/>
      <c r="O817" s="125"/>
      <c r="P817" s="173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spans="1:26" ht="15.75" customHeight="1">
      <c r="A818" s="125"/>
      <c r="B818" s="125"/>
      <c r="C818" s="125"/>
      <c r="D818" s="125"/>
      <c r="E818" s="125"/>
      <c r="F818" s="126"/>
      <c r="G818" s="125"/>
      <c r="H818" s="125"/>
      <c r="I818" s="125"/>
      <c r="J818" s="125"/>
      <c r="K818" s="125"/>
      <c r="L818" s="125"/>
      <c r="M818" s="125"/>
      <c r="N818" s="129"/>
      <c r="O818" s="125"/>
      <c r="P818" s="173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spans="1:26" ht="15.75" customHeight="1">
      <c r="A819" s="125"/>
      <c r="B819" s="125"/>
      <c r="C819" s="125"/>
      <c r="D819" s="125"/>
      <c r="E819" s="125"/>
      <c r="F819" s="126"/>
      <c r="G819" s="125"/>
      <c r="H819" s="125"/>
      <c r="I819" s="125"/>
      <c r="J819" s="125"/>
      <c r="K819" s="125"/>
      <c r="L819" s="125"/>
      <c r="M819" s="125"/>
      <c r="N819" s="129"/>
      <c r="O819" s="125"/>
      <c r="P819" s="173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spans="1:26" ht="15.75" customHeight="1">
      <c r="A820" s="125"/>
      <c r="B820" s="125"/>
      <c r="C820" s="125"/>
      <c r="D820" s="125"/>
      <c r="E820" s="125"/>
      <c r="F820" s="126"/>
      <c r="G820" s="125"/>
      <c r="H820" s="125"/>
      <c r="I820" s="125"/>
      <c r="J820" s="125"/>
      <c r="K820" s="125"/>
      <c r="L820" s="125"/>
      <c r="M820" s="125"/>
      <c r="N820" s="129"/>
      <c r="O820" s="125"/>
      <c r="P820" s="173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spans="1:26" ht="15.75" customHeight="1">
      <c r="A821" s="125"/>
      <c r="B821" s="125"/>
      <c r="C821" s="125"/>
      <c r="D821" s="125"/>
      <c r="E821" s="125"/>
      <c r="F821" s="126"/>
      <c r="G821" s="125"/>
      <c r="H821" s="125"/>
      <c r="I821" s="125"/>
      <c r="J821" s="125"/>
      <c r="K821" s="125"/>
      <c r="L821" s="125"/>
      <c r="M821" s="125"/>
      <c r="N821" s="129"/>
      <c r="O821" s="125"/>
      <c r="P821" s="173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spans="1:26" ht="15.75" customHeight="1">
      <c r="A822" s="125"/>
      <c r="B822" s="125"/>
      <c r="C822" s="125"/>
      <c r="D822" s="125"/>
      <c r="E822" s="125"/>
      <c r="F822" s="126"/>
      <c r="G822" s="125"/>
      <c r="H822" s="125"/>
      <c r="I822" s="125"/>
      <c r="J822" s="125"/>
      <c r="K822" s="125"/>
      <c r="L822" s="125"/>
      <c r="M822" s="125"/>
      <c r="N822" s="129"/>
      <c r="O822" s="125"/>
      <c r="P822" s="173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spans="1:26" ht="15.75" customHeight="1">
      <c r="A823" s="125"/>
      <c r="B823" s="125"/>
      <c r="C823" s="125"/>
      <c r="D823" s="125"/>
      <c r="E823" s="125"/>
      <c r="F823" s="126"/>
      <c r="G823" s="125"/>
      <c r="H823" s="125"/>
      <c r="I823" s="125"/>
      <c r="J823" s="125"/>
      <c r="K823" s="125"/>
      <c r="L823" s="125"/>
      <c r="M823" s="125"/>
      <c r="N823" s="129"/>
      <c r="O823" s="125"/>
      <c r="P823" s="173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spans="1:26" ht="15.75" customHeight="1">
      <c r="A824" s="125"/>
      <c r="B824" s="125"/>
      <c r="C824" s="125"/>
      <c r="D824" s="125"/>
      <c r="E824" s="125"/>
      <c r="F824" s="126"/>
      <c r="G824" s="125"/>
      <c r="H824" s="125"/>
      <c r="I824" s="125"/>
      <c r="J824" s="125"/>
      <c r="K824" s="125"/>
      <c r="L824" s="125"/>
      <c r="M824" s="125"/>
      <c r="N824" s="129"/>
      <c r="O824" s="125"/>
      <c r="P824" s="173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spans="1:26" ht="15.75" customHeight="1">
      <c r="A825" s="125"/>
      <c r="B825" s="125"/>
      <c r="C825" s="125"/>
      <c r="D825" s="125"/>
      <c r="E825" s="125"/>
      <c r="F825" s="126"/>
      <c r="G825" s="125"/>
      <c r="H825" s="125"/>
      <c r="I825" s="125"/>
      <c r="J825" s="125"/>
      <c r="K825" s="125"/>
      <c r="L825" s="125"/>
      <c r="M825" s="125"/>
      <c r="N825" s="129"/>
      <c r="O825" s="125"/>
      <c r="P825" s="173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spans="1:26" ht="15.75" customHeight="1">
      <c r="A826" s="125"/>
      <c r="B826" s="125"/>
      <c r="C826" s="125"/>
      <c r="D826" s="125"/>
      <c r="E826" s="125"/>
      <c r="F826" s="126"/>
      <c r="G826" s="125"/>
      <c r="H826" s="125"/>
      <c r="I826" s="125"/>
      <c r="J826" s="125"/>
      <c r="K826" s="125"/>
      <c r="L826" s="125"/>
      <c r="M826" s="125"/>
      <c r="N826" s="129"/>
      <c r="O826" s="125"/>
      <c r="P826" s="173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spans="1:26" ht="15.75" customHeight="1">
      <c r="A827" s="125"/>
      <c r="B827" s="125"/>
      <c r="C827" s="125"/>
      <c r="D827" s="125"/>
      <c r="E827" s="125"/>
      <c r="F827" s="126"/>
      <c r="G827" s="125"/>
      <c r="H827" s="125"/>
      <c r="I827" s="125"/>
      <c r="J827" s="125"/>
      <c r="K827" s="125"/>
      <c r="L827" s="125"/>
      <c r="M827" s="125"/>
      <c r="N827" s="129"/>
      <c r="O827" s="125"/>
      <c r="P827" s="173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spans="1:26" ht="15.75" customHeight="1">
      <c r="A828" s="125"/>
      <c r="B828" s="125"/>
      <c r="C828" s="125"/>
      <c r="D828" s="125"/>
      <c r="E828" s="125"/>
      <c r="F828" s="126"/>
      <c r="G828" s="125"/>
      <c r="H828" s="125"/>
      <c r="I828" s="125"/>
      <c r="J828" s="125"/>
      <c r="K828" s="125"/>
      <c r="L828" s="125"/>
      <c r="M828" s="125"/>
      <c r="N828" s="129"/>
      <c r="O828" s="125"/>
      <c r="P828" s="173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spans="1:26" ht="15.75" customHeight="1">
      <c r="A829" s="125"/>
      <c r="B829" s="125"/>
      <c r="C829" s="125"/>
      <c r="D829" s="125"/>
      <c r="E829" s="125"/>
      <c r="F829" s="126"/>
      <c r="G829" s="125"/>
      <c r="H829" s="125"/>
      <c r="I829" s="125"/>
      <c r="J829" s="125"/>
      <c r="K829" s="125"/>
      <c r="L829" s="125"/>
      <c r="M829" s="125"/>
      <c r="N829" s="129"/>
      <c r="O829" s="125"/>
      <c r="P829" s="173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spans="1:26" ht="15.75" customHeight="1">
      <c r="A830" s="125"/>
      <c r="B830" s="125"/>
      <c r="C830" s="125"/>
      <c r="D830" s="125"/>
      <c r="E830" s="125"/>
      <c r="F830" s="126"/>
      <c r="G830" s="125"/>
      <c r="H830" s="125"/>
      <c r="I830" s="125"/>
      <c r="J830" s="125"/>
      <c r="K830" s="125"/>
      <c r="L830" s="125"/>
      <c r="M830" s="125"/>
      <c r="N830" s="129"/>
      <c r="O830" s="125"/>
      <c r="P830" s="173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spans="1:26" ht="15.75" customHeight="1">
      <c r="A831" s="125"/>
      <c r="B831" s="125"/>
      <c r="C831" s="125"/>
      <c r="D831" s="125"/>
      <c r="E831" s="125"/>
      <c r="F831" s="126"/>
      <c r="G831" s="125"/>
      <c r="H831" s="125"/>
      <c r="I831" s="125"/>
      <c r="J831" s="125"/>
      <c r="K831" s="125"/>
      <c r="L831" s="125"/>
      <c r="M831" s="125"/>
      <c r="N831" s="129"/>
      <c r="O831" s="125"/>
      <c r="P831" s="173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spans="1:26" ht="15.75" customHeight="1">
      <c r="A832" s="125"/>
      <c r="B832" s="125"/>
      <c r="C832" s="125"/>
      <c r="D832" s="125"/>
      <c r="E832" s="125"/>
      <c r="F832" s="126"/>
      <c r="G832" s="125"/>
      <c r="H832" s="125"/>
      <c r="I832" s="125"/>
      <c r="J832" s="125"/>
      <c r="K832" s="125"/>
      <c r="L832" s="125"/>
      <c r="M832" s="125"/>
      <c r="N832" s="129"/>
      <c r="O832" s="125"/>
      <c r="P832" s="173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spans="1:26" ht="15.75" customHeight="1">
      <c r="A833" s="125"/>
      <c r="B833" s="125"/>
      <c r="C833" s="125"/>
      <c r="D833" s="125"/>
      <c r="E833" s="125"/>
      <c r="F833" s="126"/>
      <c r="G833" s="125"/>
      <c r="H833" s="125"/>
      <c r="I833" s="125"/>
      <c r="J833" s="125"/>
      <c r="K833" s="125"/>
      <c r="L833" s="125"/>
      <c r="M833" s="125"/>
      <c r="N833" s="129"/>
      <c r="O833" s="125"/>
      <c r="P833" s="173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spans="1:26" ht="15.75" customHeight="1">
      <c r="A834" s="125"/>
      <c r="B834" s="125"/>
      <c r="C834" s="125"/>
      <c r="D834" s="125"/>
      <c r="E834" s="125"/>
      <c r="F834" s="126"/>
      <c r="G834" s="125"/>
      <c r="H834" s="125"/>
      <c r="I834" s="125"/>
      <c r="J834" s="125"/>
      <c r="K834" s="125"/>
      <c r="L834" s="125"/>
      <c r="M834" s="125"/>
      <c r="N834" s="129"/>
      <c r="O834" s="125"/>
      <c r="P834" s="173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spans="1:26" ht="15.75" customHeight="1">
      <c r="A835" s="125"/>
      <c r="B835" s="125"/>
      <c r="C835" s="125"/>
      <c r="D835" s="125"/>
      <c r="E835" s="125"/>
      <c r="F835" s="126"/>
      <c r="G835" s="125"/>
      <c r="H835" s="125"/>
      <c r="I835" s="125"/>
      <c r="J835" s="125"/>
      <c r="K835" s="125"/>
      <c r="L835" s="125"/>
      <c r="M835" s="125"/>
      <c r="N835" s="129"/>
      <c r="O835" s="125"/>
      <c r="P835" s="173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spans="1:26" ht="15.75" customHeight="1">
      <c r="A836" s="125"/>
      <c r="B836" s="125"/>
      <c r="C836" s="125"/>
      <c r="D836" s="125"/>
      <c r="E836" s="125"/>
      <c r="F836" s="126"/>
      <c r="G836" s="125"/>
      <c r="H836" s="125"/>
      <c r="I836" s="125"/>
      <c r="J836" s="125"/>
      <c r="K836" s="125"/>
      <c r="L836" s="125"/>
      <c r="M836" s="125"/>
      <c r="N836" s="129"/>
      <c r="O836" s="125"/>
      <c r="P836" s="173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spans="1:26" ht="15.75" customHeight="1">
      <c r="A837" s="125"/>
      <c r="B837" s="125"/>
      <c r="C837" s="125"/>
      <c r="D837" s="125"/>
      <c r="E837" s="125"/>
      <c r="F837" s="126"/>
      <c r="G837" s="125"/>
      <c r="H837" s="125"/>
      <c r="I837" s="125"/>
      <c r="J837" s="125"/>
      <c r="K837" s="125"/>
      <c r="L837" s="125"/>
      <c r="M837" s="125"/>
      <c r="N837" s="129"/>
      <c r="O837" s="125"/>
      <c r="P837" s="173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spans="1:26" ht="15.75" customHeight="1">
      <c r="A838" s="125"/>
      <c r="B838" s="125"/>
      <c r="C838" s="125"/>
      <c r="D838" s="125"/>
      <c r="E838" s="125"/>
      <c r="F838" s="126"/>
      <c r="G838" s="125"/>
      <c r="H838" s="125"/>
      <c r="I838" s="125"/>
      <c r="J838" s="125"/>
      <c r="K838" s="125"/>
      <c r="L838" s="125"/>
      <c r="M838" s="125"/>
      <c r="N838" s="129"/>
      <c r="O838" s="125"/>
      <c r="P838" s="173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spans="1:26" ht="15.75" customHeight="1">
      <c r="A839" s="125"/>
      <c r="B839" s="125"/>
      <c r="C839" s="125"/>
      <c r="D839" s="125"/>
      <c r="E839" s="125"/>
      <c r="F839" s="126"/>
      <c r="G839" s="125"/>
      <c r="H839" s="125"/>
      <c r="I839" s="125"/>
      <c r="J839" s="125"/>
      <c r="K839" s="125"/>
      <c r="L839" s="125"/>
      <c r="M839" s="125"/>
      <c r="N839" s="129"/>
      <c r="O839" s="125"/>
      <c r="P839" s="173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spans="1:26" ht="15.75" customHeight="1">
      <c r="A840" s="125"/>
      <c r="B840" s="125"/>
      <c r="C840" s="125"/>
      <c r="D840" s="125"/>
      <c r="E840" s="125"/>
      <c r="F840" s="126"/>
      <c r="G840" s="125"/>
      <c r="H840" s="125"/>
      <c r="I840" s="125"/>
      <c r="J840" s="125"/>
      <c r="K840" s="125"/>
      <c r="L840" s="125"/>
      <c r="M840" s="125"/>
      <c r="N840" s="129"/>
      <c r="O840" s="125"/>
      <c r="P840" s="173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spans="1:26" ht="15.75" customHeight="1">
      <c r="A841" s="125"/>
      <c r="B841" s="125"/>
      <c r="C841" s="125"/>
      <c r="D841" s="125"/>
      <c r="E841" s="125"/>
      <c r="F841" s="126"/>
      <c r="G841" s="125"/>
      <c r="H841" s="125"/>
      <c r="I841" s="125"/>
      <c r="J841" s="125"/>
      <c r="K841" s="125"/>
      <c r="L841" s="125"/>
      <c r="M841" s="125"/>
      <c r="N841" s="129"/>
      <c r="O841" s="125"/>
      <c r="P841" s="173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spans="1:26" ht="15.75" customHeight="1">
      <c r="A842" s="125"/>
      <c r="B842" s="125"/>
      <c r="C842" s="125"/>
      <c r="D842" s="125"/>
      <c r="E842" s="125"/>
      <c r="F842" s="126"/>
      <c r="G842" s="125"/>
      <c r="H842" s="125"/>
      <c r="I842" s="125"/>
      <c r="J842" s="125"/>
      <c r="K842" s="125"/>
      <c r="L842" s="125"/>
      <c r="M842" s="125"/>
      <c r="N842" s="129"/>
      <c r="O842" s="125"/>
      <c r="P842" s="173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spans="1:26" ht="15.75" customHeight="1">
      <c r="A843" s="125"/>
      <c r="B843" s="125"/>
      <c r="C843" s="125"/>
      <c r="D843" s="125"/>
      <c r="E843" s="125"/>
      <c r="F843" s="126"/>
      <c r="G843" s="125"/>
      <c r="H843" s="125"/>
      <c r="I843" s="125"/>
      <c r="J843" s="125"/>
      <c r="K843" s="125"/>
      <c r="L843" s="125"/>
      <c r="M843" s="125"/>
      <c r="N843" s="129"/>
      <c r="O843" s="125"/>
      <c r="P843" s="173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spans="1:26" ht="15.75" customHeight="1">
      <c r="A844" s="125"/>
      <c r="B844" s="125"/>
      <c r="C844" s="125"/>
      <c r="D844" s="125"/>
      <c r="E844" s="125"/>
      <c r="F844" s="126"/>
      <c r="G844" s="125"/>
      <c r="H844" s="125"/>
      <c r="I844" s="125"/>
      <c r="J844" s="125"/>
      <c r="K844" s="125"/>
      <c r="L844" s="125"/>
      <c r="M844" s="125"/>
      <c r="N844" s="129"/>
      <c r="O844" s="125"/>
      <c r="P844" s="173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spans="1:26" ht="15.75" customHeight="1">
      <c r="A845" s="125"/>
      <c r="B845" s="125"/>
      <c r="C845" s="125"/>
      <c r="D845" s="125"/>
      <c r="E845" s="125"/>
      <c r="F845" s="126"/>
      <c r="G845" s="125"/>
      <c r="H845" s="125"/>
      <c r="I845" s="125"/>
      <c r="J845" s="125"/>
      <c r="K845" s="125"/>
      <c r="L845" s="125"/>
      <c r="M845" s="125"/>
      <c r="N845" s="129"/>
      <c r="O845" s="125"/>
      <c r="P845" s="173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spans="1:26" ht="15.75" customHeight="1">
      <c r="A846" s="125"/>
      <c r="B846" s="125"/>
      <c r="C846" s="125"/>
      <c r="D846" s="125"/>
      <c r="E846" s="125"/>
      <c r="F846" s="126"/>
      <c r="G846" s="125"/>
      <c r="H846" s="125"/>
      <c r="I846" s="125"/>
      <c r="J846" s="125"/>
      <c r="K846" s="125"/>
      <c r="L846" s="125"/>
      <c r="M846" s="125"/>
      <c r="N846" s="129"/>
      <c r="O846" s="125"/>
      <c r="P846" s="173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spans="1:26" ht="15.75" customHeight="1">
      <c r="A847" s="125"/>
      <c r="B847" s="125"/>
      <c r="C847" s="125"/>
      <c r="D847" s="125"/>
      <c r="E847" s="125"/>
      <c r="F847" s="126"/>
      <c r="G847" s="125"/>
      <c r="H847" s="125"/>
      <c r="I847" s="125"/>
      <c r="J847" s="125"/>
      <c r="K847" s="125"/>
      <c r="L847" s="125"/>
      <c r="M847" s="125"/>
      <c r="N847" s="129"/>
      <c r="O847" s="125"/>
      <c r="P847" s="173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spans="1:26" ht="15.75" customHeight="1">
      <c r="A848" s="125"/>
      <c r="B848" s="125"/>
      <c r="C848" s="125"/>
      <c r="D848" s="125"/>
      <c r="E848" s="125"/>
      <c r="F848" s="126"/>
      <c r="G848" s="125"/>
      <c r="H848" s="125"/>
      <c r="I848" s="125"/>
      <c r="J848" s="125"/>
      <c r="K848" s="125"/>
      <c r="L848" s="125"/>
      <c r="M848" s="125"/>
      <c r="N848" s="129"/>
      <c r="O848" s="125"/>
      <c r="P848" s="173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spans="1:26" ht="15.75" customHeight="1">
      <c r="A849" s="125"/>
      <c r="B849" s="125"/>
      <c r="C849" s="125"/>
      <c r="D849" s="125"/>
      <c r="E849" s="125"/>
      <c r="F849" s="126"/>
      <c r="G849" s="125"/>
      <c r="H849" s="125"/>
      <c r="I849" s="125"/>
      <c r="J849" s="125"/>
      <c r="K849" s="125"/>
      <c r="L849" s="125"/>
      <c r="M849" s="125"/>
      <c r="N849" s="129"/>
      <c r="O849" s="125"/>
      <c r="P849" s="173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spans="1:26" ht="15.75" customHeight="1">
      <c r="A850" s="125"/>
      <c r="B850" s="125"/>
      <c r="C850" s="125"/>
      <c r="D850" s="125"/>
      <c r="E850" s="125"/>
      <c r="F850" s="126"/>
      <c r="G850" s="125"/>
      <c r="H850" s="125"/>
      <c r="I850" s="125"/>
      <c r="J850" s="125"/>
      <c r="K850" s="125"/>
      <c r="L850" s="125"/>
      <c r="M850" s="125"/>
      <c r="N850" s="129"/>
      <c r="O850" s="125"/>
      <c r="P850" s="173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spans="1:26" ht="15.75" customHeight="1">
      <c r="A851" s="125"/>
      <c r="B851" s="125"/>
      <c r="C851" s="125"/>
      <c r="D851" s="125"/>
      <c r="E851" s="125"/>
      <c r="F851" s="126"/>
      <c r="G851" s="125"/>
      <c r="H851" s="125"/>
      <c r="I851" s="125"/>
      <c r="J851" s="125"/>
      <c r="K851" s="125"/>
      <c r="L851" s="125"/>
      <c r="M851" s="125"/>
      <c r="N851" s="129"/>
      <c r="O851" s="125"/>
      <c r="P851" s="173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spans="1:26" ht="15.75" customHeight="1">
      <c r="A852" s="125"/>
      <c r="B852" s="125"/>
      <c r="C852" s="125"/>
      <c r="D852" s="125"/>
      <c r="E852" s="125"/>
      <c r="F852" s="126"/>
      <c r="G852" s="125"/>
      <c r="H852" s="125"/>
      <c r="I852" s="125"/>
      <c r="J852" s="125"/>
      <c r="K852" s="125"/>
      <c r="L852" s="125"/>
      <c r="M852" s="125"/>
      <c r="N852" s="129"/>
      <c r="O852" s="125"/>
      <c r="P852" s="173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spans="1:26" ht="15.75" customHeight="1">
      <c r="A853" s="125"/>
      <c r="B853" s="125"/>
      <c r="C853" s="125"/>
      <c r="D853" s="125"/>
      <c r="E853" s="125"/>
      <c r="F853" s="126"/>
      <c r="G853" s="125"/>
      <c r="H853" s="125"/>
      <c r="I853" s="125"/>
      <c r="J853" s="125"/>
      <c r="K853" s="125"/>
      <c r="L853" s="125"/>
      <c r="M853" s="125"/>
      <c r="N853" s="129"/>
      <c r="O853" s="125"/>
      <c r="P853" s="173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spans="1:26" ht="15.75" customHeight="1">
      <c r="A854" s="125"/>
      <c r="B854" s="125"/>
      <c r="C854" s="125"/>
      <c r="D854" s="125"/>
      <c r="E854" s="125"/>
      <c r="F854" s="126"/>
      <c r="G854" s="125"/>
      <c r="H854" s="125"/>
      <c r="I854" s="125"/>
      <c r="J854" s="125"/>
      <c r="K854" s="125"/>
      <c r="L854" s="125"/>
      <c r="M854" s="125"/>
      <c r="N854" s="129"/>
      <c r="O854" s="125"/>
      <c r="P854" s="173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spans="1:26" ht="15.75" customHeight="1">
      <c r="A855" s="125"/>
      <c r="B855" s="125"/>
      <c r="C855" s="125"/>
      <c r="D855" s="125"/>
      <c r="E855" s="125"/>
      <c r="F855" s="126"/>
      <c r="G855" s="125"/>
      <c r="H855" s="125"/>
      <c r="I855" s="125"/>
      <c r="J855" s="125"/>
      <c r="K855" s="125"/>
      <c r="L855" s="125"/>
      <c r="M855" s="125"/>
      <c r="N855" s="129"/>
      <c r="O855" s="125"/>
      <c r="P855" s="173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spans="1:26" ht="15.75" customHeight="1">
      <c r="A856" s="125"/>
      <c r="B856" s="125"/>
      <c r="C856" s="125"/>
      <c r="D856" s="125"/>
      <c r="E856" s="125"/>
      <c r="F856" s="126"/>
      <c r="G856" s="125"/>
      <c r="H856" s="125"/>
      <c r="I856" s="125"/>
      <c r="J856" s="125"/>
      <c r="K856" s="125"/>
      <c r="L856" s="125"/>
      <c r="M856" s="125"/>
      <c r="N856" s="129"/>
      <c r="O856" s="125"/>
      <c r="P856" s="173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spans="1:26" ht="15.75" customHeight="1">
      <c r="A857" s="125"/>
      <c r="B857" s="125"/>
      <c r="C857" s="125"/>
      <c r="D857" s="125"/>
      <c r="E857" s="125"/>
      <c r="F857" s="126"/>
      <c r="G857" s="125"/>
      <c r="H857" s="125"/>
      <c r="I857" s="125"/>
      <c r="J857" s="125"/>
      <c r="K857" s="125"/>
      <c r="L857" s="125"/>
      <c r="M857" s="125"/>
      <c r="N857" s="129"/>
      <c r="O857" s="125"/>
      <c r="P857" s="173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spans="1:26" ht="15.75" customHeight="1">
      <c r="A858" s="125"/>
      <c r="B858" s="125"/>
      <c r="C858" s="125"/>
      <c r="D858" s="125"/>
      <c r="E858" s="125"/>
      <c r="F858" s="126"/>
      <c r="G858" s="125"/>
      <c r="H858" s="125"/>
      <c r="I858" s="125"/>
      <c r="J858" s="125"/>
      <c r="K858" s="125"/>
      <c r="L858" s="125"/>
      <c r="M858" s="125"/>
      <c r="N858" s="129"/>
      <c r="O858" s="125"/>
      <c r="P858" s="173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spans="1:26" ht="15.75" customHeight="1">
      <c r="A859" s="125"/>
      <c r="B859" s="125"/>
      <c r="C859" s="125"/>
      <c r="D859" s="125"/>
      <c r="E859" s="125"/>
      <c r="F859" s="126"/>
      <c r="G859" s="125"/>
      <c r="H859" s="125"/>
      <c r="I859" s="125"/>
      <c r="J859" s="125"/>
      <c r="K859" s="125"/>
      <c r="L859" s="125"/>
      <c r="M859" s="125"/>
      <c r="N859" s="129"/>
      <c r="O859" s="125"/>
      <c r="P859" s="173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spans="1:26" ht="15.75" customHeight="1">
      <c r="A860" s="125"/>
      <c r="B860" s="125"/>
      <c r="C860" s="125"/>
      <c r="D860" s="125"/>
      <c r="E860" s="125"/>
      <c r="F860" s="126"/>
      <c r="G860" s="125"/>
      <c r="H860" s="125"/>
      <c r="I860" s="125"/>
      <c r="J860" s="125"/>
      <c r="K860" s="125"/>
      <c r="L860" s="125"/>
      <c r="M860" s="125"/>
      <c r="N860" s="129"/>
      <c r="O860" s="125"/>
      <c r="P860" s="173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spans="1:26" ht="15.75" customHeight="1">
      <c r="A861" s="125"/>
      <c r="B861" s="125"/>
      <c r="C861" s="125"/>
      <c r="D861" s="125"/>
      <c r="E861" s="125"/>
      <c r="F861" s="126"/>
      <c r="G861" s="125"/>
      <c r="H861" s="125"/>
      <c r="I861" s="125"/>
      <c r="J861" s="125"/>
      <c r="K861" s="125"/>
      <c r="L861" s="125"/>
      <c r="M861" s="125"/>
      <c r="N861" s="129"/>
      <c r="O861" s="125"/>
      <c r="P861" s="173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spans="1:26" ht="15.75" customHeight="1">
      <c r="A862" s="125"/>
      <c r="B862" s="125"/>
      <c r="C862" s="125"/>
      <c r="D862" s="125"/>
      <c r="E862" s="125"/>
      <c r="F862" s="126"/>
      <c r="G862" s="125"/>
      <c r="H862" s="125"/>
      <c r="I862" s="125"/>
      <c r="J862" s="125"/>
      <c r="K862" s="125"/>
      <c r="L862" s="125"/>
      <c r="M862" s="125"/>
      <c r="N862" s="129"/>
      <c r="O862" s="125"/>
      <c r="P862" s="173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spans="1:26" ht="15.75" customHeight="1">
      <c r="A863" s="125"/>
      <c r="B863" s="125"/>
      <c r="C863" s="125"/>
      <c r="D863" s="125"/>
      <c r="E863" s="125"/>
      <c r="F863" s="126"/>
      <c r="G863" s="125"/>
      <c r="H863" s="125"/>
      <c r="I863" s="125"/>
      <c r="J863" s="125"/>
      <c r="K863" s="125"/>
      <c r="L863" s="125"/>
      <c r="M863" s="125"/>
      <c r="N863" s="129"/>
      <c r="O863" s="125"/>
      <c r="P863" s="173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spans="1:26" ht="15.75" customHeight="1">
      <c r="A864" s="125"/>
      <c r="B864" s="125"/>
      <c r="C864" s="125"/>
      <c r="D864" s="125"/>
      <c r="E864" s="125"/>
      <c r="F864" s="126"/>
      <c r="G864" s="125"/>
      <c r="H864" s="125"/>
      <c r="I864" s="125"/>
      <c r="J864" s="125"/>
      <c r="K864" s="125"/>
      <c r="L864" s="125"/>
      <c r="M864" s="125"/>
      <c r="N864" s="129"/>
      <c r="O864" s="125"/>
      <c r="P864" s="173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spans="1:26" ht="15.75" customHeight="1">
      <c r="A865" s="125"/>
      <c r="B865" s="125"/>
      <c r="C865" s="125"/>
      <c r="D865" s="125"/>
      <c r="E865" s="125"/>
      <c r="F865" s="126"/>
      <c r="G865" s="125"/>
      <c r="H865" s="125"/>
      <c r="I865" s="125"/>
      <c r="J865" s="125"/>
      <c r="K865" s="125"/>
      <c r="L865" s="125"/>
      <c r="M865" s="125"/>
      <c r="N865" s="129"/>
      <c r="O865" s="125"/>
      <c r="P865" s="173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spans="1:26" ht="15.75" customHeight="1">
      <c r="A866" s="125"/>
      <c r="B866" s="125"/>
      <c r="C866" s="125"/>
      <c r="D866" s="125"/>
      <c r="E866" s="125"/>
      <c r="F866" s="126"/>
      <c r="G866" s="125"/>
      <c r="H866" s="125"/>
      <c r="I866" s="125"/>
      <c r="J866" s="125"/>
      <c r="K866" s="125"/>
      <c r="L866" s="125"/>
      <c r="M866" s="125"/>
      <c r="N866" s="129"/>
      <c r="O866" s="125"/>
      <c r="P866" s="173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spans="1:26" ht="15.75" customHeight="1">
      <c r="A867" s="125"/>
      <c r="B867" s="125"/>
      <c r="C867" s="125"/>
      <c r="D867" s="125"/>
      <c r="E867" s="125"/>
      <c r="F867" s="126"/>
      <c r="G867" s="125"/>
      <c r="H867" s="125"/>
      <c r="I867" s="125"/>
      <c r="J867" s="125"/>
      <c r="K867" s="125"/>
      <c r="L867" s="125"/>
      <c r="M867" s="125"/>
      <c r="N867" s="129"/>
      <c r="O867" s="125"/>
      <c r="P867" s="173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spans="1:26" ht="15.75" customHeight="1">
      <c r="A868" s="125"/>
      <c r="B868" s="125"/>
      <c r="C868" s="125"/>
      <c r="D868" s="125"/>
      <c r="E868" s="125"/>
      <c r="F868" s="126"/>
      <c r="G868" s="125"/>
      <c r="H868" s="125"/>
      <c r="I868" s="125"/>
      <c r="J868" s="125"/>
      <c r="K868" s="125"/>
      <c r="L868" s="125"/>
      <c r="M868" s="125"/>
      <c r="N868" s="129"/>
      <c r="O868" s="125"/>
      <c r="P868" s="173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spans="1:26" ht="15.75" customHeight="1">
      <c r="A869" s="125"/>
      <c r="B869" s="125"/>
      <c r="C869" s="125"/>
      <c r="D869" s="125"/>
      <c r="E869" s="125"/>
      <c r="F869" s="126"/>
      <c r="G869" s="125"/>
      <c r="H869" s="125"/>
      <c r="I869" s="125"/>
      <c r="J869" s="125"/>
      <c r="K869" s="125"/>
      <c r="L869" s="125"/>
      <c r="M869" s="125"/>
      <c r="N869" s="129"/>
      <c r="O869" s="125"/>
      <c r="P869" s="173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spans="1:26" ht="15.75" customHeight="1">
      <c r="A870" s="125"/>
      <c r="B870" s="125"/>
      <c r="C870" s="125"/>
      <c r="D870" s="125"/>
      <c r="E870" s="125"/>
      <c r="F870" s="126"/>
      <c r="G870" s="125"/>
      <c r="H870" s="125"/>
      <c r="I870" s="125"/>
      <c r="J870" s="125"/>
      <c r="K870" s="125"/>
      <c r="L870" s="125"/>
      <c r="M870" s="125"/>
      <c r="N870" s="129"/>
      <c r="O870" s="125"/>
      <c r="P870" s="173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spans="1:26" ht="15.75" customHeight="1">
      <c r="A871" s="125"/>
      <c r="B871" s="125"/>
      <c r="C871" s="125"/>
      <c r="D871" s="125"/>
      <c r="E871" s="125"/>
      <c r="F871" s="126"/>
      <c r="G871" s="125"/>
      <c r="H871" s="125"/>
      <c r="I871" s="125"/>
      <c r="J871" s="125"/>
      <c r="K871" s="125"/>
      <c r="L871" s="125"/>
      <c r="M871" s="125"/>
      <c r="N871" s="129"/>
      <c r="O871" s="125"/>
      <c r="P871" s="173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spans="1:26" ht="15.75" customHeight="1">
      <c r="A872" s="125"/>
      <c r="B872" s="125"/>
      <c r="C872" s="125"/>
      <c r="D872" s="125"/>
      <c r="E872" s="125"/>
      <c r="F872" s="126"/>
      <c r="G872" s="125"/>
      <c r="H872" s="125"/>
      <c r="I872" s="125"/>
      <c r="J872" s="125"/>
      <c r="K872" s="125"/>
      <c r="L872" s="125"/>
      <c r="M872" s="125"/>
      <c r="N872" s="129"/>
      <c r="O872" s="125"/>
      <c r="P872" s="173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spans="1:26" ht="15.75" customHeight="1">
      <c r="A873" s="125"/>
      <c r="B873" s="125"/>
      <c r="C873" s="125"/>
      <c r="D873" s="125"/>
      <c r="E873" s="125"/>
      <c r="F873" s="126"/>
      <c r="G873" s="125"/>
      <c r="H873" s="125"/>
      <c r="I873" s="125"/>
      <c r="J873" s="125"/>
      <c r="K873" s="125"/>
      <c r="L873" s="125"/>
      <c r="M873" s="125"/>
      <c r="N873" s="129"/>
      <c r="O873" s="125"/>
      <c r="P873" s="173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spans="1:26" ht="15.75" customHeight="1">
      <c r="A874" s="125"/>
      <c r="B874" s="125"/>
      <c r="C874" s="125"/>
      <c r="D874" s="125"/>
      <c r="E874" s="125"/>
      <c r="F874" s="126"/>
      <c r="G874" s="125"/>
      <c r="H874" s="125"/>
      <c r="I874" s="125"/>
      <c r="J874" s="125"/>
      <c r="K874" s="125"/>
      <c r="L874" s="125"/>
      <c r="M874" s="125"/>
      <c r="N874" s="129"/>
      <c r="O874" s="125"/>
      <c r="P874" s="173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spans="1:26" ht="15.75" customHeight="1">
      <c r="A875" s="125"/>
      <c r="B875" s="125"/>
      <c r="C875" s="125"/>
      <c r="D875" s="125"/>
      <c r="E875" s="125"/>
      <c r="F875" s="126"/>
      <c r="G875" s="125"/>
      <c r="H875" s="125"/>
      <c r="I875" s="125"/>
      <c r="J875" s="125"/>
      <c r="K875" s="125"/>
      <c r="L875" s="125"/>
      <c r="M875" s="125"/>
      <c r="N875" s="129"/>
      <c r="O875" s="125"/>
      <c r="P875" s="173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spans="1:26" ht="15.75" customHeight="1">
      <c r="A876" s="125"/>
      <c r="B876" s="125"/>
      <c r="C876" s="125"/>
      <c r="D876" s="125"/>
      <c r="E876" s="125"/>
      <c r="F876" s="126"/>
      <c r="G876" s="125"/>
      <c r="H876" s="125"/>
      <c r="I876" s="125"/>
      <c r="J876" s="125"/>
      <c r="K876" s="125"/>
      <c r="L876" s="125"/>
      <c r="M876" s="125"/>
      <c r="N876" s="129"/>
      <c r="O876" s="125"/>
      <c r="P876" s="173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spans="1:26" ht="15.75" customHeight="1">
      <c r="A877" s="125"/>
      <c r="B877" s="125"/>
      <c r="C877" s="125"/>
      <c r="D877" s="125"/>
      <c r="E877" s="125"/>
      <c r="F877" s="126"/>
      <c r="G877" s="125"/>
      <c r="H877" s="125"/>
      <c r="I877" s="125"/>
      <c r="J877" s="125"/>
      <c r="K877" s="125"/>
      <c r="L877" s="125"/>
      <c r="M877" s="125"/>
      <c r="N877" s="129"/>
      <c r="O877" s="125"/>
      <c r="P877" s="173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spans="1:26" ht="15.75" customHeight="1">
      <c r="A878" s="125"/>
      <c r="B878" s="125"/>
      <c r="C878" s="125"/>
      <c r="D878" s="125"/>
      <c r="E878" s="125"/>
      <c r="F878" s="126"/>
      <c r="G878" s="125"/>
      <c r="H878" s="125"/>
      <c r="I878" s="125"/>
      <c r="J878" s="125"/>
      <c r="K878" s="125"/>
      <c r="L878" s="125"/>
      <c r="M878" s="125"/>
      <c r="N878" s="129"/>
      <c r="O878" s="125"/>
      <c r="P878" s="173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spans="1:26" ht="15.75" customHeight="1">
      <c r="A879" s="125"/>
      <c r="B879" s="125"/>
      <c r="C879" s="125"/>
      <c r="D879" s="125"/>
      <c r="E879" s="125"/>
      <c r="F879" s="126"/>
      <c r="G879" s="125"/>
      <c r="H879" s="125"/>
      <c r="I879" s="125"/>
      <c r="J879" s="125"/>
      <c r="K879" s="125"/>
      <c r="L879" s="125"/>
      <c r="M879" s="125"/>
      <c r="N879" s="129"/>
      <c r="O879" s="125"/>
      <c r="P879" s="173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spans="1:26" ht="15.75" customHeight="1">
      <c r="A880" s="125"/>
      <c r="B880" s="125"/>
      <c r="C880" s="125"/>
      <c r="D880" s="125"/>
      <c r="E880" s="125"/>
      <c r="F880" s="126"/>
      <c r="G880" s="125"/>
      <c r="H880" s="125"/>
      <c r="I880" s="125"/>
      <c r="J880" s="125"/>
      <c r="K880" s="125"/>
      <c r="L880" s="125"/>
      <c r="M880" s="125"/>
      <c r="N880" s="129"/>
      <c r="O880" s="125"/>
      <c r="P880" s="173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spans="1:26" ht="15.75" customHeight="1">
      <c r="A881" s="125"/>
      <c r="B881" s="125"/>
      <c r="C881" s="125"/>
      <c r="D881" s="125"/>
      <c r="E881" s="125"/>
      <c r="F881" s="126"/>
      <c r="G881" s="125"/>
      <c r="H881" s="125"/>
      <c r="I881" s="125"/>
      <c r="J881" s="125"/>
      <c r="K881" s="125"/>
      <c r="L881" s="125"/>
      <c r="M881" s="125"/>
      <c r="N881" s="129"/>
      <c r="O881" s="125"/>
      <c r="P881" s="173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spans="1:26" ht="15.75" customHeight="1">
      <c r="A882" s="125"/>
      <c r="B882" s="125"/>
      <c r="C882" s="125"/>
      <c r="D882" s="125"/>
      <c r="E882" s="125"/>
      <c r="F882" s="126"/>
      <c r="G882" s="125"/>
      <c r="H882" s="125"/>
      <c r="I882" s="125"/>
      <c r="J882" s="125"/>
      <c r="K882" s="125"/>
      <c r="L882" s="125"/>
      <c r="M882" s="125"/>
      <c r="N882" s="129"/>
      <c r="O882" s="125"/>
      <c r="P882" s="173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spans="1:26" ht="15.75" customHeight="1">
      <c r="A883" s="125"/>
      <c r="B883" s="125"/>
      <c r="C883" s="125"/>
      <c r="D883" s="125"/>
      <c r="E883" s="125"/>
      <c r="F883" s="126"/>
      <c r="G883" s="125"/>
      <c r="H883" s="125"/>
      <c r="I883" s="125"/>
      <c r="J883" s="125"/>
      <c r="K883" s="125"/>
      <c r="L883" s="125"/>
      <c r="M883" s="125"/>
      <c r="N883" s="129"/>
      <c r="O883" s="125"/>
      <c r="P883" s="173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spans="1:26" ht="15.75" customHeight="1">
      <c r="A884" s="125"/>
      <c r="B884" s="125"/>
      <c r="C884" s="125"/>
      <c r="D884" s="125"/>
      <c r="E884" s="125"/>
      <c r="F884" s="126"/>
      <c r="G884" s="125"/>
      <c r="H884" s="125"/>
      <c r="I884" s="125"/>
      <c r="J884" s="125"/>
      <c r="K884" s="125"/>
      <c r="L884" s="125"/>
      <c r="M884" s="125"/>
      <c r="N884" s="129"/>
      <c r="O884" s="125"/>
      <c r="P884" s="173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spans="1:26" ht="15.75" customHeight="1">
      <c r="A885" s="125"/>
      <c r="B885" s="125"/>
      <c r="C885" s="125"/>
      <c r="D885" s="125"/>
      <c r="E885" s="125"/>
      <c r="F885" s="126"/>
      <c r="G885" s="125"/>
      <c r="H885" s="125"/>
      <c r="I885" s="125"/>
      <c r="J885" s="125"/>
      <c r="K885" s="125"/>
      <c r="L885" s="125"/>
      <c r="M885" s="125"/>
      <c r="N885" s="129"/>
      <c r="O885" s="125"/>
      <c r="P885" s="173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spans="1:26" ht="15.75" customHeight="1">
      <c r="A886" s="125"/>
      <c r="B886" s="125"/>
      <c r="C886" s="125"/>
      <c r="D886" s="125"/>
      <c r="E886" s="125"/>
      <c r="F886" s="126"/>
      <c r="G886" s="125"/>
      <c r="H886" s="125"/>
      <c r="I886" s="125"/>
      <c r="J886" s="125"/>
      <c r="K886" s="125"/>
      <c r="L886" s="125"/>
      <c r="M886" s="125"/>
      <c r="N886" s="129"/>
      <c r="O886" s="125"/>
      <c r="P886" s="173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spans="1:26" ht="15.75" customHeight="1">
      <c r="A887" s="125"/>
      <c r="B887" s="125"/>
      <c r="C887" s="125"/>
      <c r="D887" s="125"/>
      <c r="E887" s="125"/>
      <c r="F887" s="126"/>
      <c r="G887" s="125"/>
      <c r="H887" s="125"/>
      <c r="I887" s="125"/>
      <c r="J887" s="125"/>
      <c r="K887" s="125"/>
      <c r="L887" s="125"/>
      <c r="M887" s="125"/>
      <c r="N887" s="129"/>
      <c r="O887" s="125"/>
      <c r="P887" s="173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spans="1:26" ht="15.75" customHeight="1">
      <c r="A888" s="125"/>
      <c r="B888" s="125"/>
      <c r="C888" s="125"/>
      <c r="D888" s="125"/>
      <c r="E888" s="125"/>
      <c r="F888" s="126"/>
      <c r="G888" s="125"/>
      <c r="H888" s="125"/>
      <c r="I888" s="125"/>
      <c r="J888" s="125"/>
      <c r="K888" s="125"/>
      <c r="L888" s="125"/>
      <c r="M888" s="125"/>
      <c r="N888" s="129"/>
      <c r="O888" s="125"/>
      <c r="P888" s="173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spans="1:26" ht="15.75" customHeight="1">
      <c r="A889" s="125"/>
      <c r="B889" s="125"/>
      <c r="C889" s="125"/>
      <c r="D889" s="125"/>
      <c r="E889" s="125"/>
      <c r="F889" s="126"/>
      <c r="G889" s="125"/>
      <c r="H889" s="125"/>
      <c r="I889" s="125"/>
      <c r="J889" s="125"/>
      <c r="K889" s="125"/>
      <c r="L889" s="125"/>
      <c r="M889" s="125"/>
      <c r="N889" s="129"/>
      <c r="O889" s="125"/>
      <c r="P889" s="173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spans="1:26" ht="15.75" customHeight="1">
      <c r="A890" s="125"/>
      <c r="B890" s="125"/>
      <c r="C890" s="125"/>
      <c r="D890" s="125"/>
      <c r="E890" s="125"/>
      <c r="F890" s="126"/>
      <c r="G890" s="125"/>
      <c r="H890" s="125"/>
      <c r="I890" s="125"/>
      <c r="J890" s="125"/>
      <c r="K890" s="125"/>
      <c r="L890" s="125"/>
      <c r="M890" s="125"/>
      <c r="N890" s="129"/>
      <c r="O890" s="125"/>
      <c r="P890" s="173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spans="1:26" ht="15.75" customHeight="1">
      <c r="A891" s="125"/>
      <c r="B891" s="125"/>
      <c r="C891" s="125"/>
      <c r="D891" s="125"/>
      <c r="E891" s="125"/>
      <c r="F891" s="126"/>
      <c r="G891" s="125"/>
      <c r="H891" s="125"/>
      <c r="I891" s="125"/>
      <c r="J891" s="125"/>
      <c r="K891" s="125"/>
      <c r="L891" s="125"/>
      <c r="M891" s="125"/>
      <c r="N891" s="129"/>
      <c r="O891" s="125"/>
      <c r="P891" s="173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spans="1:26" ht="15.75" customHeight="1">
      <c r="A892" s="125"/>
      <c r="B892" s="125"/>
      <c r="C892" s="125"/>
      <c r="D892" s="125"/>
      <c r="E892" s="125"/>
      <c r="F892" s="126"/>
      <c r="G892" s="125"/>
      <c r="H892" s="125"/>
      <c r="I892" s="125"/>
      <c r="J892" s="125"/>
      <c r="K892" s="125"/>
      <c r="L892" s="125"/>
      <c r="M892" s="125"/>
      <c r="N892" s="129"/>
      <c r="O892" s="125"/>
      <c r="P892" s="173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spans="1:26" ht="15.75" customHeight="1">
      <c r="A893" s="125"/>
      <c r="B893" s="125"/>
      <c r="C893" s="125"/>
      <c r="D893" s="125"/>
      <c r="E893" s="125"/>
      <c r="F893" s="126"/>
      <c r="G893" s="125"/>
      <c r="H893" s="125"/>
      <c r="I893" s="125"/>
      <c r="J893" s="125"/>
      <c r="K893" s="125"/>
      <c r="L893" s="125"/>
      <c r="M893" s="125"/>
      <c r="N893" s="129"/>
      <c r="O893" s="125"/>
      <c r="P893" s="173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spans="1:26" ht="15.75" customHeight="1">
      <c r="A894" s="125"/>
      <c r="B894" s="125"/>
      <c r="C894" s="125"/>
      <c r="D894" s="125"/>
      <c r="E894" s="125"/>
      <c r="F894" s="126"/>
      <c r="G894" s="125"/>
      <c r="H894" s="125"/>
      <c r="I894" s="125"/>
      <c r="J894" s="125"/>
      <c r="K894" s="125"/>
      <c r="L894" s="125"/>
      <c r="M894" s="125"/>
      <c r="N894" s="129"/>
      <c r="O894" s="125"/>
      <c r="P894" s="173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spans="1:26" ht="15.75" customHeight="1">
      <c r="A895" s="125"/>
      <c r="B895" s="125"/>
      <c r="C895" s="125"/>
      <c r="D895" s="125"/>
      <c r="E895" s="125"/>
      <c r="F895" s="126"/>
      <c r="G895" s="125"/>
      <c r="H895" s="125"/>
      <c r="I895" s="125"/>
      <c r="J895" s="125"/>
      <c r="K895" s="125"/>
      <c r="L895" s="125"/>
      <c r="M895" s="125"/>
      <c r="N895" s="129"/>
      <c r="O895" s="125"/>
      <c r="P895" s="173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spans="1:26" ht="15.75" customHeight="1">
      <c r="A896" s="125"/>
      <c r="B896" s="125"/>
      <c r="C896" s="125"/>
      <c r="D896" s="125"/>
      <c r="E896" s="125"/>
      <c r="F896" s="126"/>
      <c r="G896" s="125"/>
      <c r="H896" s="125"/>
      <c r="I896" s="125"/>
      <c r="J896" s="125"/>
      <c r="K896" s="125"/>
      <c r="L896" s="125"/>
      <c r="M896" s="125"/>
      <c r="N896" s="129"/>
      <c r="O896" s="125"/>
      <c r="P896" s="173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spans="1:26" ht="15.75" customHeight="1">
      <c r="A897" s="125"/>
      <c r="B897" s="125"/>
      <c r="C897" s="125"/>
      <c r="D897" s="125"/>
      <c r="E897" s="125"/>
      <c r="F897" s="126"/>
      <c r="G897" s="125"/>
      <c r="H897" s="125"/>
      <c r="I897" s="125"/>
      <c r="J897" s="125"/>
      <c r="K897" s="125"/>
      <c r="L897" s="125"/>
      <c r="M897" s="125"/>
      <c r="N897" s="129"/>
      <c r="O897" s="125"/>
      <c r="P897" s="173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spans="1:26" ht="15.75" customHeight="1">
      <c r="A898" s="125"/>
      <c r="B898" s="125"/>
      <c r="C898" s="125"/>
      <c r="D898" s="125"/>
      <c r="E898" s="125"/>
      <c r="F898" s="126"/>
      <c r="G898" s="125"/>
      <c r="H898" s="125"/>
      <c r="I898" s="125"/>
      <c r="J898" s="125"/>
      <c r="K898" s="125"/>
      <c r="L898" s="125"/>
      <c r="M898" s="125"/>
      <c r="N898" s="129"/>
      <c r="O898" s="125"/>
      <c r="P898" s="173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spans="1:26" ht="15.75" customHeight="1">
      <c r="A899" s="125"/>
      <c r="B899" s="125"/>
      <c r="C899" s="125"/>
      <c r="D899" s="125"/>
      <c r="E899" s="125"/>
      <c r="F899" s="126"/>
      <c r="G899" s="125"/>
      <c r="H899" s="125"/>
      <c r="I899" s="125"/>
      <c r="J899" s="125"/>
      <c r="K899" s="125"/>
      <c r="L899" s="125"/>
      <c r="M899" s="125"/>
      <c r="N899" s="129"/>
      <c r="O899" s="125"/>
      <c r="P899" s="173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spans="1:26" ht="15.75" customHeight="1">
      <c r="A900" s="125"/>
      <c r="B900" s="125"/>
      <c r="C900" s="125"/>
      <c r="D900" s="125"/>
      <c r="E900" s="125"/>
      <c r="F900" s="126"/>
      <c r="G900" s="125"/>
      <c r="H900" s="125"/>
      <c r="I900" s="125"/>
      <c r="J900" s="125"/>
      <c r="K900" s="125"/>
      <c r="L900" s="125"/>
      <c r="M900" s="125"/>
      <c r="N900" s="129"/>
      <c r="O900" s="125"/>
      <c r="P900" s="173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spans="1:26" ht="15.75" customHeight="1">
      <c r="A901" s="125"/>
      <c r="B901" s="125"/>
      <c r="C901" s="125"/>
      <c r="D901" s="125"/>
      <c r="E901" s="125"/>
      <c r="F901" s="126"/>
      <c r="G901" s="125"/>
      <c r="H901" s="125"/>
      <c r="I901" s="125"/>
      <c r="J901" s="125"/>
      <c r="K901" s="125"/>
      <c r="L901" s="125"/>
      <c r="M901" s="125"/>
      <c r="N901" s="129"/>
      <c r="O901" s="125"/>
      <c r="P901" s="173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spans="1:26" ht="15.75" customHeight="1">
      <c r="A902" s="125"/>
      <c r="B902" s="125"/>
      <c r="C902" s="125"/>
      <c r="D902" s="125"/>
      <c r="E902" s="125"/>
      <c r="F902" s="126"/>
      <c r="G902" s="125"/>
      <c r="H902" s="125"/>
      <c r="I902" s="125"/>
      <c r="J902" s="125"/>
      <c r="K902" s="125"/>
      <c r="L902" s="125"/>
      <c r="M902" s="125"/>
      <c r="N902" s="129"/>
      <c r="O902" s="125"/>
      <c r="P902" s="173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spans="1:26" ht="15.75" customHeight="1">
      <c r="A903" s="125"/>
      <c r="B903" s="125"/>
      <c r="C903" s="125"/>
      <c r="D903" s="125"/>
      <c r="E903" s="125"/>
      <c r="F903" s="126"/>
      <c r="G903" s="125"/>
      <c r="H903" s="125"/>
      <c r="I903" s="125"/>
      <c r="J903" s="125"/>
      <c r="K903" s="125"/>
      <c r="L903" s="125"/>
      <c r="M903" s="125"/>
      <c r="N903" s="129"/>
      <c r="O903" s="125"/>
      <c r="P903" s="173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spans="1:26" ht="15.75" customHeight="1">
      <c r="A904" s="125"/>
      <c r="B904" s="125"/>
      <c r="C904" s="125"/>
      <c r="D904" s="125"/>
      <c r="E904" s="125"/>
      <c r="F904" s="126"/>
      <c r="G904" s="125"/>
      <c r="H904" s="125"/>
      <c r="I904" s="125"/>
      <c r="J904" s="125"/>
      <c r="K904" s="125"/>
      <c r="L904" s="125"/>
      <c r="M904" s="125"/>
      <c r="N904" s="129"/>
      <c r="O904" s="125"/>
      <c r="P904" s="173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spans="1:26" ht="15.75" customHeight="1">
      <c r="A905" s="125"/>
      <c r="B905" s="125"/>
      <c r="C905" s="125"/>
      <c r="D905" s="125"/>
      <c r="E905" s="125"/>
      <c r="F905" s="126"/>
      <c r="G905" s="125"/>
      <c r="H905" s="125"/>
      <c r="I905" s="125"/>
      <c r="J905" s="125"/>
      <c r="K905" s="125"/>
      <c r="L905" s="125"/>
      <c r="M905" s="125"/>
      <c r="N905" s="129"/>
      <c r="O905" s="125"/>
      <c r="P905" s="173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spans="1:26" ht="15.75" customHeight="1">
      <c r="A906" s="125"/>
      <c r="B906" s="125"/>
      <c r="C906" s="125"/>
      <c r="D906" s="125"/>
      <c r="E906" s="125"/>
      <c r="F906" s="126"/>
      <c r="G906" s="125"/>
      <c r="H906" s="125"/>
      <c r="I906" s="125"/>
      <c r="J906" s="125"/>
      <c r="K906" s="125"/>
      <c r="L906" s="125"/>
      <c r="M906" s="125"/>
      <c r="N906" s="129"/>
      <c r="O906" s="125"/>
      <c r="P906" s="173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spans="1:26" ht="15.75" customHeight="1">
      <c r="A907" s="125"/>
      <c r="B907" s="125"/>
      <c r="C907" s="125"/>
      <c r="D907" s="125"/>
      <c r="E907" s="125"/>
      <c r="F907" s="126"/>
      <c r="G907" s="125"/>
      <c r="H907" s="125"/>
      <c r="I907" s="125"/>
      <c r="J907" s="125"/>
      <c r="K907" s="125"/>
      <c r="L907" s="125"/>
      <c r="M907" s="125"/>
      <c r="N907" s="129"/>
      <c r="O907" s="125"/>
      <c r="P907" s="173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spans="1:26" ht="15.75" customHeight="1">
      <c r="A908" s="125"/>
      <c r="B908" s="125"/>
      <c r="C908" s="125"/>
      <c r="D908" s="125"/>
      <c r="E908" s="125"/>
      <c r="F908" s="126"/>
      <c r="G908" s="125"/>
      <c r="H908" s="125"/>
      <c r="I908" s="125"/>
      <c r="J908" s="125"/>
      <c r="K908" s="125"/>
      <c r="L908" s="125"/>
      <c r="M908" s="125"/>
      <c r="N908" s="129"/>
      <c r="O908" s="125"/>
      <c r="P908" s="173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spans="1:26" ht="15.75" customHeight="1">
      <c r="A909" s="125"/>
      <c r="B909" s="125"/>
      <c r="C909" s="125"/>
      <c r="D909" s="125"/>
      <c r="E909" s="125"/>
      <c r="F909" s="126"/>
      <c r="G909" s="125"/>
      <c r="H909" s="125"/>
      <c r="I909" s="125"/>
      <c r="J909" s="125"/>
      <c r="K909" s="125"/>
      <c r="L909" s="125"/>
      <c r="M909" s="125"/>
      <c r="N909" s="129"/>
      <c r="O909" s="125"/>
      <c r="P909" s="173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spans="1:26" ht="15.75" customHeight="1">
      <c r="A910" s="125"/>
      <c r="B910" s="125"/>
      <c r="C910" s="125"/>
      <c r="D910" s="125"/>
      <c r="E910" s="125"/>
      <c r="F910" s="126"/>
      <c r="G910" s="125"/>
      <c r="H910" s="125"/>
      <c r="I910" s="125"/>
      <c r="J910" s="125"/>
      <c r="K910" s="125"/>
      <c r="L910" s="125"/>
      <c r="M910" s="125"/>
      <c r="N910" s="129"/>
      <c r="O910" s="125"/>
      <c r="P910" s="173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spans="1:26" ht="15.75" customHeight="1">
      <c r="A911" s="125"/>
      <c r="B911" s="125"/>
      <c r="C911" s="125"/>
      <c r="D911" s="125"/>
      <c r="E911" s="125"/>
      <c r="F911" s="126"/>
      <c r="G911" s="125"/>
      <c r="H911" s="125"/>
      <c r="I911" s="125"/>
      <c r="J911" s="125"/>
      <c r="K911" s="125"/>
      <c r="L911" s="125"/>
      <c r="M911" s="125"/>
      <c r="N911" s="129"/>
      <c r="O911" s="125"/>
      <c r="P911" s="173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spans="1:26" ht="15.75" customHeight="1">
      <c r="A912" s="125"/>
      <c r="B912" s="125"/>
      <c r="C912" s="125"/>
      <c r="D912" s="125"/>
      <c r="E912" s="125"/>
      <c r="F912" s="126"/>
      <c r="G912" s="125"/>
      <c r="H912" s="125"/>
      <c r="I912" s="125"/>
      <c r="J912" s="125"/>
      <c r="K912" s="125"/>
      <c r="L912" s="125"/>
      <c r="M912" s="125"/>
      <c r="N912" s="129"/>
      <c r="O912" s="125"/>
      <c r="P912" s="173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spans="1:26" ht="15.75" customHeight="1">
      <c r="A913" s="125"/>
      <c r="B913" s="125"/>
      <c r="C913" s="125"/>
      <c r="D913" s="125"/>
      <c r="E913" s="125"/>
      <c r="F913" s="126"/>
      <c r="G913" s="125"/>
      <c r="H913" s="125"/>
      <c r="I913" s="125"/>
      <c r="J913" s="125"/>
      <c r="K913" s="125"/>
      <c r="L913" s="125"/>
      <c r="M913" s="125"/>
      <c r="N913" s="129"/>
      <c r="O913" s="125"/>
      <c r="P913" s="173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spans="1:26" ht="15.75" customHeight="1">
      <c r="A914" s="125"/>
      <c r="B914" s="125"/>
      <c r="C914" s="125"/>
      <c r="D914" s="125"/>
      <c r="E914" s="125"/>
      <c r="F914" s="126"/>
      <c r="G914" s="125"/>
      <c r="H914" s="125"/>
      <c r="I914" s="125"/>
      <c r="J914" s="125"/>
      <c r="K914" s="125"/>
      <c r="L914" s="125"/>
      <c r="M914" s="125"/>
      <c r="N914" s="129"/>
      <c r="O914" s="125"/>
      <c r="P914" s="173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spans="1:26" ht="15.75" customHeight="1">
      <c r="A915" s="125"/>
      <c r="B915" s="125"/>
      <c r="C915" s="125"/>
      <c r="D915" s="125"/>
      <c r="E915" s="125"/>
      <c r="F915" s="126"/>
      <c r="G915" s="125"/>
      <c r="H915" s="125"/>
      <c r="I915" s="125"/>
      <c r="J915" s="125"/>
      <c r="K915" s="125"/>
      <c r="L915" s="125"/>
      <c r="M915" s="125"/>
      <c r="N915" s="129"/>
      <c r="O915" s="125"/>
      <c r="P915" s="173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spans="1:26" ht="15.75" customHeight="1">
      <c r="A916" s="125"/>
      <c r="B916" s="125"/>
      <c r="C916" s="125"/>
      <c r="D916" s="125"/>
      <c r="E916" s="125"/>
      <c r="F916" s="126"/>
      <c r="G916" s="125"/>
      <c r="H916" s="125"/>
      <c r="I916" s="125"/>
      <c r="J916" s="125"/>
      <c r="K916" s="125"/>
      <c r="L916" s="125"/>
      <c r="M916" s="125"/>
      <c r="N916" s="129"/>
      <c r="O916" s="125"/>
      <c r="P916" s="173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spans="1:26" ht="15.75" customHeight="1">
      <c r="A917" s="125"/>
      <c r="B917" s="125"/>
      <c r="C917" s="125"/>
      <c r="D917" s="125"/>
      <c r="E917" s="125"/>
      <c r="F917" s="126"/>
      <c r="G917" s="125"/>
      <c r="H917" s="125"/>
      <c r="I917" s="125"/>
      <c r="J917" s="125"/>
      <c r="K917" s="125"/>
      <c r="L917" s="125"/>
      <c r="M917" s="125"/>
      <c r="N917" s="129"/>
      <c r="O917" s="125"/>
      <c r="P917" s="173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spans="1:26" ht="15.75" customHeight="1">
      <c r="A918" s="125"/>
      <c r="B918" s="125"/>
      <c r="C918" s="125"/>
      <c r="D918" s="125"/>
      <c r="E918" s="125"/>
      <c r="F918" s="126"/>
      <c r="G918" s="125"/>
      <c r="H918" s="125"/>
      <c r="I918" s="125"/>
      <c r="J918" s="125"/>
      <c r="K918" s="125"/>
      <c r="L918" s="125"/>
      <c r="M918" s="125"/>
      <c r="N918" s="129"/>
      <c r="O918" s="125"/>
      <c r="P918" s="173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spans="1:26" ht="15.75" customHeight="1">
      <c r="A919" s="125"/>
      <c r="B919" s="125"/>
      <c r="C919" s="125"/>
      <c r="D919" s="125"/>
      <c r="E919" s="125"/>
      <c r="F919" s="126"/>
      <c r="G919" s="125"/>
      <c r="H919" s="125"/>
      <c r="I919" s="125"/>
      <c r="J919" s="125"/>
      <c r="K919" s="125"/>
      <c r="L919" s="125"/>
      <c r="M919" s="125"/>
      <c r="N919" s="129"/>
      <c r="O919" s="125"/>
      <c r="P919" s="173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spans="1:26" ht="15.75" customHeight="1">
      <c r="A920" s="125"/>
      <c r="B920" s="125"/>
      <c r="C920" s="125"/>
      <c r="D920" s="125"/>
      <c r="E920" s="125"/>
      <c r="F920" s="126"/>
      <c r="G920" s="125"/>
      <c r="H920" s="125"/>
      <c r="I920" s="125"/>
      <c r="J920" s="125"/>
      <c r="K920" s="125"/>
      <c r="L920" s="125"/>
      <c r="M920" s="125"/>
      <c r="N920" s="129"/>
      <c r="O920" s="125"/>
      <c r="P920" s="173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spans="1:26" ht="15.75" customHeight="1">
      <c r="A921" s="125"/>
      <c r="B921" s="125"/>
      <c r="C921" s="125"/>
      <c r="D921" s="125"/>
      <c r="E921" s="125"/>
      <c r="F921" s="126"/>
      <c r="G921" s="125"/>
      <c r="H921" s="125"/>
      <c r="I921" s="125"/>
      <c r="J921" s="125"/>
      <c r="K921" s="125"/>
      <c r="L921" s="125"/>
      <c r="M921" s="125"/>
      <c r="N921" s="129"/>
      <c r="O921" s="125"/>
      <c r="P921" s="173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spans="1:26" ht="15.75" customHeight="1">
      <c r="A922" s="125"/>
      <c r="B922" s="125"/>
      <c r="C922" s="125"/>
      <c r="D922" s="125"/>
      <c r="E922" s="125"/>
      <c r="F922" s="126"/>
      <c r="G922" s="125"/>
      <c r="H922" s="125"/>
      <c r="I922" s="125"/>
      <c r="J922" s="125"/>
      <c r="K922" s="125"/>
      <c r="L922" s="125"/>
      <c r="M922" s="125"/>
      <c r="N922" s="129"/>
      <c r="O922" s="125"/>
      <c r="P922" s="173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spans="1:26" ht="15.75" customHeight="1">
      <c r="A923" s="125"/>
      <c r="B923" s="125"/>
      <c r="C923" s="125"/>
      <c r="D923" s="125"/>
      <c r="E923" s="125"/>
      <c r="F923" s="126"/>
      <c r="G923" s="125"/>
      <c r="H923" s="125"/>
      <c r="I923" s="125"/>
      <c r="J923" s="125"/>
      <c r="K923" s="125"/>
      <c r="L923" s="125"/>
      <c r="M923" s="125"/>
      <c r="N923" s="129"/>
      <c r="O923" s="125"/>
      <c r="P923" s="173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spans="1:26" ht="15.75" customHeight="1">
      <c r="A924" s="125"/>
      <c r="B924" s="125"/>
      <c r="C924" s="125"/>
      <c r="D924" s="125"/>
      <c r="E924" s="125"/>
      <c r="F924" s="126"/>
      <c r="G924" s="125"/>
      <c r="H924" s="125"/>
      <c r="I924" s="125"/>
      <c r="J924" s="125"/>
      <c r="K924" s="125"/>
      <c r="L924" s="125"/>
      <c r="M924" s="125"/>
      <c r="N924" s="129"/>
      <c r="O924" s="125"/>
      <c r="P924" s="173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spans="1:26" ht="15.75" customHeight="1">
      <c r="A925" s="125"/>
      <c r="B925" s="125"/>
      <c r="C925" s="125"/>
      <c r="D925" s="125"/>
      <c r="E925" s="125"/>
      <c r="F925" s="126"/>
      <c r="G925" s="125"/>
      <c r="H925" s="125"/>
      <c r="I925" s="125"/>
      <c r="J925" s="125"/>
      <c r="K925" s="125"/>
      <c r="L925" s="125"/>
      <c r="M925" s="125"/>
      <c r="N925" s="129"/>
      <c r="O925" s="125"/>
      <c r="P925" s="173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spans="1:26" ht="15.75" customHeight="1">
      <c r="A926" s="125"/>
      <c r="B926" s="125"/>
      <c r="C926" s="125"/>
      <c r="D926" s="125"/>
      <c r="E926" s="125"/>
      <c r="F926" s="126"/>
      <c r="G926" s="125"/>
      <c r="H926" s="125"/>
      <c r="I926" s="125"/>
      <c r="J926" s="125"/>
      <c r="K926" s="125"/>
      <c r="L926" s="125"/>
      <c r="M926" s="125"/>
      <c r="N926" s="129"/>
      <c r="O926" s="125"/>
      <c r="P926" s="173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spans="1:26" ht="15.75" customHeight="1">
      <c r="A927" s="125"/>
      <c r="B927" s="125"/>
      <c r="C927" s="125"/>
      <c r="D927" s="125"/>
      <c r="E927" s="125"/>
      <c r="F927" s="126"/>
      <c r="G927" s="125"/>
      <c r="H927" s="125"/>
      <c r="I927" s="125"/>
      <c r="J927" s="125"/>
      <c r="K927" s="125"/>
      <c r="L927" s="125"/>
      <c r="M927" s="125"/>
      <c r="N927" s="129"/>
      <c r="O927" s="125"/>
      <c r="P927" s="173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spans="1:26" ht="15.75" customHeight="1">
      <c r="A928" s="125"/>
      <c r="B928" s="125"/>
      <c r="C928" s="125"/>
      <c r="D928" s="125"/>
      <c r="E928" s="125"/>
      <c r="F928" s="126"/>
      <c r="G928" s="125"/>
      <c r="H928" s="125"/>
      <c r="I928" s="125"/>
      <c r="J928" s="125"/>
      <c r="K928" s="125"/>
      <c r="L928" s="125"/>
      <c r="M928" s="125"/>
      <c r="N928" s="129"/>
      <c r="O928" s="125"/>
      <c r="P928" s="173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spans="1:26" ht="15.75" customHeight="1">
      <c r="A929" s="125"/>
      <c r="B929" s="125"/>
      <c r="C929" s="125"/>
      <c r="D929" s="125"/>
      <c r="E929" s="125"/>
      <c r="F929" s="126"/>
      <c r="G929" s="125"/>
      <c r="H929" s="125"/>
      <c r="I929" s="125"/>
      <c r="J929" s="125"/>
      <c r="K929" s="125"/>
      <c r="L929" s="125"/>
      <c r="M929" s="125"/>
      <c r="N929" s="129"/>
      <c r="O929" s="125"/>
      <c r="P929" s="173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spans="1:26" ht="15.75" customHeight="1">
      <c r="A930" s="125"/>
      <c r="B930" s="125"/>
      <c r="C930" s="125"/>
      <c r="D930" s="125"/>
      <c r="E930" s="125"/>
      <c r="F930" s="126"/>
      <c r="G930" s="125"/>
      <c r="H930" s="125"/>
      <c r="I930" s="125"/>
      <c r="J930" s="125"/>
      <c r="K930" s="125"/>
      <c r="L930" s="125"/>
      <c r="M930" s="125"/>
      <c r="N930" s="129"/>
      <c r="O930" s="125"/>
      <c r="P930" s="173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spans="1:26" ht="15.75" customHeight="1">
      <c r="A931" s="125"/>
      <c r="B931" s="125"/>
      <c r="C931" s="125"/>
      <c r="D931" s="125"/>
      <c r="E931" s="125"/>
      <c r="F931" s="126"/>
      <c r="G931" s="125"/>
      <c r="H931" s="125"/>
      <c r="I931" s="125"/>
      <c r="J931" s="125"/>
      <c r="K931" s="125"/>
      <c r="L931" s="125"/>
      <c r="M931" s="125"/>
      <c r="N931" s="129"/>
      <c r="O931" s="125"/>
      <c r="P931" s="173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spans="1:26" ht="15.75" customHeight="1">
      <c r="A932" s="125"/>
      <c r="B932" s="125"/>
      <c r="C932" s="125"/>
      <c r="D932" s="125"/>
      <c r="E932" s="125"/>
      <c r="F932" s="126"/>
      <c r="G932" s="125"/>
      <c r="H932" s="125"/>
      <c r="I932" s="125"/>
      <c r="J932" s="125"/>
      <c r="K932" s="125"/>
      <c r="L932" s="125"/>
      <c r="M932" s="125"/>
      <c r="N932" s="129"/>
      <c r="O932" s="125"/>
      <c r="P932" s="173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spans="1:26" ht="15.75" customHeight="1">
      <c r="A933" s="125"/>
      <c r="B933" s="125"/>
      <c r="C933" s="125"/>
      <c r="D933" s="125"/>
      <c r="E933" s="125"/>
      <c r="F933" s="126"/>
      <c r="G933" s="125"/>
      <c r="H933" s="125"/>
      <c r="I933" s="125"/>
      <c r="J933" s="125"/>
      <c r="K933" s="125"/>
      <c r="L933" s="125"/>
      <c r="M933" s="125"/>
      <c r="N933" s="129"/>
      <c r="O933" s="125"/>
      <c r="P933" s="173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spans="1:26" ht="15.75" customHeight="1">
      <c r="A934" s="125"/>
      <c r="B934" s="125"/>
      <c r="C934" s="125"/>
      <c r="D934" s="125"/>
      <c r="E934" s="125"/>
      <c r="F934" s="126"/>
      <c r="G934" s="125"/>
      <c r="H934" s="125"/>
      <c r="I934" s="125"/>
      <c r="J934" s="125"/>
      <c r="K934" s="125"/>
      <c r="L934" s="125"/>
      <c r="M934" s="125"/>
      <c r="N934" s="129"/>
      <c r="O934" s="125"/>
      <c r="P934" s="173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spans="1:26" ht="15.75" customHeight="1">
      <c r="A935" s="125"/>
      <c r="B935" s="125"/>
      <c r="C935" s="125"/>
      <c r="D935" s="125"/>
      <c r="E935" s="125"/>
      <c r="F935" s="126"/>
      <c r="G935" s="125"/>
      <c r="H935" s="125"/>
      <c r="I935" s="125"/>
      <c r="J935" s="125"/>
      <c r="K935" s="125"/>
      <c r="L935" s="125"/>
      <c r="M935" s="125"/>
      <c r="N935" s="129"/>
      <c r="O935" s="125"/>
      <c r="P935" s="173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spans="1:26" ht="15.75" customHeight="1">
      <c r="A936" s="125"/>
      <c r="B936" s="125"/>
      <c r="C936" s="125"/>
      <c r="D936" s="125"/>
      <c r="E936" s="125"/>
      <c r="F936" s="126"/>
      <c r="G936" s="125"/>
      <c r="H936" s="125"/>
      <c r="I936" s="125"/>
      <c r="J936" s="125"/>
      <c r="K936" s="125"/>
      <c r="L936" s="125"/>
      <c r="M936" s="125"/>
      <c r="N936" s="129"/>
      <c r="O936" s="125"/>
      <c r="P936" s="173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spans="1:26" ht="15.75" customHeight="1">
      <c r="A937" s="125"/>
      <c r="B937" s="125"/>
      <c r="C937" s="125"/>
      <c r="D937" s="125"/>
      <c r="E937" s="125"/>
      <c r="F937" s="126"/>
      <c r="G937" s="125"/>
      <c r="H937" s="125"/>
      <c r="I937" s="125"/>
      <c r="J937" s="125"/>
      <c r="K937" s="125"/>
      <c r="L937" s="125"/>
      <c r="M937" s="125"/>
      <c r="N937" s="129"/>
      <c r="O937" s="125"/>
      <c r="P937" s="173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spans="1:26" ht="15.75" customHeight="1">
      <c r="A938" s="125"/>
      <c r="B938" s="125"/>
      <c r="C938" s="125"/>
      <c r="D938" s="125"/>
      <c r="E938" s="125"/>
      <c r="F938" s="126"/>
      <c r="G938" s="125"/>
      <c r="H938" s="125"/>
      <c r="I938" s="125"/>
      <c r="J938" s="125"/>
      <c r="K938" s="125"/>
      <c r="L938" s="125"/>
      <c r="M938" s="125"/>
      <c r="N938" s="129"/>
      <c r="O938" s="125"/>
      <c r="P938" s="173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spans="1:26" ht="15.75" customHeight="1">
      <c r="A939" s="125"/>
      <c r="B939" s="125"/>
      <c r="C939" s="125"/>
      <c r="D939" s="125"/>
      <c r="E939" s="125"/>
      <c r="F939" s="126"/>
      <c r="G939" s="125"/>
      <c r="H939" s="125"/>
      <c r="I939" s="125"/>
      <c r="J939" s="125"/>
      <c r="K939" s="125"/>
      <c r="L939" s="125"/>
      <c r="M939" s="125"/>
      <c r="N939" s="129"/>
      <c r="O939" s="125"/>
      <c r="P939" s="173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spans="1:26" ht="15.75" customHeight="1">
      <c r="A940" s="125"/>
      <c r="B940" s="125"/>
      <c r="C940" s="125"/>
      <c r="D940" s="125"/>
      <c r="E940" s="125"/>
      <c r="F940" s="126"/>
      <c r="G940" s="125"/>
      <c r="H940" s="125"/>
      <c r="I940" s="125"/>
      <c r="J940" s="125"/>
      <c r="K940" s="125"/>
      <c r="L940" s="125"/>
      <c r="M940" s="125"/>
      <c r="N940" s="129"/>
      <c r="O940" s="125"/>
      <c r="P940" s="173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spans="1:26" ht="15.75" customHeight="1">
      <c r="A941" s="125"/>
      <c r="B941" s="125"/>
      <c r="C941" s="125"/>
      <c r="D941" s="125"/>
      <c r="E941" s="125"/>
      <c r="F941" s="126"/>
      <c r="G941" s="125"/>
      <c r="H941" s="125"/>
      <c r="I941" s="125"/>
      <c r="J941" s="125"/>
      <c r="K941" s="125"/>
      <c r="L941" s="125"/>
      <c r="M941" s="125"/>
      <c r="N941" s="129"/>
      <c r="O941" s="125"/>
      <c r="P941" s="173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spans="1:26" ht="15.75" customHeight="1">
      <c r="A942" s="125"/>
      <c r="B942" s="125"/>
      <c r="C942" s="125"/>
      <c r="D942" s="125"/>
      <c r="E942" s="125"/>
      <c r="F942" s="126"/>
      <c r="G942" s="125"/>
      <c r="H942" s="125"/>
      <c r="I942" s="125"/>
      <c r="J942" s="125"/>
      <c r="K942" s="125"/>
      <c r="L942" s="125"/>
      <c r="M942" s="125"/>
      <c r="N942" s="129"/>
      <c r="O942" s="125"/>
      <c r="P942" s="173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spans="1:26" ht="15.75" customHeight="1">
      <c r="A943" s="125"/>
      <c r="B943" s="125"/>
      <c r="C943" s="125"/>
      <c r="D943" s="125"/>
      <c r="E943" s="125"/>
      <c r="F943" s="126"/>
      <c r="G943" s="125"/>
      <c r="H943" s="125"/>
      <c r="I943" s="125"/>
      <c r="J943" s="125"/>
      <c r="K943" s="125"/>
      <c r="L943" s="125"/>
      <c r="M943" s="125"/>
      <c r="N943" s="129"/>
      <c r="O943" s="125"/>
      <c r="P943" s="173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spans="1:26" ht="15.75" customHeight="1">
      <c r="A944" s="125"/>
      <c r="B944" s="125"/>
      <c r="C944" s="125"/>
      <c r="D944" s="125"/>
      <c r="E944" s="125"/>
      <c r="F944" s="126"/>
      <c r="G944" s="125"/>
      <c r="H944" s="125"/>
      <c r="I944" s="125"/>
      <c r="J944" s="125"/>
      <c r="K944" s="125"/>
      <c r="L944" s="125"/>
      <c r="M944" s="125"/>
      <c r="N944" s="129"/>
      <c r="O944" s="125"/>
      <c r="P944" s="173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spans="1:26" ht="15.75" customHeight="1">
      <c r="A945" s="125"/>
      <c r="B945" s="125"/>
      <c r="C945" s="125"/>
      <c r="D945" s="125"/>
      <c r="E945" s="125"/>
      <c r="F945" s="126"/>
      <c r="G945" s="125"/>
      <c r="H945" s="125"/>
      <c r="I945" s="125"/>
      <c r="J945" s="125"/>
      <c r="K945" s="125"/>
      <c r="L945" s="125"/>
      <c r="M945" s="125"/>
      <c r="N945" s="129"/>
      <c r="O945" s="125"/>
      <c r="P945" s="173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spans="1:26" ht="15.75" customHeight="1">
      <c r="A946" s="125"/>
      <c r="B946" s="125"/>
      <c r="C946" s="125"/>
      <c r="D946" s="125"/>
      <c r="E946" s="125"/>
      <c r="F946" s="126"/>
      <c r="G946" s="125"/>
      <c r="H946" s="125"/>
      <c r="I946" s="125"/>
      <c r="J946" s="125"/>
      <c r="K946" s="125"/>
      <c r="L946" s="125"/>
      <c r="M946" s="125"/>
      <c r="N946" s="129"/>
      <c r="O946" s="125"/>
      <c r="P946" s="173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spans="1:26" ht="15.75" customHeight="1">
      <c r="A947" s="125"/>
      <c r="B947" s="125"/>
      <c r="C947" s="125"/>
      <c r="D947" s="125"/>
      <c r="E947" s="125"/>
      <c r="F947" s="126"/>
      <c r="G947" s="125"/>
      <c r="H947" s="125"/>
      <c r="I947" s="125"/>
      <c r="J947" s="125"/>
      <c r="K947" s="125"/>
      <c r="L947" s="125"/>
      <c r="M947" s="125"/>
      <c r="N947" s="129"/>
      <c r="O947" s="125"/>
      <c r="P947" s="173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spans="1:26" ht="15.75" customHeight="1">
      <c r="A948" s="125"/>
      <c r="B948" s="125"/>
      <c r="C948" s="125"/>
      <c r="D948" s="125"/>
      <c r="E948" s="125"/>
      <c r="F948" s="126"/>
      <c r="G948" s="125"/>
      <c r="H948" s="125"/>
      <c r="I948" s="125"/>
      <c r="J948" s="125"/>
      <c r="K948" s="125"/>
      <c r="L948" s="125"/>
      <c r="M948" s="125"/>
      <c r="N948" s="129"/>
      <c r="O948" s="125"/>
      <c r="P948" s="173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spans="1:26" ht="15.75" customHeight="1">
      <c r="A949" s="125"/>
      <c r="B949" s="125"/>
      <c r="C949" s="125"/>
      <c r="D949" s="125"/>
      <c r="E949" s="125"/>
      <c r="F949" s="126"/>
      <c r="G949" s="125"/>
      <c r="H949" s="125"/>
      <c r="I949" s="125"/>
      <c r="J949" s="125"/>
      <c r="K949" s="125"/>
      <c r="L949" s="125"/>
      <c r="M949" s="125"/>
      <c r="N949" s="129"/>
      <c r="O949" s="125"/>
      <c r="P949" s="173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spans="1:26" ht="15.75" customHeight="1">
      <c r="A950" s="125"/>
      <c r="B950" s="125"/>
      <c r="C950" s="125"/>
      <c r="D950" s="125"/>
      <c r="E950" s="125"/>
      <c r="F950" s="126"/>
      <c r="G950" s="125"/>
      <c r="H950" s="125"/>
      <c r="I950" s="125"/>
      <c r="J950" s="125"/>
      <c r="K950" s="125"/>
      <c r="L950" s="125"/>
      <c r="M950" s="125"/>
      <c r="N950" s="129"/>
      <c r="O950" s="125"/>
      <c r="P950" s="173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spans="1:26" ht="15.75" customHeight="1">
      <c r="A951" s="125"/>
      <c r="B951" s="125"/>
      <c r="C951" s="125"/>
      <c r="D951" s="125"/>
      <c r="E951" s="125"/>
      <c r="F951" s="126"/>
      <c r="G951" s="125"/>
      <c r="H951" s="125"/>
      <c r="I951" s="125"/>
      <c r="J951" s="125"/>
      <c r="K951" s="125"/>
      <c r="L951" s="125"/>
      <c r="M951" s="125"/>
      <c r="N951" s="129"/>
      <c r="O951" s="125"/>
      <c r="P951" s="173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spans="1:26" ht="15.75" customHeight="1">
      <c r="A952" s="125"/>
      <c r="B952" s="125"/>
      <c r="C952" s="125"/>
      <c r="D952" s="125"/>
      <c r="E952" s="125"/>
      <c r="F952" s="126"/>
      <c r="G952" s="125"/>
      <c r="H952" s="125"/>
      <c r="I952" s="125"/>
      <c r="J952" s="125"/>
      <c r="K952" s="125"/>
      <c r="L952" s="125"/>
      <c r="M952" s="125"/>
      <c r="N952" s="129"/>
      <c r="O952" s="125"/>
      <c r="P952" s="173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spans="1:26" ht="15.75" customHeight="1">
      <c r="A953" s="125"/>
      <c r="B953" s="125"/>
      <c r="C953" s="125"/>
      <c r="D953" s="125"/>
      <c r="E953" s="125"/>
      <c r="F953" s="126"/>
      <c r="G953" s="125"/>
      <c r="H953" s="125"/>
      <c r="I953" s="125"/>
      <c r="J953" s="125"/>
      <c r="K953" s="125"/>
      <c r="L953" s="125"/>
      <c r="M953" s="125"/>
      <c r="N953" s="129"/>
      <c r="O953" s="125"/>
      <c r="P953" s="173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spans="1:26" ht="15.75" customHeight="1">
      <c r="A954" s="125"/>
      <c r="B954" s="125"/>
      <c r="C954" s="125"/>
      <c r="D954" s="125"/>
      <c r="E954" s="125"/>
      <c r="F954" s="126"/>
      <c r="G954" s="125"/>
      <c r="H954" s="125"/>
      <c r="I954" s="125"/>
      <c r="J954" s="125"/>
      <c r="K954" s="125"/>
      <c r="L954" s="125"/>
      <c r="M954" s="125"/>
      <c r="N954" s="129"/>
      <c r="O954" s="125"/>
      <c r="P954" s="173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spans="1:26" ht="15.75" customHeight="1">
      <c r="A955" s="125"/>
      <c r="B955" s="125"/>
      <c r="C955" s="125"/>
      <c r="D955" s="125"/>
      <c r="E955" s="125"/>
      <c r="F955" s="126"/>
      <c r="G955" s="125"/>
      <c r="H955" s="125"/>
      <c r="I955" s="125"/>
      <c r="J955" s="125"/>
      <c r="K955" s="125"/>
      <c r="L955" s="125"/>
      <c r="M955" s="125"/>
      <c r="N955" s="129"/>
      <c r="O955" s="125"/>
      <c r="P955" s="173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spans="1:26" ht="15.75" customHeight="1">
      <c r="A956" s="125"/>
      <c r="B956" s="125"/>
      <c r="C956" s="125"/>
      <c r="D956" s="125"/>
      <c r="E956" s="125"/>
      <c r="F956" s="126"/>
      <c r="G956" s="125"/>
      <c r="H956" s="125"/>
      <c r="I956" s="125"/>
      <c r="J956" s="125"/>
      <c r="K956" s="125"/>
      <c r="L956" s="125"/>
      <c r="M956" s="125"/>
      <c r="N956" s="129"/>
      <c r="O956" s="125"/>
      <c r="P956" s="173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spans="1:26" ht="15.75" customHeight="1">
      <c r="A957" s="125"/>
      <c r="B957" s="125"/>
      <c r="C957" s="125"/>
      <c r="D957" s="125"/>
      <c r="E957" s="125"/>
      <c r="F957" s="126"/>
      <c r="G957" s="125"/>
      <c r="H957" s="125"/>
      <c r="I957" s="125"/>
      <c r="J957" s="125"/>
      <c r="K957" s="125"/>
      <c r="L957" s="125"/>
      <c r="M957" s="125"/>
      <c r="N957" s="129"/>
      <c r="O957" s="125"/>
      <c r="P957" s="173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spans="1:26" ht="15.75" customHeight="1">
      <c r="A958" s="125"/>
      <c r="B958" s="125"/>
      <c r="C958" s="125"/>
      <c r="D958" s="125"/>
      <c r="E958" s="125"/>
      <c r="F958" s="126"/>
      <c r="G958" s="125"/>
      <c r="H958" s="125"/>
      <c r="I958" s="125"/>
      <c r="J958" s="125"/>
      <c r="K958" s="125"/>
      <c r="L958" s="125"/>
      <c r="M958" s="125"/>
      <c r="N958" s="129"/>
      <c r="O958" s="125"/>
      <c r="P958" s="173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spans="1:26" ht="15.75" customHeight="1">
      <c r="A959" s="125"/>
      <c r="B959" s="125"/>
      <c r="C959" s="125"/>
      <c r="D959" s="125"/>
      <c r="E959" s="125"/>
      <c r="F959" s="126"/>
      <c r="G959" s="125"/>
      <c r="H959" s="125"/>
      <c r="I959" s="125"/>
      <c r="J959" s="125"/>
      <c r="K959" s="125"/>
      <c r="L959" s="125"/>
      <c r="M959" s="125"/>
      <c r="N959" s="129"/>
      <c r="O959" s="125"/>
      <c r="P959" s="173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spans="1:26" ht="15.75" customHeight="1">
      <c r="A960" s="125"/>
      <c r="B960" s="125"/>
      <c r="C960" s="125"/>
      <c r="D960" s="125"/>
      <c r="E960" s="125"/>
      <c r="F960" s="126"/>
      <c r="G960" s="125"/>
      <c r="H960" s="125"/>
      <c r="I960" s="125"/>
      <c r="J960" s="125"/>
      <c r="K960" s="125"/>
      <c r="L960" s="125"/>
      <c r="M960" s="125"/>
      <c r="N960" s="129"/>
      <c r="O960" s="125"/>
      <c r="P960" s="173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spans="1:26" ht="15.75" customHeight="1">
      <c r="A961" s="125"/>
      <c r="B961" s="125"/>
      <c r="C961" s="125"/>
      <c r="D961" s="125"/>
      <c r="E961" s="125"/>
      <c r="F961" s="126"/>
      <c r="G961" s="125"/>
      <c r="H961" s="125"/>
      <c r="I961" s="125"/>
      <c r="J961" s="125"/>
      <c r="K961" s="125"/>
      <c r="L961" s="125"/>
      <c r="M961" s="125"/>
      <c r="N961" s="129"/>
      <c r="O961" s="125"/>
      <c r="P961" s="173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spans="1:26" ht="15.75" customHeight="1">
      <c r="A962" s="125"/>
      <c r="B962" s="125"/>
      <c r="C962" s="125"/>
      <c r="D962" s="125"/>
      <c r="E962" s="125"/>
      <c r="F962" s="126"/>
      <c r="G962" s="125"/>
      <c r="H962" s="125"/>
      <c r="I962" s="125"/>
      <c r="J962" s="125"/>
      <c r="K962" s="125"/>
      <c r="L962" s="125"/>
      <c r="M962" s="125"/>
      <c r="N962" s="129"/>
      <c r="O962" s="125"/>
      <c r="P962" s="173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spans="1:26" ht="15.75" customHeight="1">
      <c r="A963" s="125"/>
      <c r="B963" s="125"/>
      <c r="C963" s="125"/>
      <c r="D963" s="125"/>
      <c r="E963" s="125"/>
      <c r="F963" s="126"/>
      <c r="G963" s="125"/>
      <c r="H963" s="125"/>
      <c r="I963" s="125"/>
      <c r="J963" s="125"/>
      <c r="K963" s="125"/>
      <c r="L963" s="125"/>
      <c r="M963" s="125"/>
      <c r="N963" s="129"/>
      <c r="O963" s="125"/>
      <c r="P963" s="173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spans="1:26" ht="15.75" customHeight="1">
      <c r="A964" s="125"/>
      <c r="B964" s="125"/>
      <c r="C964" s="125"/>
      <c r="D964" s="125"/>
      <c r="E964" s="125"/>
      <c r="F964" s="126"/>
      <c r="G964" s="125"/>
      <c r="H964" s="125"/>
      <c r="I964" s="125"/>
      <c r="J964" s="125"/>
      <c r="K964" s="125"/>
      <c r="L964" s="125"/>
      <c r="M964" s="125"/>
      <c r="N964" s="129"/>
      <c r="O964" s="125"/>
      <c r="P964" s="173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spans="1:26" ht="15.75" customHeight="1">
      <c r="A965" s="125"/>
      <c r="B965" s="125"/>
      <c r="C965" s="125"/>
      <c r="D965" s="125"/>
      <c r="E965" s="125"/>
      <c r="F965" s="126"/>
      <c r="G965" s="125"/>
      <c r="H965" s="125"/>
      <c r="I965" s="125"/>
      <c r="J965" s="125"/>
      <c r="K965" s="125"/>
      <c r="L965" s="125"/>
      <c r="M965" s="125"/>
      <c r="N965" s="129"/>
      <c r="O965" s="125"/>
      <c r="P965" s="173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spans="1:26" ht="15.75" customHeight="1">
      <c r="A966" s="125"/>
      <c r="B966" s="125"/>
      <c r="C966" s="125"/>
      <c r="D966" s="125"/>
      <c r="E966" s="125"/>
      <c r="F966" s="126"/>
      <c r="G966" s="125"/>
      <c r="H966" s="125"/>
      <c r="I966" s="125"/>
      <c r="J966" s="125"/>
      <c r="K966" s="125"/>
      <c r="L966" s="125"/>
      <c r="M966" s="125"/>
      <c r="N966" s="129"/>
      <c r="O966" s="125"/>
      <c r="P966" s="173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spans="1:26" ht="15.75" customHeight="1">
      <c r="A967" s="125"/>
      <c r="B967" s="125"/>
      <c r="C967" s="125"/>
      <c r="D967" s="125"/>
      <c r="E967" s="125"/>
      <c r="F967" s="126"/>
      <c r="G967" s="125"/>
      <c r="H967" s="125"/>
      <c r="I967" s="125"/>
      <c r="J967" s="125"/>
      <c r="K967" s="125"/>
      <c r="L967" s="125"/>
      <c r="M967" s="125"/>
      <c r="N967" s="129"/>
      <c r="O967" s="125"/>
      <c r="P967" s="173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spans="1:26" ht="15.75" customHeight="1">
      <c r="A968" s="125"/>
      <c r="B968" s="125"/>
      <c r="C968" s="125"/>
      <c r="D968" s="125"/>
      <c r="E968" s="125"/>
      <c r="F968" s="126"/>
      <c r="G968" s="125"/>
      <c r="H968" s="125"/>
      <c r="I968" s="125"/>
      <c r="J968" s="125"/>
      <c r="K968" s="125"/>
      <c r="L968" s="125"/>
      <c r="M968" s="125"/>
      <c r="N968" s="129"/>
      <c r="O968" s="125"/>
      <c r="P968" s="173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spans="1:26" ht="15.75" customHeight="1">
      <c r="A969" s="125"/>
      <c r="B969" s="125"/>
      <c r="C969" s="125"/>
      <c r="D969" s="125"/>
      <c r="E969" s="125"/>
      <c r="F969" s="126"/>
      <c r="G969" s="125"/>
      <c r="H969" s="125"/>
      <c r="I969" s="125"/>
      <c r="J969" s="125"/>
      <c r="K969" s="125"/>
      <c r="L969" s="125"/>
      <c r="M969" s="125"/>
      <c r="N969" s="129"/>
      <c r="O969" s="125"/>
      <c r="P969" s="173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spans="1:26" ht="15.75" customHeight="1">
      <c r="A970" s="125"/>
      <c r="B970" s="125"/>
      <c r="C970" s="125"/>
      <c r="D970" s="125"/>
      <c r="E970" s="125"/>
      <c r="F970" s="126"/>
      <c r="G970" s="125"/>
      <c r="H970" s="125"/>
      <c r="I970" s="125"/>
      <c r="J970" s="125"/>
      <c r="K970" s="125"/>
      <c r="L970" s="125"/>
      <c r="M970" s="125"/>
      <c r="N970" s="129"/>
      <c r="O970" s="125"/>
      <c r="P970" s="173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spans="1:26" ht="15.75" customHeight="1">
      <c r="A971" s="125"/>
      <c r="B971" s="125"/>
      <c r="C971" s="125"/>
      <c r="D971" s="125"/>
      <c r="E971" s="125"/>
      <c r="F971" s="126"/>
      <c r="G971" s="125"/>
      <c r="H971" s="125"/>
      <c r="I971" s="125"/>
      <c r="J971" s="125"/>
      <c r="K971" s="125"/>
      <c r="L971" s="125"/>
      <c r="M971" s="125"/>
      <c r="N971" s="129"/>
      <c r="O971" s="125"/>
      <c r="P971" s="173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spans="1:26" ht="15.75" customHeight="1">
      <c r="A972" s="125"/>
      <c r="B972" s="125"/>
      <c r="C972" s="125"/>
      <c r="D972" s="125"/>
      <c r="E972" s="125"/>
      <c r="F972" s="126"/>
      <c r="G972" s="125"/>
      <c r="H972" s="125"/>
      <c r="I972" s="125"/>
      <c r="J972" s="125"/>
      <c r="K972" s="125"/>
      <c r="L972" s="125"/>
      <c r="M972" s="125"/>
      <c r="N972" s="129"/>
      <c r="O972" s="125"/>
      <c r="P972" s="173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spans="1:26" ht="15.75" customHeight="1">
      <c r="A973" s="125"/>
      <c r="B973" s="125"/>
      <c r="C973" s="125"/>
      <c r="D973" s="125"/>
      <c r="E973" s="125"/>
      <c r="F973" s="126"/>
      <c r="G973" s="125"/>
      <c r="H973" s="125"/>
      <c r="I973" s="125"/>
      <c r="J973" s="125"/>
      <c r="K973" s="125"/>
      <c r="L973" s="125"/>
      <c r="M973" s="125"/>
      <c r="N973" s="129"/>
      <c r="O973" s="125"/>
      <c r="P973" s="173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spans="1:26" ht="15.75" customHeight="1">
      <c r="A974" s="125"/>
      <c r="B974" s="125"/>
      <c r="C974" s="125"/>
      <c r="D974" s="125"/>
      <c r="E974" s="125"/>
      <c r="F974" s="126"/>
      <c r="G974" s="125"/>
      <c r="H974" s="125"/>
      <c r="I974" s="125"/>
      <c r="J974" s="125"/>
      <c r="K974" s="125"/>
      <c r="L974" s="125"/>
      <c r="M974" s="125"/>
      <c r="N974" s="129"/>
      <c r="O974" s="125"/>
      <c r="P974" s="173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spans="1:26" ht="15.75" customHeight="1">
      <c r="A975" s="125"/>
      <c r="B975" s="125"/>
      <c r="C975" s="125"/>
      <c r="D975" s="125"/>
      <c r="E975" s="125"/>
      <c r="F975" s="126"/>
      <c r="G975" s="125"/>
      <c r="H975" s="125"/>
      <c r="I975" s="125"/>
      <c r="J975" s="125"/>
      <c r="K975" s="125"/>
      <c r="L975" s="125"/>
      <c r="M975" s="125"/>
      <c r="N975" s="129"/>
      <c r="O975" s="125"/>
      <c r="P975" s="173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spans="1:26" ht="15.75" customHeight="1">
      <c r="A976" s="125"/>
      <c r="B976" s="125"/>
      <c r="C976" s="125"/>
      <c r="D976" s="125"/>
      <c r="E976" s="125"/>
      <c r="F976" s="126"/>
      <c r="G976" s="125"/>
      <c r="H976" s="125"/>
      <c r="I976" s="125"/>
      <c r="J976" s="125"/>
      <c r="K976" s="125"/>
      <c r="L976" s="125"/>
      <c r="M976" s="125"/>
      <c r="N976" s="129"/>
      <c r="O976" s="125"/>
      <c r="P976" s="173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spans="1:26" ht="15.75" customHeight="1">
      <c r="A977" s="125"/>
      <c r="B977" s="125"/>
      <c r="C977" s="125"/>
      <c r="D977" s="125"/>
      <c r="E977" s="125"/>
      <c r="F977" s="126"/>
      <c r="G977" s="125"/>
      <c r="H977" s="125"/>
      <c r="I977" s="125"/>
      <c r="J977" s="125"/>
      <c r="K977" s="125"/>
      <c r="L977" s="125"/>
      <c r="M977" s="125"/>
      <c r="N977" s="129"/>
      <c r="O977" s="125"/>
      <c r="P977" s="173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spans="1:26" ht="15.75" customHeight="1">
      <c r="A978" s="125"/>
      <c r="B978" s="125"/>
      <c r="C978" s="125"/>
      <c r="D978" s="125"/>
      <c r="E978" s="125"/>
      <c r="F978" s="126"/>
      <c r="G978" s="125"/>
      <c r="H978" s="125"/>
      <c r="I978" s="125"/>
      <c r="J978" s="125"/>
      <c r="K978" s="125"/>
      <c r="L978" s="125"/>
      <c r="M978" s="125"/>
      <c r="N978" s="129"/>
      <c r="O978" s="125"/>
      <c r="P978" s="173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spans="1:26" ht="15.75" customHeight="1">
      <c r="A979" s="125"/>
      <c r="B979" s="125"/>
      <c r="C979" s="125"/>
      <c r="D979" s="125"/>
      <c r="E979" s="125"/>
      <c r="F979" s="126"/>
      <c r="G979" s="125"/>
      <c r="H979" s="125"/>
      <c r="I979" s="125"/>
      <c r="J979" s="125"/>
      <c r="K979" s="125"/>
      <c r="L979" s="125"/>
      <c r="M979" s="125"/>
      <c r="N979" s="129"/>
      <c r="O979" s="125"/>
      <c r="P979" s="173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spans="1:26" ht="15.75" customHeight="1">
      <c r="A980" s="125"/>
      <c r="B980" s="125"/>
      <c r="C980" s="125"/>
      <c r="D980" s="125"/>
      <c r="E980" s="125"/>
      <c r="F980" s="126"/>
      <c r="G980" s="125"/>
      <c r="H980" s="125"/>
      <c r="I980" s="125"/>
      <c r="J980" s="125"/>
      <c r="K980" s="125"/>
      <c r="L980" s="125"/>
      <c r="M980" s="125"/>
      <c r="N980" s="129"/>
      <c r="O980" s="125"/>
      <c r="P980" s="173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spans="1:26" ht="15.75" customHeight="1">
      <c r="A981" s="125"/>
      <c r="B981" s="125"/>
      <c r="C981" s="125"/>
      <c r="D981" s="125"/>
      <c r="E981" s="125"/>
      <c r="F981" s="126"/>
      <c r="G981" s="125"/>
      <c r="H981" s="125"/>
      <c r="I981" s="125"/>
      <c r="J981" s="125"/>
      <c r="K981" s="125"/>
      <c r="L981" s="125"/>
      <c r="M981" s="125"/>
      <c r="N981" s="129"/>
      <c r="O981" s="125"/>
      <c r="P981" s="173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spans="1:26" ht="15.75" customHeight="1">
      <c r="A982" s="125"/>
      <c r="B982" s="125"/>
      <c r="C982" s="125"/>
      <c r="D982" s="125"/>
      <c r="E982" s="125"/>
      <c r="F982" s="126"/>
      <c r="G982" s="125"/>
      <c r="H982" s="125"/>
      <c r="I982" s="125"/>
      <c r="J982" s="125"/>
      <c r="K982" s="125"/>
      <c r="L982" s="125"/>
      <c r="M982" s="125"/>
      <c r="N982" s="129"/>
      <c r="O982" s="125"/>
      <c r="P982" s="173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spans="1:26" ht="15.75" customHeight="1">
      <c r="A983" s="125"/>
      <c r="B983" s="125"/>
      <c r="C983" s="125"/>
      <c r="D983" s="125"/>
      <c r="E983" s="125"/>
      <c r="F983" s="126"/>
      <c r="G983" s="125"/>
      <c r="H983" s="125"/>
      <c r="I983" s="125"/>
      <c r="J983" s="125"/>
      <c r="K983" s="125"/>
      <c r="L983" s="125"/>
      <c r="M983" s="125"/>
      <c r="N983" s="129"/>
      <c r="O983" s="125"/>
      <c r="P983" s="173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spans="1:26" ht="15.75" customHeight="1">
      <c r="A984" s="125"/>
      <c r="B984" s="125"/>
      <c r="C984" s="125"/>
      <c r="D984" s="125"/>
      <c r="E984" s="125"/>
      <c r="F984" s="126"/>
      <c r="G984" s="125"/>
      <c r="H984" s="125"/>
      <c r="I984" s="125"/>
      <c r="J984" s="125"/>
      <c r="K984" s="125"/>
      <c r="L984" s="125"/>
      <c r="M984" s="125"/>
      <c r="N984" s="129"/>
      <c r="O984" s="125"/>
      <c r="P984" s="173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spans="1:26" ht="15.75" customHeight="1">
      <c r="A985" s="125"/>
      <c r="B985" s="125"/>
      <c r="C985" s="125"/>
      <c r="D985" s="125"/>
      <c r="E985" s="125"/>
      <c r="F985" s="126"/>
      <c r="G985" s="125"/>
      <c r="H985" s="125"/>
      <c r="I985" s="125"/>
      <c r="J985" s="125"/>
      <c r="K985" s="125"/>
      <c r="L985" s="125"/>
      <c r="M985" s="125"/>
      <c r="N985" s="129"/>
      <c r="O985" s="125"/>
      <c r="P985" s="173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spans="1:26" ht="15.75" customHeight="1">
      <c r="A986" s="125"/>
      <c r="B986" s="125"/>
      <c r="C986" s="125"/>
      <c r="D986" s="125"/>
      <c r="E986" s="125"/>
      <c r="F986" s="126"/>
      <c r="G986" s="125"/>
      <c r="H986" s="125"/>
      <c r="I986" s="125"/>
      <c r="J986" s="125"/>
      <c r="K986" s="125"/>
      <c r="L986" s="125"/>
      <c r="M986" s="125"/>
      <c r="N986" s="129"/>
      <c r="O986" s="125"/>
      <c r="P986" s="173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spans="1:26" ht="15.75" customHeight="1">
      <c r="A987" s="125"/>
      <c r="B987" s="125"/>
      <c r="C987" s="125"/>
      <c r="D987" s="125"/>
      <c r="E987" s="125"/>
      <c r="F987" s="126"/>
      <c r="G987" s="125"/>
      <c r="H987" s="125"/>
      <c r="I987" s="125"/>
      <c r="J987" s="125"/>
      <c r="K987" s="125"/>
      <c r="L987" s="125"/>
      <c r="M987" s="125"/>
      <c r="N987" s="129"/>
      <c r="O987" s="125"/>
      <c r="P987" s="173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spans="1:26" ht="15.75" customHeight="1">
      <c r="A988" s="125"/>
      <c r="B988" s="125"/>
      <c r="C988" s="125"/>
      <c r="D988" s="125"/>
      <c r="E988" s="125"/>
      <c r="F988" s="126"/>
      <c r="G988" s="125"/>
      <c r="H988" s="125"/>
      <c r="I988" s="125"/>
      <c r="J988" s="125"/>
      <c r="K988" s="125"/>
      <c r="L988" s="125"/>
      <c r="M988" s="125"/>
      <c r="N988" s="129"/>
      <c r="O988" s="125"/>
      <c r="P988" s="173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spans="1:26" ht="15.75" customHeight="1">
      <c r="A989" s="125"/>
      <c r="B989" s="125"/>
      <c r="C989" s="125"/>
      <c r="D989" s="125"/>
      <c r="E989" s="125"/>
      <c r="F989" s="126"/>
      <c r="G989" s="125"/>
      <c r="H989" s="125"/>
      <c r="I989" s="125"/>
      <c r="J989" s="125"/>
      <c r="K989" s="125"/>
      <c r="L989" s="125"/>
      <c r="M989" s="125"/>
      <c r="N989" s="129"/>
      <c r="O989" s="125"/>
      <c r="P989" s="173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spans="1:26" ht="15.75" customHeight="1">
      <c r="A990" s="125"/>
      <c r="B990" s="125"/>
      <c r="C990" s="125"/>
      <c r="D990" s="125"/>
      <c r="E990" s="125"/>
      <c r="F990" s="126"/>
      <c r="G990" s="125"/>
      <c r="H990" s="125"/>
      <c r="I990" s="125"/>
      <c r="J990" s="125"/>
      <c r="K990" s="125"/>
      <c r="L990" s="125"/>
      <c r="M990" s="125"/>
      <c r="N990" s="129"/>
      <c r="O990" s="125"/>
      <c r="P990" s="173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spans="1:26" ht="15.75" customHeight="1">
      <c r="A991" s="125"/>
      <c r="B991" s="125"/>
      <c r="C991" s="125"/>
      <c r="D991" s="125"/>
      <c r="E991" s="125"/>
      <c r="F991" s="126"/>
      <c r="G991" s="125"/>
      <c r="H991" s="125"/>
      <c r="I991" s="125"/>
      <c r="J991" s="125"/>
      <c r="K991" s="125"/>
      <c r="L991" s="125"/>
      <c r="M991" s="125"/>
      <c r="N991" s="129"/>
      <c r="O991" s="125"/>
      <c r="P991" s="173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spans="1:26" ht="15.75" customHeight="1">
      <c r="A992" s="125"/>
      <c r="B992" s="125"/>
      <c r="C992" s="125"/>
      <c r="D992" s="125"/>
      <c r="E992" s="125"/>
      <c r="F992" s="126"/>
      <c r="G992" s="125"/>
      <c r="H992" s="125"/>
      <c r="I992" s="125"/>
      <c r="J992" s="125"/>
      <c r="K992" s="125"/>
      <c r="L992" s="125"/>
      <c r="M992" s="125"/>
      <c r="N992" s="129"/>
      <c r="O992" s="125"/>
      <c r="P992" s="173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spans="1:26" ht="15.75" customHeight="1">
      <c r="A993" s="125"/>
      <c r="B993" s="125"/>
      <c r="C993" s="125"/>
      <c r="D993" s="125"/>
      <c r="E993" s="125"/>
      <c r="F993" s="126"/>
      <c r="G993" s="125"/>
      <c r="H993" s="125"/>
      <c r="I993" s="125"/>
      <c r="J993" s="125"/>
      <c r="K993" s="125"/>
      <c r="L993" s="125"/>
      <c r="M993" s="125"/>
      <c r="N993" s="129"/>
      <c r="O993" s="125"/>
      <c r="P993" s="173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spans="1:26" ht="15.75" customHeight="1">
      <c r="A994" s="125"/>
      <c r="B994" s="125"/>
      <c r="C994" s="125"/>
      <c r="D994" s="125"/>
      <c r="E994" s="125"/>
      <c r="F994" s="126"/>
      <c r="G994" s="125"/>
      <c r="H994" s="125"/>
      <c r="I994" s="125"/>
      <c r="J994" s="125"/>
      <c r="K994" s="125"/>
      <c r="L994" s="125"/>
      <c r="M994" s="125"/>
      <c r="N994" s="129"/>
      <c r="O994" s="125"/>
      <c r="P994" s="173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spans="1:26" ht="15.75" customHeight="1">
      <c r="A995" s="125"/>
      <c r="B995" s="125"/>
      <c r="C995" s="125"/>
      <c r="D995" s="125"/>
      <c r="E995" s="125"/>
      <c r="F995" s="126"/>
      <c r="G995" s="125"/>
      <c r="H995" s="125"/>
      <c r="I995" s="125"/>
      <c r="J995" s="125"/>
      <c r="K995" s="125"/>
      <c r="L995" s="125"/>
      <c r="M995" s="125"/>
      <c r="N995" s="129"/>
      <c r="O995" s="125"/>
      <c r="P995" s="173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spans="1:26" ht="15.75" customHeight="1">
      <c r="A996" s="125"/>
      <c r="B996" s="125"/>
      <c r="C996" s="125"/>
      <c r="D996" s="125"/>
      <c r="E996" s="125"/>
      <c r="F996" s="126"/>
      <c r="G996" s="125"/>
      <c r="H996" s="125"/>
      <c r="I996" s="125"/>
      <c r="J996" s="125"/>
      <c r="K996" s="125"/>
      <c r="L996" s="125"/>
      <c r="M996" s="125"/>
      <c r="N996" s="129"/>
      <c r="O996" s="125"/>
      <c r="P996" s="173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spans="1:26" ht="15.75" customHeight="1">
      <c r="A997" s="125"/>
      <c r="B997" s="125"/>
      <c r="C997" s="125"/>
      <c r="D997" s="125"/>
      <c r="E997" s="125"/>
      <c r="F997" s="126"/>
      <c r="G997" s="125"/>
      <c r="H997" s="125"/>
      <c r="I997" s="125"/>
      <c r="J997" s="125"/>
      <c r="K997" s="125"/>
      <c r="L997" s="125"/>
      <c r="M997" s="125"/>
      <c r="N997" s="129"/>
      <c r="O997" s="125"/>
      <c r="P997" s="173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spans="1:26" ht="15.75" customHeight="1">
      <c r="A998" s="125"/>
      <c r="B998" s="125"/>
      <c r="C998" s="125"/>
      <c r="D998" s="125"/>
      <c r="E998" s="125"/>
      <c r="F998" s="126"/>
      <c r="G998" s="125"/>
      <c r="H998" s="125"/>
      <c r="I998" s="125"/>
      <c r="J998" s="125"/>
      <c r="K998" s="125"/>
      <c r="L998" s="125"/>
      <c r="M998" s="125"/>
      <c r="N998" s="129"/>
      <c r="O998" s="125"/>
      <c r="P998" s="173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spans="1:26" ht="15.75" customHeight="1">
      <c r="A999" s="125"/>
      <c r="B999" s="125"/>
      <c r="C999" s="125"/>
      <c r="D999" s="125"/>
      <c r="E999" s="125"/>
      <c r="F999" s="126"/>
      <c r="G999" s="125"/>
      <c r="H999" s="125"/>
      <c r="I999" s="125"/>
      <c r="J999" s="125"/>
      <c r="K999" s="125"/>
      <c r="L999" s="125"/>
      <c r="M999" s="125"/>
      <c r="N999" s="129"/>
      <c r="O999" s="125"/>
      <c r="P999" s="173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spans="1:26" ht="15.75" customHeight="1">
      <c r="A1000" s="125"/>
      <c r="B1000" s="125"/>
      <c r="C1000" s="125"/>
      <c r="D1000" s="125"/>
      <c r="E1000" s="125"/>
      <c r="F1000" s="126"/>
      <c r="G1000" s="125"/>
      <c r="H1000" s="125"/>
      <c r="I1000" s="125"/>
      <c r="J1000" s="125"/>
      <c r="K1000" s="125"/>
      <c r="L1000" s="125"/>
      <c r="M1000" s="125"/>
      <c r="N1000" s="129"/>
      <c r="O1000" s="125"/>
      <c r="P1000" s="173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autoFilter ref="B5:N140" xr:uid="{00000000-0009-0000-0000-000008000000}"/>
  <conditionalFormatting sqref="E6:E138">
    <cfRule type="containsText" dxfId="2" priority="1" operator="containsText" text="EZD">
      <formula>NOT(ISERROR(SEARCH(("EZD"),(E6))))</formula>
    </cfRule>
  </conditionalFormatting>
  <pageMargins left="0.7" right="0.7" top="0.75" bottom="0.75" header="0" footer="0"/>
  <pageSetup paperSize="9"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Z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 outlineLevelRow="1"/>
  <cols>
    <col min="1" max="1" width="6.28515625" customWidth="1"/>
    <col min="2" max="4" width="8.42578125" customWidth="1"/>
    <col min="5" max="5" width="25.42578125" customWidth="1"/>
    <col min="6" max="6" width="13.42578125" customWidth="1"/>
    <col min="7" max="12" width="12.5703125" customWidth="1"/>
    <col min="13" max="13" width="13" customWidth="1"/>
    <col min="14" max="14" width="11.42578125" customWidth="1"/>
    <col min="15" max="15" width="13.5703125" customWidth="1"/>
    <col min="16" max="16" width="8.42578125" customWidth="1"/>
    <col min="17" max="17" width="12.5703125" customWidth="1"/>
    <col min="18" max="26" width="8.42578125" customWidth="1"/>
  </cols>
  <sheetData>
    <row r="1" spans="1:26">
      <c r="A1" s="125"/>
      <c r="B1" s="125"/>
      <c r="C1" s="125"/>
      <c r="D1" s="125"/>
      <c r="E1" s="125"/>
      <c r="F1" s="126"/>
      <c r="G1" s="125"/>
      <c r="H1" s="125"/>
      <c r="I1" s="125"/>
      <c r="J1" s="125"/>
      <c r="K1" s="125"/>
      <c r="L1" s="125"/>
      <c r="M1" s="125"/>
      <c r="N1" s="129"/>
      <c r="O1" s="125"/>
      <c r="P1" s="173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>
      <c r="A2" s="125"/>
      <c r="B2" s="125"/>
      <c r="C2" s="125"/>
      <c r="D2" s="125"/>
      <c r="E2" s="125"/>
      <c r="F2" s="126"/>
      <c r="G2" s="126">
        <v>7</v>
      </c>
      <c r="H2" s="126">
        <f t="shared" ref="H2:M2" si="0">G2+2</f>
        <v>9</v>
      </c>
      <c r="I2" s="126">
        <f t="shared" si="0"/>
        <v>11</v>
      </c>
      <c r="J2" s="126">
        <f t="shared" si="0"/>
        <v>13</v>
      </c>
      <c r="K2" s="126">
        <f t="shared" si="0"/>
        <v>15</v>
      </c>
      <c r="L2" s="126">
        <f t="shared" si="0"/>
        <v>17</v>
      </c>
      <c r="M2" s="126">
        <f t="shared" si="0"/>
        <v>19</v>
      </c>
      <c r="N2" s="129"/>
      <c r="O2" s="125"/>
      <c r="P2" s="185"/>
      <c r="Q2" s="125" t="s">
        <v>318</v>
      </c>
      <c r="R2" s="125"/>
      <c r="S2" s="125"/>
      <c r="T2" s="125"/>
      <c r="U2" s="125"/>
      <c r="V2" s="125"/>
      <c r="W2" s="125"/>
      <c r="X2" s="125"/>
      <c r="Y2" s="125"/>
      <c r="Z2" s="125"/>
    </row>
    <row r="3" spans="1:26">
      <c r="A3" s="125"/>
      <c r="B3" s="125"/>
      <c r="C3" s="125"/>
      <c r="D3" s="125"/>
      <c r="E3" s="125" t="s">
        <v>2775</v>
      </c>
      <c r="F3" s="133" t="str">
        <f>"EST. OS "&amp;'KPS #48'!$B$2&amp;'KPS #48'!$C$2</f>
        <v>EST. OS 48</v>
      </c>
      <c r="G3" s="134" t="s">
        <v>2776</v>
      </c>
      <c r="H3" s="134" t="s">
        <v>2777</v>
      </c>
      <c r="I3" s="134" t="s">
        <v>2778</v>
      </c>
      <c r="J3" s="134" t="s">
        <v>2779</v>
      </c>
      <c r="K3" s="134" t="s">
        <v>2780</v>
      </c>
      <c r="L3" s="134" t="s">
        <v>2781</v>
      </c>
      <c r="M3" s="134" t="s">
        <v>2782</v>
      </c>
      <c r="N3" s="129"/>
      <c r="O3" s="173">
        <f>N4-O4</f>
        <v>0</v>
      </c>
      <c r="P3" s="190"/>
      <c r="Q3" s="125" t="s">
        <v>317</v>
      </c>
      <c r="R3" s="125"/>
      <c r="S3" s="125"/>
      <c r="T3" s="125"/>
      <c r="U3" s="125"/>
      <c r="V3" s="125"/>
      <c r="W3" s="125"/>
      <c r="X3" s="125"/>
      <c r="Y3" s="125"/>
      <c r="Z3" s="125"/>
    </row>
    <row r="4" spans="1:26">
      <c r="A4" s="136"/>
      <c r="B4" s="136" t="s">
        <v>2783</v>
      </c>
      <c r="C4" s="136"/>
      <c r="D4" s="136"/>
      <c r="E4" s="137" t="s">
        <v>109</v>
      </c>
      <c r="F4" s="233">
        <v>0</v>
      </c>
      <c r="G4" s="234">
        <f>IFERROR(VLOOKUP($E$4,'KPS #48'!$D:$W,G$2,0),0)</f>
        <v>50</v>
      </c>
      <c r="H4" s="234">
        <f>IFERROR(VLOOKUP($E$4,'KPS #48'!$D:$W,H$2,0),0)</f>
        <v>0</v>
      </c>
      <c r="I4" s="234">
        <f>IFERROR(VLOOKUP($E$4,'KPS #48'!$D:$W,I$2,0),0)</f>
        <v>0</v>
      </c>
      <c r="J4" s="234">
        <f>IFERROR(VLOOKUP($E$4,'KPS #48'!$D:$W,J$2,0),0)</f>
        <v>100</v>
      </c>
      <c r="K4" s="234">
        <f>IFERROR(VLOOKUP($E$4,'KPS #48'!$D:$W,K$2,0),0)</f>
        <v>100</v>
      </c>
      <c r="L4" s="234">
        <f>IFERROR(VLOOKUP($E$4,'KPS #48'!$D:$W,L$2,0),0)</f>
        <v>100</v>
      </c>
      <c r="M4" s="234">
        <f>IFERROR(VLOOKUP($E$4,'KPS #48'!$D:$W,M$2,0),0)</f>
        <v>0</v>
      </c>
      <c r="N4" s="235">
        <f>SUM(F4:M4)</f>
        <v>350</v>
      </c>
      <c r="O4" s="142">
        <f>F140</f>
        <v>350</v>
      </c>
      <c r="P4" s="161"/>
      <c r="Q4" s="125" t="s">
        <v>2784</v>
      </c>
      <c r="R4" s="125"/>
      <c r="S4" s="125"/>
      <c r="T4" s="125"/>
      <c r="U4" s="125"/>
      <c r="V4" s="125"/>
      <c r="W4" s="125"/>
      <c r="X4" s="125"/>
      <c r="Y4" s="125"/>
      <c r="Z4" s="125"/>
    </row>
    <row r="5" spans="1:26" ht="33.75">
      <c r="A5" s="143" t="s">
        <v>325</v>
      </c>
      <c r="B5" s="144" t="s">
        <v>326</v>
      </c>
      <c r="C5" s="144" t="s">
        <v>327</v>
      </c>
      <c r="D5" s="144" t="s">
        <v>2785</v>
      </c>
      <c r="E5" s="145" t="s">
        <v>327</v>
      </c>
      <c r="F5" s="236" t="s">
        <v>2786</v>
      </c>
      <c r="G5" s="237" t="s">
        <v>2786</v>
      </c>
      <c r="H5" s="238" t="s">
        <v>2786</v>
      </c>
      <c r="I5" s="238" t="s">
        <v>2786</v>
      </c>
      <c r="J5" s="238" t="s">
        <v>2786</v>
      </c>
      <c r="K5" s="238" t="s">
        <v>2786</v>
      </c>
      <c r="L5" s="238" t="s">
        <v>2786</v>
      </c>
      <c r="M5" s="239" t="s">
        <v>2786</v>
      </c>
      <c r="N5" s="149" t="s">
        <v>291</v>
      </c>
      <c r="O5" s="125"/>
      <c r="P5" s="173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4.25" customHeight="1" outlineLevel="1">
      <c r="A6" s="150">
        <v>1</v>
      </c>
      <c r="B6" s="150" t="s">
        <v>332</v>
      </c>
      <c r="C6" s="150" t="str">
        <f t="shared" ref="C6:C18" si="1">MID(E6,4,LEN(E6))</f>
        <v xml:space="preserve"> Medan 1</v>
      </c>
      <c r="D6" s="150" t="str">
        <f t="shared" ref="D6:D19" si="2">IFERROR(VLOOKUP($E$4&amp;C6,#REF!,2,FALSE),"")</f>
        <v/>
      </c>
      <c r="E6" s="240" t="s">
        <v>335</v>
      </c>
      <c r="F6" s="241"/>
      <c r="G6" s="242"/>
      <c r="H6" s="243"/>
      <c r="I6" s="243"/>
      <c r="J6" s="243"/>
      <c r="K6" s="243"/>
      <c r="L6" s="243"/>
      <c r="M6" s="244"/>
      <c r="N6" s="245">
        <f t="shared" ref="N6:N19" si="3">SUM(F6:M6)</f>
        <v>0</v>
      </c>
      <c r="O6" s="125"/>
      <c r="P6" s="173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4.25" customHeight="1" outlineLevel="1">
      <c r="A7" s="150">
        <v>1</v>
      </c>
      <c r="B7" s="150" t="s">
        <v>336</v>
      </c>
      <c r="C7" s="150" t="str">
        <f t="shared" si="1"/>
        <v xml:space="preserve"> Langkat</v>
      </c>
      <c r="D7" s="150" t="str">
        <f t="shared" si="2"/>
        <v/>
      </c>
      <c r="E7" s="240" t="s">
        <v>337</v>
      </c>
      <c r="F7" s="241"/>
      <c r="G7" s="242"/>
      <c r="H7" s="243"/>
      <c r="I7" s="243"/>
      <c r="J7" s="243"/>
      <c r="K7" s="243"/>
      <c r="L7" s="243"/>
      <c r="M7" s="244"/>
      <c r="N7" s="245">
        <f t="shared" si="3"/>
        <v>0</v>
      </c>
      <c r="O7" s="125"/>
      <c r="P7" s="173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4.25" customHeight="1" outlineLevel="1">
      <c r="A8" s="150">
        <v>1</v>
      </c>
      <c r="B8" s="150" t="s">
        <v>338</v>
      </c>
      <c r="C8" s="150" t="str">
        <f t="shared" si="1"/>
        <v xml:space="preserve"> Medan 2</v>
      </c>
      <c r="D8" s="150" t="str">
        <f t="shared" si="2"/>
        <v/>
      </c>
      <c r="E8" s="240" t="s">
        <v>339</v>
      </c>
      <c r="F8" s="241"/>
      <c r="G8" s="242"/>
      <c r="H8" s="243"/>
      <c r="I8" s="243"/>
      <c r="J8" s="243"/>
      <c r="K8" s="243"/>
      <c r="L8" s="243"/>
      <c r="M8" s="244"/>
      <c r="N8" s="245">
        <f t="shared" si="3"/>
        <v>0</v>
      </c>
      <c r="O8" s="125"/>
      <c r="P8" s="173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4.25" customHeight="1" outlineLevel="1">
      <c r="A9" s="150">
        <v>1</v>
      </c>
      <c r="B9" s="150" t="s">
        <v>340</v>
      </c>
      <c r="C9" s="150" t="str">
        <f t="shared" si="1"/>
        <v xml:space="preserve"> Tanah Karo</v>
      </c>
      <c r="D9" s="150" t="str">
        <f t="shared" si="2"/>
        <v/>
      </c>
      <c r="E9" s="240" t="s">
        <v>341</v>
      </c>
      <c r="F9" s="241"/>
      <c r="G9" s="242"/>
      <c r="H9" s="243"/>
      <c r="I9" s="243"/>
      <c r="J9" s="243"/>
      <c r="K9" s="243"/>
      <c r="L9" s="243"/>
      <c r="M9" s="244"/>
      <c r="N9" s="245">
        <f t="shared" si="3"/>
        <v>0</v>
      </c>
      <c r="O9" s="125"/>
      <c r="P9" s="173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4.25" customHeight="1" outlineLevel="1">
      <c r="A10" s="150">
        <v>1</v>
      </c>
      <c r="B10" s="150" t="s">
        <v>342</v>
      </c>
      <c r="C10" s="150" t="str">
        <f t="shared" si="1"/>
        <v xml:space="preserve"> Pematang Siantar</v>
      </c>
      <c r="D10" s="150" t="str">
        <f t="shared" si="2"/>
        <v/>
      </c>
      <c r="E10" s="240" t="s">
        <v>343</v>
      </c>
      <c r="F10" s="241"/>
      <c r="G10" s="242"/>
      <c r="H10" s="243"/>
      <c r="I10" s="243"/>
      <c r="J10" s="243"/>
      <c r="K10" s="243"/>
      <c r="L10" s="243"/>
      <c r="M10" s="244"/>
      <c r="N10" s="245">
        <f t="shared" si="3"/>
        <v>0</v>
      </c>
      <c r="O10" s="125"/>
      <c r="P10" s="173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4.25" customHeight="1" outlineLevel="1">
      <c r="A11" s="150">
        <v>1</v>
      </c>
      <c r="B11" s="150" t="s">
        <v>344</v>
      </c>
      <c r="C11" s="150" t="str">
        <f t="shared" si="1"/>
        <v xml:space="preserve"> Rantau Prapat</v>
      </c>
      <c r="D11" s="150" t="str">
        <f t="shared" si="2"/>
        <v/>
      </c>
      <c r="E11" s="240" t="s">
        <v>345</v>
      </c>
      <c r="F11" s="241"/>
      <c r="G11" s="242"/>
      <c r="H11" s="243"/>
      <c r="I11" s="243"/>
      <c r="J11" s="243"/>
      <c r="K11" s="243"/>
      <c r="L11" s="243"/>
      <c r="M11" s="244"/>
      <c r="N11" s="245">
        <f t="shared" si="3"/>
        <v>0</v>
      </c>
      <c r="O11" s="125"/>
      <c r="P11" s="173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ht="14.25" customHeight="1" outlineLevel="1">
      <c r="A12" s="150">
        <v>1</v>
      </c>
      <c r="B12" s="150" t="s">
        <v>346</v>
      </c>
      <c r="C12" s="150" t="str">
        <f t="shared" si="1"/>
        <v xml:space="preserve"> Kisaran</v>
      </c>
      <c r="D12" s="150" t="str">
        <f t="shared" si="2"/>
        <v/>
      </c>
      <c r="E12" s="240" t="s">
        <v>347</v>
      </c>
      <c r="F12" s="241"/>
      <c r="G12" s="242"/>
      <c r="H12" s="243"/>
      <c r="I12" s="243"/>
      <c r="J12" s="243"/>
      <c r="K12" s="243"/>
      <c r="L12" s="243"/>
      <c r="M12" s="244"/>
      <c r="N12" s="245">
        <f t="shared" si="3"/>
        <v>0</v>
      </c>
      <c r="O12" s="125"/>
      <c r="P12" s="173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ht="14.25" customHeight="1" outlineLevel="1">
      <c r="A13" s="150">
        <v>1</v>
      </c>
      <c r="B13" s="150" t="s">
        <v>348</v>
      </c>
      <c r="C13" s="150" t="str">
        <f t="shared" si="1"/>
        <v xml:space="preserve"> Banda Aceh</v>
      </c>
      <c r="D13" s="150" t="str">
        <f t="shared" si="2"/>
        <v/>
      </c>
      <c r="E13" s="240" t="s">
        <v>349</v>
      </c>
      <c r="F13" s="241"/>
      <c r="G13" s="242"/>
      <c r="H13" s="243"/>
      <c r="I13" s="243"/>
      <c r="J13" s="243"/>
      <c r="K13" s="243"/>
      <c r="L13" s="243"/>
      <c r="M13" s="244"/>
      <c r="N13" s="245">
        <f t="shared" si="3"/>
        <v>0</v>
      </c>
      <c r="O13" s="125"/>
      <c r="P13" s="173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ht="14.25" customHeight="1" outlineLevel="1">
      <c r="A14" s="150">
        <v>1</v>
      </c>
      <c r="B14" s="150" t="s">
        <v>350</v>
      </c>
      <c r="C14" s="150" t="str">
        <f t="shared" si="1"/>
        <v xml:space="preserve"> Meulaboh</v>
      </c>
      <c r="D14" s="150" t="str">
        <f t="shared" si="2"/>
        <v/>
      </c>
      <c r="E14" s="240" t="s">
        <v>351</v>
      </c>
      <c r="F14" s="241"/>
      <c r="G14" s="242"/>
      <c r="H14" s="243"/>
      <c r="I14" s="243"/>
      <c r="J14" s="243"/>
      <c r="K14" s="243"/>
      <c r="L14" s="243"/>
      <c r="M14" s="244"/>
      <c r="N14" s="245">
        <f t="shared" si="3"/>
        <v>0</v>
      </c>
      <c r="O14" s="125"/>
      <c r="P14" s="173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ht="14.25" customHeight="1" outlineLevel="1">
      <c r="A15" s="150">
        <v>1</v>
      </c>
      <c r="B15" s="150" t="s">
        <v>352</v>
      </c>
      <c r="C15" s="150" t="str">
        <f t="shared" si="1"/>
        <v xml:space="preserve"> Lhokseumawe</v>
      </c>
      <c r="D15" s="150" t="str">
        <f t="shared" si="2"/>
        <v/>
      </c>
      <c r="E15" s="240" t="s">
        <v>353</v>
      </c>
      <c r="F15" s="241"/>
      <c r="G15" s="242"/>
      <c r="H15" s="243"/>
      <c r="I15" s="243"/>
      <c r="J15" s="243"/>
      <c r="K15" s="243"/>
      <c r="L15" s="243"/>
      <c r="M15" s="244"/>
      <c r="N15" s="245">
        <f t="shared" si="3"/>
        <v>0</v>
      </c>
      <c r="O15" s="125"/>
      <c r="P15" s="173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ht="14.25" customHeight="1" outlineLevel="1">
      <c r="A16" s="150">
        <v>1</v>
      </c>
      <c r="B16" s="150" t="s">
        <v>354</v>
      </c>
      <c r="C16" s="150" t="str">
        <f t="shared" si="1"/>
        <v xml:space="preserve"> Langsa</v>
      </c>
      <c r="D16" s="150" t="str">
        <f t="shared" si="2"/>
        <v/>
      </c>
      <c r="E16" s="240" t="s">
        <v>355</v>
      </c>
      <c r="F16" s="241"/>
      <c r="G16" s="242"/>
      <c r="H16" s="243"/>
      <c r="I16" s="243"/>
      <c r="J16" s="243"/>
      <c r="K16" s="243"/>
      <c r="L16" s="243"/>
      <c r="M16" s="244"/>
      <c r="N16" s="245">
        <f t="shared" si="3"/>
        <v>0</v>
      </c>
      <c r="O16" s="125"/>
      <c r="P16" s="173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ht="14.25" customHeight="1" outlineLevel="1">
      <c r="A17" s="150">
        <v>1</v>
      </c>
      <c r="B17" s="150" t="s">
        <v>356</v>
      </c>
      <c r="C17" s="150" t="str">
        <f t="shared" si="1"/>
        <v xml:space="preserve"> Padang Sidempuan</v>
      </c>
      <c r="D17" s="150" t="str">
        <f t="shared" si="2"/>
        <v/>
      </c>
      <c r="E17" s="240" t="s">
        <v>357</v>
      </c>
      <c r="F17" s="241"/>
      <c r="G17" s="242"/>
      <c r="H17" s="243"/>
      <c r="I17" s="243"/>
      <c r="J17" s="243"/>
      <c r="K17" s="243"/>
      <c r="L17" s="243"/>
      <c r="M17" s="244"/>
      <c r="N17" s="245">
        <f t="shared" si="3"/>
        <v>0</v>
      </c>
      <c r="O17" s="125"/>
      <c r="P17" s="173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ht="14.25" customHeight="1" outlineLevel="1">
      <c r="A18" s="150">
        <v>1</v>
      </c>
      <c r="B18" s="150" t="s">
        <v>358</v>
      </c>
      <c r="C18" s="150" t="str">
        <f t="shared" si="1"/>
        <v xml:space="preserve"> Sibolga</v>
      </c>
      <c r="D18" s="150" t="str">
        <f t="shared" si="2"/>
        <v/>
      </c>
      <c r="E18" s="240" t="s">
        <v>359</v>
      </c>
      <c r="F18" s="246"/>
      <c r="G18" s="242"/>
      <c r="H18" s="243"/>
      <c r="I18" s="243"/>
      <c r="J18" s="243"/>
      <c r="K18" s="243"/>
      <c r="L18" s="243"/>
      <c r="M18" s="244"/>
      <c r="N18" s="247">
        <f t="shared" si="3"/>
        <v>0</v>
      </c>
      <c r="O18" s="125"/>
      <c r="P18" s="173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ht="14.25" customHeight="1" outlineLevel="1">
      <c r="A19" s="157">
        <v>1</v>
      </c>
      <c r="B19" s="157" t="s">
        <v>360</v>
      </c>
      <c r="C19" s="157" t="s">
        <v>361</v>
      </c>
      <c r="D19" s="157" t="str">
        <f t="shared" si="2"/>
        <v/>
      </c>
      <c r="E19" s="157" t="s">
        <v>363</v>
      </c>
      <c r="F19" s="246">
        <v>200</v>
      </c>
      <c r="G19" s="248"/>
      <c r="H19" s="249"/>
      <c r="I19" s="250"/>
      <c r="J19" s="250"/>
      <c r="K19" s="250"/>
      <c r="L19" s="243"/>
      <c r="M19" s="244"/>
      <c r="N19" s="247">
        <f t="shared" si="3"/>
        <v>200</v>
      </c>
      <c r="O19" s="125"/>
      <c r="P19" s="173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>
      <c r="A20" s="162" t="s">
        <v>364</v>
      </c>
      <c r="B20" s="162"/>
      <c r="C20" s="162"/>
      <c r="D20" s="162">
        <v>1</v>
      </c>
      <c r="E20" s="162" t="s">
        <v>365</v>
      </c>
      <c r="F20" s="251">
        <f t="shared" ref="F20:N20" si="4">SUM(F6:F19)</f>
        <v>200</v>
      </c>
      <c r="G20" s="251">
        <f t="shared" si="4"/>
        <v>0</v>
      </c>
      <c r="H20" s="251">
        <f t="shared" si="4"/>
        <v>0</v>
      </c>
      <c r="I20" s="251">
        <f t="shared" si="4"/>
        <v>0</v>
      </c>
      <c r="J20" s="251">
        <f t="shared" si="4"/>
        <v>0</v>
      </c>
      <c r="K20" s="251">
        <f t="shared" si="4"/>
        <v>0</v>
      </c>
      <c r="L20" s="251">
        <f t="shared" si="4"/>
        <v>0</v>
      </c>
      <c r="M20" s="251">
        <f t="shared" si="4"/>
        <v>0</v>
      </c>
      <c r="N20" s="251">
        <f t="shared" si="4"/>
        <v>200</v>
      </c>
      <c r="O20" s="125"/>
      <c r="P20" s="173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ht="14.25" hidden="1" customHeight="1" outlineLevel="1">
      <c r="A21" s="168">
        <v>10</v>
      </c>
      <c r="B21" s="168" t="s">
        <v>366</v>
      </c>
      <c r="C21" s="168" t="str">
        <f t="shared" ref="C21:C29" si="5">MID(E21,4,LEN(E21))</f>
        <v xml:space="preserve"> Padang</v>
      </c>
      <c r="D21" s="168" t="str">
        <f t="shared" ref="D21:D29" si="6">IFERROR(VLOOKUP($E$4&amp;C21,#REF!,2,FALSE),"")</f>
        <v/>
      </c>
      <c r="E21" s="252" t="s">
        <v>368</v>
      </c>
      <c r="F21" s="246"/>
      <c r="G21" s="242"/>
      <c r="H21" s="243"/>
      <c r="I21" s="249"/>
      <c r="J21" s="243"/>
      <c r="K21" s="243"/>
      <c r="L21" s="243"/>
      <c r="M21" s="244"/>
      <c r="N21" s="247">
        <f t="shared" ref="N21:N29" si="7">SUM(F21:M21)</f>
        <v>0</v>
      </c>
      <c r="O21" s="125"/>
      <c r="P21" s="173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ht="14.25" hidden="1" customHeight="1" outlineLevel="1">
      <c r="A22" s="168">
        <v>4</v>
      </c>
      <c r="B22" s="168" t="s">
        <v>369</v>
      </c>
      <c r="C22" s="168" t="str">
        <f t="shared" si="5"/>
        <v xml:space="preserve"> Solok</v>
      </c>
      <c r="D22" s="168" t="str">
        <f t="shared" si="6"/>
        <v/>
      </c>
      <c r="E22" s="253" t="s">
        <v>371</v>
      </c>
      <c r="F22" s="246"/>
      <c r="G22" s="242"/>
      <c r="H22" s="243"/>
      <c r="I22" s="243"/>
      <c r="J22" s="243"/>
      <c r="K22" s="249"/>
      <c r="L22" s="243"/>
      <c r="M22" s="244"/>
      <c r="N22" s="247">
        <f t="shared" si="7"/>
        <v>0</v>
      </c>
      <c r="O22" s="125"/>
      <c r="P22" s="173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ht="14.25" hidden="1" customHeight="1" outlineLevel="1">
      <c r="A23" s="168">
        <v>4</v>
      </c>
      <c r="B23" s="168" t="s">
        <v>372</v>
      </c>
      <c r="C23" s="168" t="str">
        <f t="shared" si="5"/>
        <v xml:space="preserve"> Bukittinggi</v>
      </c>
      <c r="D23" s="168" t="str">
        <f t="shared" si="6"/>
        <v/>
      </c>
      <c r="E23" s="253" t="s">
        <v>374</v>
      </c>
      <c r="F23" s="246"/>
      <c r="G23" s="242"/>
      <c r="H23" s="243"/>
      <c r="I23" s="243"/>
      <c r="J23" s="243"/>
      <c r="K23" s="249"/>
      <c r="L23" s="249"/>
      <c r="M23" s="244"/>
      <c r="N23" s="247">
        <f t="shared" si="7"/>
        <v>0</v>
      </c>
      <c r="O23" s="125"/>
      <c r="P23" s="173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ht="14.25" hidden="1" customHeight="1" outlineLevel="1">
      <c r="A24" s="168">
        <v>12</v>
      </c>
      <c r="B24" s="168" t="s">
        <v>375</v>
      </c>
      <c r="C24" s="168" t="str">
        <f t="shared" si="5"/>
        <v xml:space="preserve"> Pekanbaru</v>
      </c>
      <c r="D24" s="168" t="str">
        <f t="shared" si="6"/>
        <v/>
      </c>
      <c r="E24" s="252" t="s">
        <v>376</v>
      </c>
      <c r="F24" s="246"/>
      <c r="G24" s="242"/>
      <c r="H24" s="243"/>
      <c r="I24" s="243"/>
      <c r="J24" s="249"/>
      <c r="K24" s="243"/>
      <c r="L24" s="243"/>
      <c r="M24" s="244"/>
      <c r="N24" s="247">
        <f t="shared" si="7"/>
        <v>0</v>
      </c>
      <c r="O24" s="125"/>
      <c r="P24" s="173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ht="14.25" hidden="1" customHeight="1" outlineLevel="1">
      <c r="A25" s="168">
        <v>10</v>
      </c>
      <c r="B25" s="168" t="s">
        <v>377</v>
      </c>
      <c r="C25" s="168" t="str">
        <f t="shared" si="5"/>
        <v xml:space="preserve"> Duri</v>
      </c>
      <c r="D25" s="168" t="str">
        <f t="shared" si="6"/>
        <v/>
      </c>
      <c r="E25" s="252" t="s">
        <v>379</v>
      </c>
      <c r="F25" s="246"/>
      <c r="G25" s="242"/>
      <c r="H25" s="243"/>
      <c r="I25" s="243"/>
      <c r="J25" s="249"/>
      <c r="K25" s="249"/>
      <c r="L25" s="243"/>
      <c r="M25" s="244"/>
      <c r="N25" s="247">
        <f t="shared" si="7"/>
        <v>0</v>
      </c>
      <c r="O25" s="125"/>
      <c r="P25" s="173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4.25" hidden="1" customHeight="1" outlineLevel="1">
      <c r="A26" s="168">
        <v>5</v>
      </c>
      <c r="B26" s="168" t="s">
        <v>380</v>
      </c>
      <c r="C26" s="168" t="str">
        <f t="shared" si="5"/>
        <v xml:space="preserve"> Air Molek</v>
      </c>
      <c r="D26" s="168" t="str">
        <f t="shared" si="6"/>
        <v/>
      </c>
      <c r="E26" s="252" t="s">
        <v>381</v>
      </c>
      <c r="F26" s="246"/>
      <c r="G26" s="242"/>
      <c r="H26" s="243"/>
      <c r="I26" s="243"/>
      <c r="J26" s="243"/>
      <c r="K26" s="249"/>
      <c r="L26" s="243"/>
      <c r="M26" s="244"/>
      <c r="N26" s="247">
        <f t="shared" si="7"/>
        <v>0</v>
      </c>
      <c r="O26" s="125"/>
      <c r="P26" s="173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4.25" hidden="1" customHeight="1" outlineLevel="1">
      <c r="A27" s="168">
        <v>14</v>
      </c>
      <c r="B27" s="168" t="s">
        <v>382</v>
      </c>
      <c r="C27" s="168" t="str">
        <f t="shared" si="5"/>
        <v xml:space="preserve"> Batam</v>
      </c>
      <c r="D27" s="168" t="str">
        <f t="shared" si="6"/>
        <v/>
      </c>
      <c r="E27" s="252" t="s">
        <v>383</v>
      </c>
      <c r="F27" s="246"/>
      <c r="G27" s="242"/>
      <c r="H27" s="243"/>
      <c r="I27" s="243"/>
      <c r="J27" s="249"/>
      <c r="K27" s="243"/>
      <c r="L27" s="243"/>
      <c r="M27" s="244"/>
      <c r="N27" s="247">
        <f t="shared" si="7"/>
        <v>0</v>
      </c>
      <c r="O27" s="125"/>
      <c r="P27" s="173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4.25" hidden="1" customHeight="1" outlineLevel="1">
      <c r="A28" s="168"/>
      <c r="B28" s="168" t="s">
        <v>384</v>
      </c>
      <c r="C28" s="168" t="str">
        <f t="shared" si="5"/>
        <v xml:space="preserve"> Tanjung Pinang</v>
      </c>
      <c r="D28" s="168" t="str">
        <f t="shared" si="6"/>
        <v/>
      </c>
      <c r="E28" s="252" t="s">
        <v>386</v>
      </c>
      <c r="F28" s="246"/>
      <c r="G28" s="242"/>
      <c r="H28" s="243"/>
      <c r="I28" s="249"/>
      <c r="J28" s="243"/>
      <c r="K28" s="243"/>
      <c r="L28" s="243"/>
      <c r="M28" s="244"/>
      <c r="N28" s="247">
        <f t="shared" si="7"/>
        <v>0</v>
      </c>
      <c r="O28" s="125"/>
      <c r="P28" s="173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ht="14.25" hidden="1" customHeight="1" outlineLevel="1">
      <c r="A29" s="168"/>
      <c r="B29" s="168" t="s">
        <v>387</v>
      </c>
      <c r="C29" s="168" t="str">
        <f t="shared" si="5"/>
        <v xml:space="preserve"> Tanjung Balai Karimun</v>
      </c>
      <c r="D29" s="168" t="str">
        <f t="shared" si="6"/>
        <v/>
      </c>
      <c r="E29" s="252" t="s">
        <v>389</v>
      </c>
      <c r="F29" s="246"/>
      <c r="G29" s="242"/>
      <c r="H29" s="243"/>
      <c r="I29" s="243"/>
      <c r="J29" s="249"/>
      <c r="K29" s="243"/>
      <c r="L29" s="243"/>
      <c r="M29" s="244"/>
      <c r="N29" s="247">
        <f t="shared" si="7"/>
        <v>0</v>
      </c>
      <c r="O29" s="125"/>
      <c r="P29" s="173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ht="15.75" customHeight="1" collapsed="1">
      <c r="A30" s="162" t="s">
        <v>390</v>
      </c>
      <c r="B30" s="162"/>
      <c r="C30" s="162"/>
      <c r="D30" s="162">
        <v>1</v>
      </c>
      <c r="E30" s="162" t="s">
        <v>391</v>
      </c>
      <c r="F30" s="251">
        <f t="shared" ref="F30:N30" si="8">SUM(F21:F29)</f>
        <v>0</v>
      </c>
      <c r="G30" s="251">
        <f t="shared" si="8"/>
        <v>0</v>
      </c>
      <c r="H30" s="251">
        <f t="shared" si="8"/>
        <v>0</v>
      </c>
      <c r="I30" s="251">
        <f t="shared" si="8"/>
        <v>0</v>
      </c>
      <c r="J30" s="251">
        <f t="shared" si="8"/>
        <v>0</v>
      </c>
      <c r="K30" s="251">
        <f t="shared" si="8"/>
        <v>0</v>
      </c>
      <c r="L30" s="251">
        <f t="shared" si="8"/>
        <v>0</v>
      </c>
      <c r="M30" s="251">
        <f t="shared" si="8"/>
        <v>0</v>
      </c>
      <c r="N30" s="251">
        <f t="shared" si="8"/>
        <v>0</v>
      </c>
      <c r="O30" s="125"/>
      <c r="P30" s="173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4.25" hidden="1" customHeight="1" outlineLevel="1">
      <c r="A31" s="168">
        <v>3</v>
      </c>
      <c r="B31" s="168" t="s">
        <v>392</v>
      </c>
      <c r="C31" s="168" t="str">
        <f t="shared" ref="C31:C38" si="9">MID(E31,4,LEN(E31))</f>
        <v xml:space="preserve"> Palembang Inner</v>
      </c>
      <c r="D31" s="168" t="str">
        <f t="shared" ref="D31:D38" si="10">IFERROR(VLOOKUP($E$4&amp;C31,#REF!,2,FALSE),"")</f>
        <v/>
      </c>
      <c r="E31" s="252" t="s">
        <v>394</v>
      </c>
      <c r="F31" s="246"/>
      <c r="G31" s="248"/>
      <c r="H31" s="254"/>
      <c r="I31" s="243"/>
      <c r="J31" s="243"/>
      <c r="K31" s="243"/>
      <c r="L31" s="249"/>
      <c r="M31" s="244"/>
      <c r="N31" s="247">
        <f t="shared" ref="N31:N33" si="11">SUM(F31:M31)</f>
        <v>0</v>
      </c>
      <c r="O31" s="125"/>
      <c r="P31" s="173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26" ht="14.25" hidden="1" customHeight="1" outlineLevel="1">
      <c r="A32" s="168">
        <v>3</v>
      </c>
      <c r="B32" s="168" t="s">
        <v>395</v>
      </c>
      <c r="C32" s="168" t="str">
        <f t="shared" si="9"/>
        <v xml:space="preserve"> Palembang Outer</v>
      </c>
      <c r="D32" s="168" t="str">
        <f t="shared" si="10"/>
        <v/>
      </c>
      <c r="E32" s="252" t="s">
        <v>396</v>
      </c>
      <c r="F32" s="246"/>
      <c r="G32" s="242"/>
      <c r="H32" s="249"/>
      <c r="I32" s="243"/>
      <c r="J32" s="243"/>
      <c r="K32" s="243"/>
      <c r="L32" s="249"/>
      <c r="M32" s="244"/>
      <c r="N32" s="247">
        <f t="shared" si="11"/>
        <v>0</v>
      </c>
      <c r="O32" s="125"/>
      <c r="P32" s="173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 ht="14.25" hidden="1" customHeight="1" outlineLevel="1">
      <c r="A33" s="168">
        <v>3</v>
      </c>
      <c r="B33" s="168" t="s">
        <v>397</v>
      </c>
      <c r="C33" s="168" t="str">
        <f t="shared" si="9"/>
        <v xml:space="preserve"> Pangkal Pinang</v>
      </c>
      <c r="D33" s="168" t="str">
        <f t="shared" si="10"/>
        <v/>
      </c>
      <c r="E33" s="252" t="s">
        <v>399</v>
      </c>
      <c r="F33" s="246"/>
      <c r="G33" s="242"/>
      <c r="H33" s="243"/>
      <c r="I33" s="249"/>
      <c r="J33" s="243"/>
      <c r="K33" s="243"/>
      <c r="L33" s="243"/>
      <c r="M33" s="244"/>
      <c r="N33" s="247">
        <f t="shared" si="11"/>
        <v>0</v>
      </c>
      <c r="O33" s="125"/>
      <c r="P33" s="173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 ht="14.25" hidden="1" customHeight="1" outlineLevel="1">
      <c r="A34" s="168"/>
      <c r="B34" s="168" t="s">
        <v>397</v>
      </c>
      <c r="C34" s="168" t="str">
        <f t="shared" si="9"/>
        <v xml:space="preserve"> Tanjung Pandan</v>
      </c>
      <c r="D34" s="168" t="str">
        <f t="shared" si="10"/>
        <v/>
      </c>
      <c r="E34" s="252" t="s">
        <v>2787</v>
      </c>
      <c r="F34" s="246"/>
      <c r="G34" s="242"/>
      <c r="H34" s="243"/>
      <c r="I34" s="243"/>
      <c r="J34" s="249"/>
      <c r="K34" s="243"/>
      <c r="L34" s="243"/>
      <c r="M34" s="244"/>
      <c r="N34" s="247"/>
      <c r="O34" s="125"/>
      <c r="P34" s="173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 ht="14.25" hidden="1" customHeight="1" outlineLevel="1">
      <c r="A35" s="168">
        <v>3</v>
      </c>
      <c r="B35" s="168" t="s">
        <v>400</v>
      </c>
      <c r="C35" s="168" t="str">
        <f t="shared" si="9"/>
        <v xml:space="preserve"> Lahat</v>
      </c>
      <c r="D35" s="168" t="str">
        <f t="shared" si="10"/>
        <v/>
      </c>
      <c r="E35" s="252" t="s">
        <v>402</v>
      </c>
      <c r="F35" s="246"/>
      <c r="G35" s="242"/>
      <c r="H35" s="249"/>
      <c r="I35" s="243"/>
      <c r="J35" s="243"/>
      <c r="K35" s="249"/>
      <c r="L35" s="243"/>
      <c r="M35" s="244"/>
      <c r="N35" s="247">
        <f t="shared" ref="N35:N38" si="12">SUM(F35:M35)</f>
        <v>0</v>
      </c>
      <c r="O35" s="125"/>
      <c r="P35" s="173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 ht="14.25" hidden="1" customHeight="1" outlineLevel="1">
      <c r="A36" s="168">
        <v>3</v>
      </c>
      <c r="B36" s="168" t="s">
        <v>403</v>
      </c>
      <c r="C36" s="168" t="str">
        <f t="shared" si="9"/>
        <v xml:space="preserve"> Batu Raja</v>
      </c>
      <c r="D36" s="168" t="str">
        <f t="shared" si="10"/>
        <v/>
      </c>
      <c r="E36" s="252" t="s">
        <v>405</v>
      </c>
      <c r="F36" s="246"/>
      <c r="G36" s="242"/>
      <c r="H36" s="249"/>
      <c r="I36" s="243"/>
      <c r="J36" s="243"/>
      <c r="K36" s="249"/>
      <c r="L36" s="243"/>
      <c r="M36" s="244"/>
      <c r="N36" s="247">
        <f t="shared" si="12"/>
        <v>0</v>
      </c>
      <c r="O36" s="125"/>
      <c r="P36" s="173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 ht="14.25" hidden="1" customHeight="1" outlineLevel="1">
      <c r="A37" s="168">
        <v>4</v>
      </c>
      <c r="B37" s="168" t="s">
        <v>406</v>
      </c>
      <c r="C37" s="168" t="str">
        <f t="shared" si="9"/>
        <v xml:space="preserve"> Jambi</v>
      </c>
      <c r="D37" s="168" t="str">
        <f t="shared" si="10"/>
        <v/>
      </c>
      <c r="E37" s="252" t="s">
        <v>407</v>
      </c>
      <c r="F37" s="246"/>
      <c r="G37" s="242"/>
      <c r="H37" s="249"/>
      <c r="I37" s="243"/>
      <c r="J37" s="243"/>
      <c r="K37" s="249"/>
      <c r="L37" s="243"/>
      <c r="M37" s="244"/>
      <c r="N37" s="247">
        <f t="shared" si="12"/>
        <v>0</v>
      </c>
      <c r="O37" s="125"/>
      <c r="P37" s="173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 ht="14.25" hidden="1" customHeight="1" outlineLevel="1">
      <c r="A38" s="168">
        <v>4</v>
      </c>
      <c r="B38" s="168" t="s">
        <v>408</v>
      </c>
      <c r="C38" s="168" t="str">
        <f t="shared" si="9"/>
        <v xml:space="preserve"> Muara Bungo</v>
      </c>
      <c r="D38" s="168" t="str">
        <f t="shared" si="10"/>
        <v/>
      </c>
      <c r="E38" s="252" t="s">
        <v>409</v>
      </c>
      <c r="F38" s="246"/>
      <c r="G38" s="242"/>
      <c r="H38" s="249"/>
      <c r="I38" s="243"/>
      <c r="J38" s="243"/>
      <c r="K38" s="249"/>
      <c r="L38" s="243"/>
      <c r="M38" s="244"/>
      <c r="N38" s="247">
        <f t="shared" si="12"/>
        <v>0</v>
      </c>
      <c r="O38" s="125"/>
      <c r="P38" s="173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 ht="15.75" customHeight="1" collapsed="1">
      <c r="A39" s="162" t="s">
        <v>410</v>
      </c>
      <c r="B39" s="162"/>
      <c r="C39" s="162"/>
      <c r="D39" s="162">
        <v>1</v>
      </c>
      <c r="E39" s="162" t="s">
        <v>411</v>
      </c>
      <c r="F39" s="251">
        <f t="shared" ref="F39:N39" si="13">SUM(F31:F38)</f>
        <v>0</v>
      </c>
      <c r="G39" s="251">
        <f t="shared" si="13"/>
        <v>0</v>
      </c>
      <c r="H39" s="251">
        <f t="shared" si="13"/>
        <v>0</v>
      </c>
      <c r="I39" s="251">
        <f t="shared" si="13"/>
        <v>0</v>
      </c>
      <c r="J39" s="251">
        <f t="shared" si="13"/>
        <v>0</v>
      </c>
      <c r="K39" s="251">
        <f t="shared" si="13"/>
        <v>0</v>
      </c>
      <c r="L39" s="251">
        <f t="shared" si="13"/>
        <v>0</v>
      </c>
      <c r="M39" s="251">
        <f t="shared" si="13"/>
        <v>0</v>
      </c>
      <c r="N39" s="251">
        <f t="shared" si="13"/>
        <v>0</v>
      </c>
      <c r="O39" s="125"/>
      <c r="P39" s="173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 ht="14.25" hidden="1" customHeight="1" outlineLevel="1">
      <c r="A40" s="168">
        <v>3</v>
      </c>
      <c r="B40" s="168" t="s">
        <v>412</v>
      </c>
      <c r="C40" s="168" t="str">
        <f t="shared" ref="C40:C47" si="14">MID(E40,4,LEN(E40))</f>
        <v xml:space="preserve"> Lampung</v>
      </c>
      <c r="D40" s="168" t="str">
        <f t="shared" ref="D40:D47" si="15">IFERROR(VLOOKUP($E$4&amp;C40,#REF!,2,FALSE),"")</f>
        <v/>
      </c>
      <c r="E40" s="252" t="s">
        <v>413</v>
      </c>
      <c r="F40" s="246"/>
      <c r="G40" s="248"/>
      <c r="H40" s="243"/>
      <c r="I40" s="249"/>
      <c r="J40" s="243"/>
      <c r="K40" s="243"/>
      <c r="L40" s="249"/>
      <c r="M40" s="255"/>
      <c r="N40" s="247">
        <f t="shared" ref="N40:N47" si="16">SUM(F40:M40)</f>
        <v>0</v>
      </c>
      <c r="O40" s="125"/>
      <c r="P40" s="173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 ht="14.25" hidden="1" customHeight="1" outlineLevel="1">
      <c r="A41" s="168">
        <v>3</v>
      </c>
      <c r="B41" s="168" t="s">
        <v>414</v>
      </c>
      <c r="C41" s="168" t="str">
        <f t="shared" si="14"/>
        <v xml:space="preserve"> Kalianda</v>
      </c>
      <c r="D41" s="168" t="str">
        <f t="shared" si="15"/>
        <v/>
      </c>
      <c r="E41" s="253" t="s">
        <v>415</v>
      </c>
      <c r="F41" s="246"/>
      <c r="G41" s="242"/>
      <c r="H41" s="243"/>
      <c r="I41" s="243"/>
      <c r="J41" s="243"/>
      <c r="K41" s="243"/>
      <c r="L41" s="243"/>
      <c r="M41" s="244"/>
      <c r="N41" s="247">
        <f t="shared" si="16"/>
        <v>0</v>
      </c>
      <c r="O41" s="125"/>
      <c r="P41" s="173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 ht="14.25" hidden="1" customHeight="1" outlineLevel="1">
      <c r="A42" s="168">
        <v>3</v>
      </c>
      <c r="B42" s="168" t="s">
        <v>416</v>
      </c>
      <c r="C42" s="168" t="str">
        <f t="shared" si="14"/>
        <v xml:space="preserve"> Pringsewu</v>
      </c>
      <c r="D42" s="168" t="str">
        <f t="shared" si="15"/>
        <v/>
      </c>
      <c r="E42" s="252" t="s">
        <v>417</v>
      </c>
      <c r="F42" s="246"/>
      <c r="G42" s="242"/>
      <c r="H42" s="243"/>
      <c r="I42" s="249"/>
      <c r="J42" s="243"/>
      <c r="K42" s="243"/>
      <c r="L42" s="249"/>
      <c r="M42" s="244"/>
      <c r="N42" s="247">
        <f t="shared" si="16"/>
        <v>0</v>
      </c>
      <c r="O42" s="125"/>
      <c r="P42" s="173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 ht="14.25" hidden="1" customHeight="1" outlineLevel="1">
      <c r="A43" s="168">
        <v>3</v>
      </c>
      <c r="B43" s="168" t="s">
        <v>418</v>
      </c>
      <c r="C43" s="168" t="str">
        <f t="shared" si="14"/>
        <v xml:space="preserve"> Kota Bumi</v>
      </c>
      <c r="D43" s="168" t="str">
        <f t="shared" si="15"/>
        <v/>
      </c>
      <c r="E43" s="252" t="s">
        <v>419</v>
      </c>
      <c r="F43" s="246"/>
      <c r="G43" s="242"/>
      <c r="H43" s="243"/>
      <c r="I43" s="249"/>
      <c r="J43" s="243"/>
      <c r="K43" s="243"/>
      <c r="L43" s="249"/>
      <c r="M43" s="244"/>
      <c r="N43" s="247">
        <f t="shared" si="16"/>
        <v>0</v>
      </c>
      <c r="O43" s="125"/>
      <c r="P43" s="173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 ht="14.25" hidden="1" customHeight="1" outlineLevel="1">
      <c r="A44" s="168">
        <v>3</v>
      </c>
      <c r="B44" s="168" t="s">
        <v>420</v>
      </c>
      <c r="C44" s="168" t="str">
        <f t="shared" si="14"/>
        <v xml:space="preserve"> Tuba</v>
      </c>
      <c r="D44" s="168" t="str">
        <f t="shared" si="15"/>
        <v/>
      </c>
      <c r="E44" s="252" t="s">
        <v>421</v>
      </c>
      <c r="F44" s="246"/>
      <c r="G44" s="242"/>
      <c r="H44" s="243"/>
      <c r="I44" s="249"/>
      <c r="J44" s="243"/>
      <c r="K44" s="243"/>
      <c r="L44" s="249"/>
      <c r="M44" s="244"/>
      <c r="N44" s="247">
        <f t="shared" si="16"/>
        <v>0</v>
      </c>
      <c r="O44" s="125"/>
      <c r="P44" s="173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spans="1:26" ht="14.25" hidden="1" customHeight="1" outlineLevel="1">
      <c r="A45" s="168">
        <v>3</v>
      </c>
      <c r="B45" s="168" t="s">
        <v>422</v>
      </c>
      <c r="C45" s="168" t="str">
        <f t="shared" si="14"/>
        <v xml:space="preserve"> Metro</v>
      </c>
      <c r="D45" s="168" t="str">
        <f t="shared" si="15"/>
        <v/>
      </c>
      <c r="E45" s="252" t="s">
        <v>423</v>
      </c>
      <c r="F45" s="246"/>
      <c r="G45" s="242"/>
      <c r="H45" s="249"/>
      <c r="I45" s="243"/>
      <c r="J45" s="243"/>
      <c r="K45" s="243"/>
      <c r="L45" s="249"/>
      <c r="M45" s="244"/>
      <c r="N45" s="247">
        <f t="shared" si="16"/>
        <v>0</v>
      </c>
      <c r="O45" s="125"/>
      <c r="P45" s="173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spans="1:26" ht="14.25" hidden="1" customHeight="1" outlineLevel="1">
      <c r="A46" s="168">
        <v>4</v>
      </c>
      <c r="B46" s="168" t="s">
        <v>424</v>
      </c>
      <c r="C46" s="168" t="str">
        <f t="shared" si="14"/>
        <v xml:space="preserve"> Bengkulu</v>
      </c>
      <c r="D46" s="168" t="str">
        <f t="shared" si="15"/>
        <v/>
      </c>
      <c r="E46" s="252" t="s">
        <v>425</v>
      </c>
      <c r="F46" s="246"/>
      <c r="G46" s="242"/>
      <c r="H46" s="249"/>
      <c r="I46" s="243"/>
      <c r="J46" s="243"/>
      <c r="K46" s="249"/>
      <c r="L46" s="243"/>
      <c r="M46" s="244"/>
      <c r="N46" s="247">
        <f t="shared" si="16"/>
        <v>0</v>
      </c>
      <c r="O46" s="125"/>
      <c r="P46" s="173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spans="1:26" ht="14.25" hidden="1" customHeight="1" outlineLevel="1">
      <c r="A47" s="168">
        <v>4</v>
      </c>
      <c r="B47" s="168" t="s">
        <v>426</v>
      </c>
      <c r="C47" s="168" t="str">
        <f t="shared" si="14"/>
        <v xml:space="preserve"> Lubuk Linggau</v>
      </c>
      <c r="D47" s="168" t="str">
        <f t="shared" si="15"/>
        <v/>
      </c>
      <c r="E47" s="252" t="s">
        <v>427</v>
      </c>
      <c r="F47" s="246"/>
      <c r="G47" s="242"/>
      <c r="H47" s="249"/>
      <c r="I47" s="243"/>
      <c r="J47" s="243"/>
      <c r="K47" s="249"/>
      <c r="L47" s="243"/>
      <c r="M47" s="244"/>
      <c r="N47" s="247">
        <f t="shared" si="16"/>
        <v>0</v>
      </c>
      <c r="O47" s="125"/>
      <c r="P47" s="173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spans="1:26" ht="15.75" customHeight="1" collapsed="1">
      <c r="A48" s="162" t="s">
        <v>410</v>
      </c>
      <c r="B48" s="162"/>
      <c r="C48" s="162"/>
      <c r="D48" s="162">
        <v>1</v>
      </c>
      <c r="E48" s="162" t="s">
        <v>428</v>
      </c>
      <c r="F48" s="251">
        <f t="shared" ref="F48:N48" si="17">SUM(F40:F47)</f>
        <v>0</v>
      </c>
      <c r="G48" s="251">
        <f t="shared" si="17"/>
        <v>0</v>
      </c>
      <c r="H48" s="251">
        <f t="shared" si="17"/>
        <v>0</v>
      </c>
      <c r="I48" s="251">
        <f t="shared" si="17"/>
        <v>0</v>
      </c>
      <c r="J48" s="251">
        <f t="shared" si="17"/>
        <v>0</v>
      </c>
      <c r="K48" s="251">
        <f t="shared" si="17"/>
        <v>0</v>
      </c>
      <c r="L48" s="251">
        <f t="shared" si="17"/>
        <v>0</v>
      </c>
      <c r="M48" s="251">
        <f t="shared" si="17"/>
        <v>0</v>
      </c>
      <c r="N48" s="251">
        <f t="shared" si="17"/>
        <v>0</v>
      </c>
      <c r="O48" s="125"/>
      <c r="P48" s="173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spans="1:26" ht="14.25" hidden="1" customHeight="1" outlineLevel="1">
      <c r="A49" s="168"/>
      <c r="B49" s="168" t="s">
        <v>449</v>
      </c>
      <c r="C49" s="168" t="s">
        <v>430</v>
      </c>
      <c r="D49" s="168" t="str">
        <f t="shared" ref="D49:D57" si="18">IFERROR(VLOOKUP($E$4&amp;C49,#REF!,2,FALSE),"")</f>
        <v/>
      </c>
      <c r="E49" s="252" t="s">
        <v>450</v>
      </c>
      <c r="F49" s="246"/>
      <c r="G49" s="242"/>
      <c r="H49" s="250"/>
      <c r="I49" s="243"/>
      <c r="J49" s="249"/>
      <c r="K49" s="243"/>
      <c r="L49" s="250"/>
      <c r="M49" s="255"/>
      <c r="N49" s="247">
        <f t="shared" ref="N49:N57" si="19">SUM(F49:M49)</f>
        <v>0</v>
      </c>
      <c r="O49" s="125"/>
      <c r="P49" s="173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spans="1:26" ht="14.25" hidden="1" customHeight="1" outlineLevel="1">
      <c r="A50" s="168"/>
      <c r="B50" s="168" t="s">
        <v>436</v>
      </c>
      <c r="C50" s="168" t="s">
        <v>437</v>
      </c>
      <c r="D50" s="168" t="str">
        <f t="shared" si="18"/>
        <v/>
      </c>
      <c r="E50" s="252" t="s">
        <v>2788</v>
      </c>
      <c r="F50" s="246"/>
      <c r="G50" s="248"/>
      <c r="H50" s="256"/>
      <c r="I50" s="249"/>
      <c r="J50" s="256"/>
      <c r="K50" s="249"/>
      <c r="L50" s="256"/>
      <c r="M50" s="255"/>
      <c r="N50" s="247">
        <f t="shared" si="19"/>
        <v>0</v>
      </c>
      <c r="O50" s="125"/>
      <c r="P50" s="173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spans="1:26" ht="14.25" hidden="1" customHeight="1" outlineLevel="1">
      <c r="A51" s="168"/>
      <c r="B51" s="168" t="s">
        <v>429</v>
      </c>
      <c r="C51" s="168" t="s">
        <v>430</v>
      </c>
      <c r="D51" s="168" t="str">
        <f t="shared" si="18"/>
        <v/>
      </c>
      <c r="E51" s="253" t="s">
        <v>432</v>
      </c>
      <c r="F51" s="246"/>
      <c r="G51" s="242"/>
      <c r="H51" s="250"/>
      <c r="I51" s="243"/>
      <c r="J51" s="249"/>
      <c r="K51" s="243"/>
      <c r="L51" s="250"/>
      <c r="M51" s="255"/>
      <c r="N51" s="247">
        <f t="shared" si="19"/>
        <v>0</v>
      </c>
      <c r="O51" s="125"/>
      <c r="P51" s="173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spans="1:26" ht="14.25" hidden="1" customHeight="1" outlineLevel="1">
      <c r="A52" s="168"/>
      <c r="B52" s="168" t="s">
        <v>433</v>
      </c>
      <c r="C52" s="168" t="s">
        <v>434</v>
      </c>
      <c r="D52" s="168" t="str">
        <f t="shared" si="18"/>
        <v/>
      </c>
      <c r="E52" s="253" t="s">
        <v>435</v>
      </c>
      <c r="F52" s="246"/>
      <c r="G52" s="242"/>
      <c r="H52" s="243"/>
      <c r="I52" s="243"/>
      <c r="J52" s="243"/>
      <c r="K52" s="243"/>
      <c r="L52" s="243"/>
      <c r="M52" s="244"/>
      <c r="N52" s="247">
        <f t="shared" si="19"/>
        <v>0</v>
      </c>
      <c r="O52" s="125"/>
      <c r="P52" s="173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14.25" hidden="1" customHeight="1" outlineLevel="1">
      <c r="A53" s="168"/>
      <c r="B53" s="168" t="s">
        <v>439</v>
      </c>
      <c r="C53" s="168" t="s">
        <v>437</v>
      </c>
      <c r="D53" s="168" t="str">
        <f t="shared" si="18"/>
        <v/>
      </c>
      <c r="E53" s="253" t="s">
        <v>440</v>
      </c>
      <c r="F53" s="246"/>
      <c r="G53" s="248"/>
      <c r="H53" s="249"/>
      <c r="I53" s="243"/>
      <c r="J53" s="249"/>
      <c r="K53" s="243"/>
      <c r="L53" s="249"/>
      <c r="M53" s="244"/>
      <c r="N53" s="247">
        <f t="shared" si="19"/>
        <v>0</v>
      </c>
      <c r="O53" s="125"/>
      <c r="P53" s="173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spans="1:26" ht="14.25" hidden="1" customHeight="1" outlineLevel="1">
      <c r="A54" s="168"/>
      <c r="B54" s="168" t="s">
        <v>441</v>
      </c>
      <c r="C54" s="168" t="s">
        <v>442</v>
      </c>
      <c r="D54" s="168" t="str">
        <f t="shared" si="18"/>
        <v/>
      </c>
      <c r="E54" s="253" t="s">
        <v>443</v>
      </c>
      <c r="F54" s="246"/>
      <c r="G54" s="242"/>
      <c r="H54" s="243"/>
      <c r="I54" s="243"/>
      <c r="J54" s="243"/>
      <c r="K54" s="243"/>
      <c r="L54" s="243"/>
      <c r="M54" s="244"/>
      <c r="N54" s="247">
        <f t="shared" si="19"/>
        <v>0</v>
      </c>
      <c r="O54" s="125"/>
      <c r="P54" s="173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spans="1:26" ht="14.25" hidden="1" customHeight="1" outlineLevel="1">
      <c r="A55" s="168"/>
      <c r="B55" s="168" t="s">
        <v>444</v>
      </c>
      <c r="C55" s="168" t="s">
        <v>442</v>
      </c>
      <c r="D55" s="168" t="str">
        <f t="shared" si="18"/>
        <v/>
      </c>
      <c r="E55" s="253" t="s">
        <v>445</v>
      </c>
      <c r="F55" s="246"/>
      <c r="G55" s="242"/>
      <c r="H55" s="243"/>
      <c r="I55" s="243"/>
      <c r="J55" s="243"/>
      <c r="K55" s="243"/>
      <c r="L55" s="243"/>
      <c r="M55" s="244"/>
      <c r="N55" s="247">
        <f t="shared" si="19"/>
        <v>0</v>
      </c>
      <c r="O55" s="125"/>
      <c r="P55" s="173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spans="1:26" ht="14.25" hidden="1" customHeight="1" outlineLevel="1">
      <c r="A56" s="168"/>
      <c r="B56" s="168" t="s">
        <v>446</v>
      </c>
      <c r="C56" s="168" t="s">
        <v>447</v>
      </c>
      <c r="D56" s="168" t="str">
        <f t="shared" si="18"/>
        <v/>
      </c>
      <c r="E56" s="253" t="s">
        <v>448</v>
      </c>
      <c r="F56" s="246"/>
      <c r="G56" s="242"/>
      <c r="H56" s="243"/>
      <c r="I56" s="243"/>
      <c r="J56" s="243"/>
      <c r="K56" s="243"/>
      <c r="L56" s="243"/>
      <c r="M56" s="244"/>
      <c r="N56" s="247">
        <f t="shared" si="19"/>
        <v>0</v>
      </c>
      <c r="O56" s="125"/>
      <c r="P56" s="173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spans="1:26" ht="14.25" hidden="1" customHeight="1" outlineLevel="1">
      <c r="A57" s="168"/>
      <c r="B57" s="168" t="s">
        <v>451</v>
      </c>
      <c r="C57" s="168" t="str">
        <f>MID(E57,4,LEN(E57))</f>
        <v xml:space="preserve"> Depok</v>
      </c>
      <c r="D57" s="168" t="str">
        <f t="shared" si="18"/>
        <v/>
      </c>
      <c r="E57" s="253" t="s">
        <v>452</v>
      </c>
      <c r="F57" s="246"/>
      <c r="G57" s="242"/>
      <c r="H57" s="243"/>
      <c r="I57" s="243"/>
      <c r="J57" s="243"/>
      <c r="K57" s="243"/>
      <c r="L57" s="243"/>
      <c r="M57" s="244"/>
      <c r="N57" s="247">
        <f t="shared" si="19"/>
        <v>0</v>
      </c>
      <c r="O57" s="125"/>
      <c r="P57" s="173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spans="1:26" ht="15.75" customHeight="1" collapsed="1">
      <c r="A58" s="162" t="s">
        <v>453</v>
      </c>
      <c r="B58" s="162"/>
      <c r="C58" s="162"/>
      <c r="D58" s="162">
        <v>1</v>
      </c>
      <c r="E58" s="162" t="s">
        <v>454</v>
      </c>
      <c r="F58" s="251">
        <f t="shared" ref="F58:N58" si="20">SUM(F49:F57)</f>
        <v>0</v>
      </c>
      <c r="G58" s="251">
        <f t="shared" si="20"/>
        <v>0</v>
      </c>
      <c r="H58" s="251">
        <f t="shared" si="20"/>
        <v>0</v>
      </c>
      <c r="I58" s="251">
        <f t="shared" si="20"/>
        <v>0</v>
      </c>
      <c r="J58" s="251">
        <f t="shared" si="20"/>
        <v>0</v>
      </c>
      <c r="K58" s="251">
        <f t="shared" si="20"/>
        <v>0</v>
      </c>
      <c r="L58" s="251">
        <f t="shared" si="20"/>
        <v>0</v>
      </c>
      <c r="M58" s="251">
        <f t="shared" si="20"/>
        <v>0</v>
      </c>
      <c r="N58" s="251">
        <f t="shared" si="20"/>
        <v>0</v>
      </c>
      <c r="O58" s="125"/>
      <c r="P58" s="173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spans="1:26" ht="14.25" hidden="1" customHeight="1" outlineLevel="1">
      <c r="A59" s="168"/>
      <c r="B59" s="168" t="s">
        <v>455</v>
      </c>
      <c r="C59" s="168" t="str">
        <f>MID(E59,4,LEN(E59))</f>
        <v xml:space="preserve"> Tangerang</v>
      </c>
      <c r="D59" s="168" t="str">
        <f t="shared" ref="D59:D67" si="21">IFERROR(VLOOKUP($E$4&amp;C59,#REF!,2,FALSE),"")</f>
        <v/>
      </c>
      <c r="E59" s="252" t="s">
        <v>457</v>
      </c>
      <c r="F59" s="246"/>
      <c r="G59" s="242"/>
      <c r="H59" s="250"/>
      <c r="I59" s="243"/>
      <c r="J59" s="250"/>
      <c r="K59" s="243"/>
      <c r="L59" s="256"/>
      <c r="M59" s="255"/>
      <c r="N59" s="247">
        <f t="shared" ref="N59:N67" si="22">SUM(F59:M59)</f>
        <v>0</v>
      </c>
      <c r="O59" s="125"/>
      <c r="P59" s="173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spans="1:26" ht="14.25" hidden="1" customHeight="1" outlineLevel="1">
      <c r="A60" s="168"/>
      <c r="B60" s="168" t="s">
        <v>458</v>
      </c>
      <c r="C60" s="168" t="s">
        <v>456</v>
      </c>
      <c r="D60" s="168" t="str">
        <f t="shared" si="21"/>
        <v/>
      </c>
      <c r="E60" s="252" t="s">
        <v>459</v>
      </c>
      <c r="F60" s="246"/>
      <c r="G60" s="242"/>
      <c r="H60" s="250"/>
      <c r="I60" s="243"/>
      <c r="J60" s="250"/>
      <c r="K60" s="243"/>
      <c r="L60" s="256"/>
      <c r="M60" s="255"/>
      <c r="N60" s="247">
        <f t="shared" si="22"/>
        <v>0</v>
      </c>
      <c r="O60" s="125"/>
      <c r="P60" s="173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spans="1:26" ht="14.25" hidden="1" customHeight="1" outlineLevel="1">
      <c r="A61" s="168"/>
      <c r="B61" s="168" t="s">
        <v>460</v>
      </c>
      <c r="C61" s="168" t="str">
        <f>MID(E61,4,LEN(E61))</f>
        <v xml:space="preserve"> Bogor</v>
      </c>
      <c r="D61" s="168" t="str">
        <f t="shared" si="21"/>
        <v/>
      </c>
      <c r="E61" s="252" t="s">
        <v>462</v>
      </c>
      <c r="F61" s="246"/>
      <c r="G61" s="257"/>
      <c r="H61" s="243"/>
      <c r="I61" s="250"/>
      <c r="J61" s="256"/>
      <c r="K61" s="249"/>
      <c r="L61" s="256"/>
      <c r="M61" s="255"/>
      <c r="N61" s="247">
        <f t="shared" si="22"/>
        <v>0</v>
      </c>
      <c r="O61" s="125"/>
      <c r="P61" s="173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4.25" hidden="1" customHeight="1" outlineLevel="1">
      <c r="A62" s="168"/>
      <c r="B62" s="168" t="s">
        <v>463</v>
      </c>
      <c r="C62" s="168" t="s">
        <v>461</v>
      </c>
      <c r="D62" s="168" t="str">
        <f t="shared" si="21"/>
        <v/>
      </c>
      <c r="E62" s="252" t="s">
        <v>464</v>
      </c>
      <c r="F62" s="246"/>
      <c r="G62" s="242"/>
      <c r="H62" s="243"/>
      <c r="I62" s="243"/>
      <c r="J62" s="243"/>
      <c r="K62" s="243"/>
      <c r="L62" s="243"/>
      <c r="M62" s="244"/>
      <c r="N62" s="247">
        <f t="shared" si="22"/>
        <v>0</v>
      </c>
      <c r="O62" s="125"/>
      <c r="P62" s="173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spans="1:26" ht="14.25" hidden="1" customHeight="1" outlineLevel="1">
      <c r="A63" s="168"/>
      <c r="B63" s="168" t="s">
        <v>465</v>
      </c>
      <c r="C63" s="168" t="str">
        <f t="shared" ref="C63:C67" si="23">MID(E63,4,LEN(E63))</f>
        <v xml:space="preserve"> Karawang</v>
      </c>
      <c r="D63" s="168" t="str">
        <f t="shared" si="21"/>
        <v/>
      </c>
      <c r="E63" s="252" t="s">
        <v>468</v>
      </c>
      <c r="F63" s="246"/>
      <c r="G63" s="242"/>
      <c r="H63" s="243"/>
      <c r="I63" s="243"/>
      <c r="J63" s="243"/>
      <c r="K63" s="243"/>
      <c r="L63" s="243"/>
      <c r="M63" s="244"/>
      <c r="N63" s="247">
        <f t="shared" si="22"/>
        <v>0</v>
      </c>
      <c r="O63" s="125"/>
      <c r="P63" s="173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spans="1:26" ht="14.25" hidden="1" customHeight="1" outlineLevel="1">
      <c r="A64" s="168"/>
      <c r="B64" s="168" t="s">
        <v>469</v>
      </c>
      <c r="C64" s="168" t="str">
        <f t="shared" si="23"/>
        <v xml:space="preserve"> Serang</v>
      </c>
      <c r="D64" s="168" t="str">
        <f t="shared" si="21"/>
        <v/>
      </c>
      <c r="E64" s="252" t="s">
        <v>471</v>
      </c>
      <c r="F64" s="246"/>
      <c r="G64" s="258"/>
      <c r="H64" s="256"/>
      <c r="I64" s="259"/>
      <c r="J64" s="256"/>
      <c r="K64" s="243"/>
      <c r="L64" s="250"/>
      <c r="M64" s="244"/>
      <c r="N64" s="247">
        <f t="shared" si="22"/>
        <v>0</v>
      </c>
      <c r="O64" s="125"/>
      <c r="P64" s="173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4.25" hidden="1" customHeight="1" outlineLevel="1">
      <c r="A65" s="168"/>
      <c r="B65" s="168" t="s">
        <v>478</v>
      </c>
      <c r="C65" s="168" t="str">
        <f t="shared" si="23"/>
        <v xml:space="preserve"> Labuan (rangkas)</v>
      </c>
      <c r="D65" s="168" t="str">
        <f t="shared" si="21"/>
        <v/>
      </c>
      <c r="E65" s="252" t="s">
        <v>2789</v>
      </c>
      <c r="F65" s="246"/>
      <c r="G65" s="242"/>
      <c r="H65" s="259"/>
      <c r="I65" s="243"/>
      <c r="J65" s="243"/>
      <c r="K65" s="259"/>
      <c r="L65" s="243"/>
      <c r="M65" s="244"/>
      <c r="N65" s="247">
        <f t="shared" si="22"/>
        <v>0</v>
      </c>
      <c r="O65" s="125"/>
      <c r="P65" s="173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spans="1:26" ht="14.25" hidden="1" customHeight="1" outlineLevel="1">
      <c r="A66" s="168"/>
      <c r="B66" s="168" t="s">
        <v>472</v>
      </c>
      <c r="C66" s="168" t="str">
        <f t="shared" si="23"/>
        <v xml:space="preserve"> Pondok Pinang</v>
      </c>
      <c r="D66" s="168" t="str">
        <f t="shared" si="21"/>
        <v/>
      </c>
      <c r="E66" s="253" t="s">
        <v>474</v>
      </c>
      <c r="F66" s="246"/>
      <c r="G66" s="242"/>
      <c r="H66" s="243"/>
      <c r="I66" s="243"/>
      <c r="J66" s="243"/>
      <c r="K66" s="243"/>
      <c r="L66" s="243"/>
      <c r="M66" s="244"/>
      <c r="N66" s="247">
        <f t="shared" si="22"/>
        <v>0</v>
      </c>
      <c r="O66" s="125"/>
      <c r="P66" s="173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spans="1:26" ht="14.25" hidden="1" customHeight="1" outlineLevel="1">
      <c r="A67" s="168"/>
      <c r="B67" s="168" t="s">
        <v>475</v>
      </c>
      <c r="C67" s="168" t="str">
        <f t="shared" si="23"/>
        <v xml:space="preserve"> Bekasi</v>
      </c>
      <c r="D67" s="168" t="str">
        <f t="shared" si="21"/>
        <v/>
      </c>
      <c r="E67" s="253" t="s">
        <v>477</v>
      </c>
      <c r="F67" s="246"/>
      <c r="G67" s="242"/>
      <c r="H67" s="243"/>
      <c r="I67" s="243"/>
      <c r="J67" s="243"/>
      <c r="K67" s="243"/>
      <c r="L67" s="243"/>
      <c r="M67" s="244"/>
      <c r="N67" s="247">
        <f t="shared" si="22"/>
        <v>0</v>
      </c>
      <c r="O67" s="125"/>
      <c r="P67" s="173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spans="1:26" ht="15.75" customHeight="1" collapsed="1">
      <c r="A68" s="162" t="s">
        <v>453</v>
      </c>
      <c r="B68" s="162"/>
      <c r="C68" s="162"/>
      <c r="D68" s="162">
        <v>1</v>
      </c>
      <c r="E68" s="162" t="s">
        <v>481</v>
      </c>
      <c r="F68" s="251">
        <f t="shared" ref="F68:N68" si="24">SUM(F59:F67)</f>
        <v>0</v>
      </c>
      <c r="G68" s="251">
        <f t="shared" si="24"/>
        <v>0</v>
      </c>
      <c r="H68" s="251">
        <f t="shared" si="24"/>
        <v>0</v>
      </c>
      <c r="I68" s="251">
        <f t="shared" si="24"/>
        <v>0</v>
      </c>
      <c r="J68" s="251">
        <f t="shared" si="24"/>
        <v>0</v>
      </c>
      <c r="K68" s="251">
        <f t="shared" si="24"/>
        <v>0</v>
      </c>
      <c r="L68" s="251">
        <f t="shared" si="24"/>
        <v>0</v>
      </c>
      <c r="M68" s="251">
        <f t="shared" si="24"/>
        <v>0</v>
      </c>
      <c r="N68" s="251">
        <f t="shared" si="24"/>
        <v>0</v>
      </c>
      <c r="O68" s="125"/>
      <c r="P68" s="173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spans="1:26" ht="14.25" hidden="1" customHeight="1" outlineLevel="1">
      <c r="A69" s="168"/>
      <c r="B69" s="168" t="s">
        <v>486</v>
      </c>
      <c r="C69" s="168" t="str">
        <f>MID(E69,4,LEN(E69))</f>
        <v xml:space="preserve"> Bandung</v>
      </c>
      <c r="D69" s="168" t="str">
        <f t="shared" ref="D69:D79" si="25">IFERROR(VLOOKUP($E$4&amp;C69,#REF!,2,FALSE),"")</f>
        <v/>
      </c>
      <c r="E69" s="252" t="s">
        <v>487</v>
      </c>
      <c r="F69" s="246"/>
      <c r="G69" s="257"/>
      <c r="H69" s="259"/>
      <c r="I69" s="250"/>
      <c r="J69" s="250"/>
      <c r="K69" s="259"/>
      <c r="L69" s="256"/>
      <c r="M69" s="260"/>
      <c r="N69" s="247">
        <f t="shared" ref="N69:N79" si="26">SUM(F69:M69)</f>
        <v>0</v>
      </c>
      <c r="O69" s="125"/>
      <c r="P69" s="173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spans="1:26" ht="14.25" hidden="1" customHeight="1" outlineLevel="1">
      <c r="A70" s="168"/>
      <c r="B70" s="168" t="s">
        <v>488</v>
      </c>
      <c r="C70" s="168" t="s">
        <v>489</v>
      </c>
      <c r="D70" s="168" t="str">
        <f t="shared" si="25"/>
        <v/>
      </c>
      <c r="E70" s="253" t="s">
        <v>490</v>
      </c>
      <c r="F70" s="246"/>
      <c r="G70" s="242"/>
      <c r="H70" s="243"/>
      <c r="I70" s="243"/>
      <c r="J70" s="243"/>
      <c r="K70" s="243"/>
      <c r="L70" s="243"/>
      <c r="M70" s="244"/>
      <c r="N70" s="247">
        <f t="shared" si="26"/>
        <v>0</v>
      </c>
      <c r="O70" s="125"/>
      <c r="P70" s="173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spans="1:26" ht="14.25" hidden="1" customHeight="1" outlineLevel="1">
      <c r="A71" s="168"/>
      <c r="B71" s="168" t="s">
        <v>491</v>
      </c>
      <c r="C71" s="168" t="str">
        <f>MID(E71,4,LEN(E71))</f>
        <v xml:space="preserve"> Sumedang</v>
      </c>
      <c r="D71" s="168" t="str">
        <f t="shared" si="25"/>
        <v/>
      </c>
      <c r="E71" s="252" t="s">
        <v>492</v>
      </c>
      <c r="F71" s="246"/>
      <c r="G71" s="242"/>
      <c r="H71" s="243"/>
      <c r="I71" s="259"/>
      <c r="J71" s="243"/>
      <c r="K71" s="243"/>
      <c r="L71" s="243"/>
      <c r="M71" s="260"/>
      <c r="N71" s="247">
        <f t="shared" si="26"/>
        <v>0</v>
      </c>
      <c r="O71" s="125"/>
      <c r="P71" s="173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spans="1:26" ht="14.25" hidden="1" customHeight="1" outlineLevel="1">
      <c r="A72" s="168"/>
      <c r="B72" s="168" t="s">
        <v>493</v>
      </c>
      <c r="C72" s="168" t="s">
        <v>494</v>
      </c>
      <c r="D72" s="168" t="str">
        <f t="shared" si="25"/>
        <v/>
      </c>
      <c r="E72" s="252" t="s">
        <v>495</v>
      </c>
      <c r="F72" s="246"/>
      <c r="G72" s="242"/>
      <c r="H72" s="259"/>
      <c r="I72" s="243"/>
      <c r="J72" s="243"/>
      <c r="K72" s="243"/>
      <c r="L72" s="259"/>
      <c r="M72" s="244"/>
      <c r="N72" s="247">
        <f t="shared" si="26"/>
        <v>0</v>
      </c>
      <c r="O72" s="125"/>
      <c r="P72" s="173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spans="1:26" ht="14.25" hidden="1" customHeight="1" outlineLevel="1">
      <c r="A73" s="168"/>
      <c r="B73" s="168" t="s">
        <v>496</v>
      </c>
      <c r="C73" s="168" t="str">
        <f t="shared" ref="C73:C79" si="27">MID(E73,4,LEN(E73))</f>
        <v xml:space="preserve"> Padalarang</v>
      </c>
      <c r="D73" s="168" t="str">
        <f t="shared" si="25"/>
        <v/>
      </c>
      <c r="E73" s="253" t="s">
        <v>497</v>
      </c>
      <c r="F73" s="246"/>
      <c r="G73" s="242"/>
      <c r="H73" s="243"/>
      <c r="I73" s="243"/>
      <c r="J73" s="243"/>
      <c r="K73" s="243"/>
      <c r="L73" s="243"/>
      <c r="M73" s="244"/>
      <c r="N73" s="247">
        <f t="shared" si="26"/>
        <v>0</v>
      </c>
      <c r="O73" s="125"/>
      <c r="P73" s="173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spans="1:26" ht="14.25" hidden="1" customHeight="1" outlineLevel="1">
      <c r="A74" s="168"/>
      <c r="B74" s="168" t="s">
        <v>498</v>
      </c>
      <c r="C74" s="168" t="str">
        <f t="shared" si="27"/>
        <v xml:space="preserve"> Sukabumi</v>
      </c>
      <c r="D74" s="168" t="str">
        <f t="shared" si="25"/>
        <v/>
      </c>
      <c r="E74" s="252" t="s">
        <v>500</v>
      </c>
      <c r="F74" s="246"/>
      <c r="G74" s="242"/>
      <c r="H74" s="250"/>
      <c r="I74" s="243"/>
      <c r="J74" s="261"/>
      <c r="K74" s="262"/>
      <c r="L74" s="263"/>
      <c r="M74" s="264"/>
      <c r="N74" s="247">
        <f t="shared" si="26"/>
        <v>0</v>
      </c>
      <c r="O74" s="125"/>
      <c r="P74" s="173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spans="1:26" ht="14.25" hidden="1" customHeight="1" outlineLevel="1">
      <c r="A75" s="168"/>
      <c r="B75" s="168" t="s">
        <v>501</v>
      </c>
      <c r="C75" s="168" t="str">
        <f t="shared" si="27"/>
        <v xml:space="preserve"> Cianjur</v>
      </c>
      <c r="D75" s="168" t="str">
        <f t="shared" si="25"/>
        <v/>
      </c>
      <c r="E75" s="252" t="s">
        <v>502</v>
      </c>
      <c r="F75" s="246"/>
      <c r="G75" s="242"/>
      <c r="H75" s="250"/>
      <c r="I75" s="243"/>
      <c r="J75" s="261"/>
      <c r="K75" s="243"/>
      <c r="L75" s="263"/>
      <c r="M75" s="264"/>
      <c r="N75" s="247">
        <f t="shared" si="26"/>
        <v>0</v>
      </c>
      <c r="O75" s="125"/>
      <c r="P75" s="173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spans="1:26" ht="14.25" hidden="1" customHeight="1" outlineLevel="1">
      <c r="A76" s="168"/>
      <c r="B76" s="168" t="s">
        <v>503</v>
      </c>
      <c r="C76" s="168" t="str">
        <f t="shared" si="27"/>
        <v xml:space="preserve"> Tasikmalaya</v>
      </c>
      <c r="D76" s="168" t="str">
        <f t="shared" si="25"/>
        <v/>
      </c>
      <c r="E76" s="252" t="s">
        <v>504</v>
      </c>
      <c r="F76" s="246"/>
      <c r="G76" s="242"/>
      <c r="H76" s="250"/>
      <c r="I76" s="243"/>
      <c r="J76" s="243"/>
      <c r="K76" s="261"/>
      <c r="L76" s="263"/>
      <c r="M76" s="244"/>
      <c r="N76" s="247">
        <f t="shared" si="26"/>
        <v>0</v>
      </c>
      <c r="O76" s="125"/>
      <c r="P76" s="173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spans="1:26" ht="14.25" hidden="1" customHeight="1" outlineLevel="1">
      <c r="A77" s="168"/>
      <c r="B77" s="168" t="s">
        <v>505</v>
      </c>
      <c r="C77" s="168" t="str">
        <f t="shared" si="27"/>
        <v xml:space="preserve"> Garut</v>
      </c>
      <c r="D77" s="168" t="str">
        <f t="shared" si="25"/>
        <v/>
      </c>
      <c r="E77" s="252" t="s">
        <v>506</v>
      </c>
      <c r="F77" s="246"/>
      <c r="G77" s="242"/>
      <c r="H77" s="250"/>
      <c r="I77" s="243"/>
      <c r="J77" s="243"/>
      <c r="K77" s="261"/>
      <c r="L77" s="263"/>
      <c r="M77" s="244"/>
      <c r="N77" s="247">
        <f t="shared" si="26"/>
        <v>0</v>
      </c>
      <c r="O77" s="125"/>
      <c r="P77" s="173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spans="1:26" ht="14.25" hidden="1" customHeight="1" outlineLevel="1">
      <c r="A78" s="168"/>
      <c r="B78" s="168" t="s">
        <v>507</v>
      </c>
      <c r="C78" s="168" t="str">
        <f t="shared" si="27"/>
        <v xml:space="preserve"> Cirebon</v>
      </c>
      <c r="D78" s="168" t="str">
        <f t="shared" si="25"/>
        <v/>
      </c>
      <c r="E78" s="252" t="s">
        <v>508</v>
      </c>
      <c r="F78" s="246"/>
      <c r="G78" s="242"/>
      <c r="H78" s="250"/>
      <c r="I78" s="243"/>
      <c r="J78" s="263"/>
      <c r="K78" s="261"/>
      <c r="L78" s="263"/>
      <c r="M78" s="244"/>
      <c r="N78" s="247">
        <f t="shared" si="26"/>
        <v>0</v>
      </c>
      <c r="O78" s="125"/>
      <c r="P78" s="173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spans="1:26" ht="14.25" hidden="1" customHeight="1" outlineLevel="1">
      <c r="A79" s="168"/>
      <c r="B79" s="168" t="s">
        <v>509</v>
      </c>
      <c r="C79" s="168" t="str">
        <f t="shared" si="27"/>
        <v xml:space="preserve"> Indramayu</v>
      </c>
      <c r="D79" s="168" t="str">
        <f t="shared" si="25"/>
        <v/>
      </c>
      <c r="E79" s="252" t="s">
        <v>510</v>
      </c>
      <c r="F79" s="246"/>
      <c r="G79" s="242"/>
      <c r="H79" s="261"/>
      <c r="I79" s="243"/>
      <c r="J79" s="261"/>
      <c r="K79" s="243"/>
      <c r="L79" s="243"/>
      <c r="M79" s="264"/>
      <c r="N79" s="247">
        <f t="shared" si="26"/>
        <v>0</v>
      </c>
      <c r="O79" s="125"/>
      <c r="P79" s="173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spans="1:26" ht="15.75" customHeight="1" collapsed="1">
      <c r="A80" s="162" t="s">
        <v>453</v>
      </c>
      <c r="B80" s="162"/>
      <c r="C80" s="162"/>
      <c r="D80" s="162">
        <v>1</v>
      </c>
      <c r="E80" s="162" t="s">
        <v>511</v>
      </c>
      <c r="F80" s="251">
        <f t="shared" ref="F80:N80" si="28">SUM(F69:F79)</f>
        <v>0</v>
      </c>
      <c r="G80" s="251">
        <f t="shared" si="28"/>
        <v>0</v>
      </c>
      <c r="H80" s="251">
        <f t="shared" si="28"/>
        <v>0</v>
      </c>
      <c r="I80" s="251">
        <f t="shared" si="28"/>
        <v>0</v>
      </c>
      <c r="J80" s="251">
        <f t="shared" si="28"/>
        <v>0</v>
      </c>
      <c r="K80" s="251">
        <f t="shared" si="28"/>
        <v>0</v>
      </c>
      <c r="L80" s="251">
        <f t="shared" si="28"/>
        <v>0</v>
      </c>
      <c r="M80" s="251">
        <f t="shared" si="28"/>
        <v>0</v>
      </c>
      <c r="N80" s="251">
        <f t="shared" si="28"/>
        <v>0</v>
      </c>
      <c r="O80" s="125"/>
      <c r="P80" s="173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spans="1:26" ht="14.25" hidden="1" customHeight="1" outlineLevel="1">
      <c r="A81" s="168"/>
      <c r="B81" s="168" t="s">
        <v>512</v>
      </c>
      <c r="C81" s="168" t="str">
        <f t="shared" ref="C81:C87" si="29">MID(E81,4,LEN(E81))</f>
        <v xml:space="preserve"> Purwokerto</v>
      </c>
      <c r="D81" s="168" t="str">
        <f t="shared" ref="D81:D87" si="30">IFERROR(VLOOKUP($E$4&amp;C81,#REF!,2,FALSE),"")</f>
        <v/>
      </c>
      <c r="E81" s="252" t="s">
        <v>513</v>
      </c>
      <c r="F81" s="246"/>
      <c r="G81" s="242"/>
      <c r="H81" s="243"/>
      <c r="I81" s="250"/>
      <c r="J81" s="243"/>
      <c r="K81" s="243"/>
      <c r="L81" s="256"/>
      <c r="M81" s="255"/>
      <c r="N81" s="247">
        <f t="shared" ref="N81:N87" si="31">SUM(F81:M81)</f>
        <v>0</v>
      </c>
      <c r="O81" s="125"/>
      <c r="P81" s="173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spans="1:26" ht="14.25" hidden="1" customHeight="1" outlineLevel="1">
      <c r="A82" s="168"/>
      <c r="B82" s="168" t="s">
        <v>514</v>
      </c>
      <c r="C82" s="168" t="str">
        <f t="shared" si="29"/>
        <v xml:space="preserve"> Cilacap</v>
      </c>
      <c r="D82" s="168" t="str">
        <f t="shared" si="30"/>
        <v/>
      </c>
      <c r="E82" s="252" t="s">
        <v>515</v>
      </c>
      <c r="F82" s="246"/>
      <c r="G82" s="242"/>
      <c r="H82" s="243"/>
      <c r="I82" s="249"/>
      <c r="J82" s="256"/>
      <c r="K82" s="249"/>
      <c r="L82" s="250"/>
      <c r="M82" s="244"/>
      <c r="N82" s="247">
        <f t="shared" si="31"/>
        <v>0</v>
      </c>
      <c r="O82" s="125"/>
      <c r="P82" s="173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spans="1:26" ht="14.25" hidden="1" customHeight="1" outlineLevel="1">
      <c r="A83" s="168"/>
      <c r="B83" s="168" t="s">
        <v>516</v>
      </c>
      <c r="C83" s="168" t="str">
        <f t="shared" si="29"/>
        <v xml:space="preserve"> Yogyakarta</v>
      </c>
      <c r="D83" s="168" t="str">
        <f t="shared" si="30"/>
        <v/>
      </c>
      <c r="E83" s="252" t="s">
        <v>518</v>
      </c>
      <c r="F83" s="246"/>
      <c r="G83" s="242"/>
      <c r="H83" s="249"/>
      <c r="I83" s="256"/>
      <c r="J83" s="249"/>
      <c r="K83" s="243"/>
      <c r="L83" s="256"/>
      <c r="M83" s="255"/>
      <c r="N83" s="247">
        <f t="shared" si="31"/>
        <v>0</v>
      </c>
      <c r="O83" s="125"/>
      <c r="P83" s="173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spans="1:26" ht="14.25" hidden="1" customHeight="1" outlineLevel="1">
      <c r="A84" s="168"/>
      <c r="B84" s="168" t="s">
        <v>519</v>
      </c>
      <c r="C84" s="168" t="str">
        <f t="shared" si="29"/>
        <v xml:space="preserve"> Magelang</v>
      </c>
      <c r="D84" s="168" t="str">
        <f t="shared" si="30"/>
        <v/>
      </c>
      <c r="E84" s="252" t="s">
        <v>520</v>
      </c>
      <c r="F84" s="246"/>
      <c r="G84" s="242"/>
      <c r="H84" s="249"/>
      <c r="I84" s="256"/>
      <c r="J84" s="249"/>
      <c r="K84" s="243"/>
      <c r="L84" s="243"/>
      <c r="M84" s="265"/>
      <c r="N84" s="247">
        <f t="shared" si="31"/>
        <v>0</v>
      </c>
      <c r="O84" s="125"/>
      <c r="P84" s="173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spans="1:26" ht="14.25" hidden="1" customHeight="1" outlineLevel="1">
      <c r="A85" s="168"/>
      <c r="B85" s="168" t="s">
        <v>521</v>
      </c>
      <c r="C85" s="168" t="str">
        <f t="shared" si="29"/>
        <v xml:space="preserve"> Surakarta</v>
      </c>
      <c r="D85" s="168" t="str">
        <f t="shared" si="30"/>
        <v/>
      </c>
      <c r="E85" s="252" t="s">
        <v>522</v>
      </c>
      <c r="F85" s="246"/>
      <c r="G85" s="242"/>
      <c r="H85" s="249"/>
      <c r="I85" s="256"/>
      <c r="J85" s="249"/>
      <c r="K85" s="256"/>
      <c r="L85" s="243"/>
      <c r="M85" s="265"/>
      <c r="N85" s="247">
        <f t="shared" si="31"/>
        <v>0</v>
      </c>
      <c r="O85" s="125"/>
      <c r="P85" s="173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spans="1:26" ht="14.25" hidden="1" customHeight="1" outlineLevel="1">
      <c r="A86" s="168"/>
      <c r="B86" s="168" t="s">
        <v>523</v>
      </c>
      <c r="C86" s="168" t="str">
        <f t="shared" si="29"/>
        <v xml:space="preserve"> Salatiga</v>
      </c>
      <c r="D86" s="168" t="str">
        <f t="shared" si="30"/>
        <v/>
      </c>
      <c r="E86" s="253" t="s">
        <v>524</v>
      </c>
      <c r="F86" s="246"/>
      <c r="G86" s="242"/>
      <c r="H86" s="249"/>
      <c r="I86" s="256"/>
      <c r="J86" s="249"/>
      <c r="K86" s="243"/>
      <c r="L86" s="243"/>
      <c r="M86" s="265"/>
      <c r="N86" s="247">
        <f t="shared" si="31"/>
        <v>0</v>
      </c>
      <c r="O86" s="125"/>
      <c r="P86" s="173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spans="1:26" ht="14.25" hidden="1" customHeight="1" outlineLevel="1">
      <c r="A87" s="168"/>
      <c r="B87" s="168" t="s">
        <v>525</v>
      </c>
      <c r="C87" s="168" t="str">
        <f t="shared" si="29"/>
        <v xml:space="preserve"> Madiun</v>
      </c>
      <c r="D87" s="168" t="str">
        <f t="shared" si="30"/>
        <v/>
      </c>
      <c r="E87" s="252" t="s">
        <v>526</v>
      </c>
      <c r="F87" s="246"/>
      <c r="G87" s="242"/>
      <c r="H87" s="243"/>
      <c r="I87" s="256"/>
      <c r="J87" s="243"/>
      <c r="K87" s="256"/>
      <c r="L87" s="243"/>
      <c r="M87" s="266"/>
      <c r="N87" s="247">
        <f t="shared" si="31"/>
        <v>0</v>
      </c>
      <c r="O87" s="125"/>
      <c r="P87" s="173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6" ht="15.75" customHeight="1" collapsed="1">
      <c r="A88" s="162" t="s">
        <v>453</v>
      </c>
      <c r="B88" s="162"/>
      <c r="C88" s="162"/>
      <c r="D88" s="162">
        <v>1</v>
      </c>
      <c r="E88" s="162" t="s">
        <v>527</v>
      </c>
      <c r="F88" s="251">
        <f t="shared" ref="F88:N88" si="32">SUM(F81:F87)</f>
        <v>0</v>
      </c>
      <c r="G88" s="251">
        <f t="shared" si="32"/>
        <v>0</v>
      </c>
      <c r="H88" s="251">
        <f t="shared" si="32"/>
        <v>0</v>
      </c>
      <c r="I88" s="251">
        <f t="shared" si="32"/>
        <v>0</v>
      </c>
      <c r="J88" s="251">
        <f t="shared" si="32"/>
        <v>0</v>
      </c>
      <c r="K88" s="251">
        <f t="shared" si="32"/>
        <v>0</v>
      </c>
      <c r="L88" s="251">
        <f t="shared" si="32"/>
        <v>0</v>
      </c>
      <c r="M88" s="251">
        <f t="shared" si="32"/>
        <v>0</v>
      </c>
      <c r="N88" s="251">
        <f t="shared" si="32"/>
        <v>0</v>
      </c>
      <c r="O88" s="125"/>
      <c r="P88" s="173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spans="1:26" ht="14.25" hidden="1" customHeight="1" outlineLevel="1">
      <c r="A89" s="168"/>
      <c r="B89" s="168" t="s">
        <v>528</v>
      </c>
      <c r="C89" s="168" t="str">
        <f t="shared" ref="C89:C94" si="33">MID(E89,4,LEN(E89))</f>
        <v xml:space="preserve"> Semarang</v>
      </c>
      <c r="D89" s="168" t="str">
        <f t="shared" ref="D89:D99" si="34">IFERROR(VLOOKUP($E$4&amp;C89,#REF!,2,FALSE),"")</f>
        <v/>
      </c>
      <c r="E89" s="252" t="s">
        <v>529</v>
      </c>
      <c r="F89" s="246"/>
      <c r="G89" s="242"/>
      <c r="H89" s="249"/>
      <c r="I89" s="263"/>
      <c r="J89" s="256"/>
      <c r="K89" s="249"/>
      <c r="L89" s="243"/>
      <c r="M89" s="266"/>
      <c r="N89" s="247">
        <f t="shared" ref="N89:N94" si="35">SUM(F89:M89)</f>
        <v>0</v>
      </c>
      <c r="O89" s="125"/>
      <c r="P89" s="173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spans="1:26" ht="14.25" hidden="1" customHeight="1" outlineLevel="1">
      <c r="A90" s="168"/>
      <c r="B90" s="168" t="s">
        <v>530</v>
      </c>
      <c r="C90" s="168" t="str">
        <f t="shared" si="33"/>
        <v xml:space="preserve"> Pati</v>
      </c>
      <c r="D90" s="168" t="str">
        <f t="shared" si="34"/>
        <v/>
      </c>
      <c r="E90" s="252" t="s">
        <v>531</v>
      </c>
      <c r="F90" s="246"/>
      <c r="G90" s="242"/>
      <c r="H90" s="243"/>
      <c r="I90" s="250"/>
      <c r="J90" s="243"/>
      <c r="K90" s="243"/>
      <c r="L90" s="249"/>
      <c r="M90" s="266"/>
      <c r="N90" s="247">
        <f t="shared" si="35"/>
        <v>0</v>
      </c>
      <c r="O90" s="125"/>
      <c r="P90" s="173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spans="1:26" ht="14.25" hidden="1" customHeight="1" outlineLevel="1">
      <c r="A91" s="168"/>
      <c r="B91" s="168" t="s">
        <v>532</v>
      </c>
      <c r="C91" s="168" t="str">
        <f t="shared" si="33"/>
        <v xml:space="preserve"> Tuban</v>
      </c>
      <c r="D91" s="168" t="str">
        <f t="shared" si="34"/>
        <v/>
      </c>
      <c r="E91" s="252" t="s">
        <v>533</v>
      </c>
      <c r="F91" s="246"/>
      <c r="G91" s="242"/>
      <c r="H91" s="243"/>
      <c r="I91" s="250"/>
      <c r="J91" s="243"/>
      <c r="K91" s="243"/>
      <c r="L91" s="249"/>
      <c r="M91" s="266"/>
      <c r="N91" s="247">
        <f t="shared" si="35"/>
        <v>0</v>
      </c>
      <c r="O91" s="125"/>
      <c r="P91" s="173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spans="1:26" ht="14.25" hidden="1" customHeight="1" outlineLevel="1">
      <c r="A92" s="168"/>
      <c r="B92" s="168" t="s">
        <v>534</v>
      </c>
      <c r="C92" s="168" t="str">
        <f t="shared" si="33"/>
        <v xml:space="preserve"> Kediri</v>
      </c>
      <c r="D92" s="168" t="str">
        <f t="shared" si="34"/>
        <v/>
      </c>
      <c r="E92" s="252" t="s">
        <v>535</v>
      </c>
      <c r="F92" s="246"/>
      <c r="G92" s="242"/>
      <c r="H92" s="256"/>
      <c r="I92" s="267"/>
      <c r="J92" s="256"/>
      <c r="K92" s="243"/>
      <c r="L92" s="243"/>
      <c r="M92" s="266"/>
      <c r="N92" s="247">
        <f t="shared" si="35"/>
        <v>0</v>
      </c>
      <c r="O92" s="125"/>
      <c r="P92" s="173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spans="1:26" ht="14.25" hidden="1" customHeight="1" outlineLevel="1">
      <c r="A93" s="168"/>
      <c r="B93" s="168" t="s">
        <v>536</v>
      </c>
      <c r="C93" s="168" t="str">
        <f t="shared" si="33"/>
        <v xml:space="preserve"> Tegal</v>
      </c>
      <c r="D93" s="168" t="str">
        <f t="shared" si="34"/>
        <v/>
      </c>
      <c r="E93" s="252" t="s">
        <v>537</v>
      </c>
      <c r="F93" s="246"/>
      <c r="G93" s="242"/>
      <c r="H93" s="256"/>
      <c r="I93" s="254"/>
      <c r="J93" s="256"/>
      <c r="K93" s="243"/>
      <c r="L93" s="268"/>
      <c r="M93" s="244"/>
      <c r="N93" s="247">
        <f t="shared" si="35"/>
        <v>0</v>
      </c>
      <c r="O93" s="125"/>
      <c r="P93" s="173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spans="1:26" ht="14.25" hidden="1" customHeight="1" outlineLevel="1">
      <c r="A94" s="168"/>
      <c r="B94" s="168" t="s">
        <v>538</v>
      </c>
      <c r="C94" s="168" t="str">
        <f t="shared" si="33"/>
        <v xml:space="preserve"> Pekalongan</v>
      </c>
      <c r="D94" s="168" t="str">
        <f t="shared" si="34"/>
        <v/>
      </c>
      <c r="E94" s="252" t="s">
        <v>539</v>
      </c>
      <c r="F94" s="246"/>
      <c r="G94" s="242"/>
      <c r="H94" s="256"/>
      <c r="I94" s="254"/>
      <c r="J94" s="256"/>
      <c r="K94" s="243"/>
      <c r="L94" s="256"/>
      <c r="M94" s="269"/>
      <c r="N94" s="247">
        <f t="shared" si="35"/>
        <v>0</v>
      </c>
      <c r="O94" s="125"/>
      <c r="P94" s="173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spans="1:26" ht="15.75" customHeight="1" collapsed="1">
      <c r="A95" s="162" t="s">
        <v>453</v>
      </c>
      <c r="B95" s="162"/>
      <c r="C95" s="162"/>
      <c r="D95" s="162" t="str">
        <f t="shared" si="34"/>
        <v/>
      </c>
      <c r="E95" s="162" t="s">
        <v>540</v>
      </c>
      <c r="F95" s="251">
        <f t="shared" ref="F95:N95" si="36">SUM(F89:F94)</f>
        <v>0</v>
      </c>
      <c r="G95" s="251">
        <f t="shared" si="36"/>
        <v>0</v>
      </c>
      <c r="H95" s="251">
        <f t="shared" si="36"/>
        <v>0</v>
      </c>
      <c r="I95" s="251">
        <f t="shared" si="36"/>
        <v>0</v>
      </c>
      <c r="J95" s="251">
        <f t="shared" si="36"/>
        <v>0</v>
      </c>
      <c r="K95" s="251">
        <f t="shared" si="36"/>
        <v>0</v>
      </c>
      <c r="L95" s="251">
        <f t="shared" si="36"/>
        <v>0</v>
      </c>
      <c r="M95" s="251">
        <f t="shared" si="36"/>
        <v>0</v>
      </c>
      <c r="N95" s="251">
        <f t="shared" si="36"/>
        <v>0</v>
      </c>
      <c r="O95" s="125"/>
      <c r="P95" s="173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spans="1:26" ht="14.25" hidden="1" customHeight="1" outlineLevel="1">
      <c r="A96" s="168"/>
      <c r="B96" s="168" t="s">
        <v>541</v>
      </c>
      <c r="C96" s="168" t="str">
        <f t="shared" ref="C96:C99" si="37">MID(E96,4,LEN(E96))</f>
        <v xml:space="preserve"> Surabaya</v>
      </c>
      <c r="D96" s="168" t="str">
        <f t="shared" si="34"/>
        <v/>
      </c>
      <c r="E96" s="252" t="s">
        <v>542</v>
      </c>
      <c r="F96" s="246"/>
      <c r="G96" s="242"/>
      <c r="H96" s="256"/>
      <c r="I96" s="256"/>
      <c r="J96" s="256"/>
      <c r="K96" s="256"/>
      <c r="L96" s="243"/>
      <c r="M96" s="266"/>
      <c r="N96" s="247">
        <f t="shared" ref="N96:N99" si="38">SUM(F96:M96)</f>
        <v>0</v>
      </c>
      <c r="O96" s="125"/>
      <c r="P96" s="173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spans="1:26" ht="14.25" hidden="1" customHeight="1" outlineLevel="1">
      <c r="A97" s="168"/>
      <c r="B97" s="168" t="s">
        <v>543</v>
      </c>
      <c r="C97" s="168" t="str">
        <f t="shared" si="37"/>
        <v xml:space="preserve"> Pamekasan</v>
      </c>
      <c r="D97" s="168" t="str">
        <f t="shared" si="34"/>
        <v/>
      </c>
      <c r="E97" s="252" t="s">
        <v>544</v>
      </c>
      <c r="F97" s="246"/>
      <c r="G97" s="242"/>
      <c r="H97" s="256"/>
      <c r="I97" s="243"/>
      <c r="J97" s="256"/>
      <c r="K97" s="256"/>
      <c r="L97" s="243"/>
      <c r="M97" s="266"/>
      <c r="N97" s="247">
        <f t="shared" si="38"/>
        <v>0</v>
      </c>
      <c r="O97" s="125"/>
      <c r="P97" s="173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spans="1:26" ht="14.25" hidden="1" customHeight="1" outlineLevel="1">
      <c r="A98" s="168"/>
      <c r="B98" s="168" t="s">
        <v>545</v>
      </c>
      <c r="C98" s="168" t="str">
        <f t="shared" si="37"/>
        <v xml:space="preserve"> Sidoarjo</v>
      </c>
      <c r="D98" s="168" t="str">
        <f t="shared" si="34"/>
        <v/>
      </c>
      <c r="E98" s="253" t="s">
        <v>546</v>
      </c>
      <c r="F98" s="246"/>
      <c r="G98" s="242"/>
      <c r="H98" s="256"/>
      <c r="I98" s="256"/>
      <c r="J98" s="256"/>
      <c r="K98" s="256"/>
      <c r="L98" s="243"/>
      <c r="M98" s="266"/>
      <c r="N98" s="247">
        <f t="shared" si="38"/>
        <v>0</v>
      </c>
      <c r="O98" s="125"/>
      <c r="P98" s="173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spans="1:26" ht="14.25" hidden="1" customHeight="1" outlineLevel="1">
      <c r="A99" s="168"/>
      <c r="B99" s="168" t="s">
        <v>547</v>
      </c>
      <c r="C99" s="168" t="str">
        <f t="shared" si="37"/>
        <v xml:space="preserve"> Malang</v>
      </c>
      <c r="D99" s="168" t="str">
        <f t="shared" si="34"/>
        <v/>
      </c>
      <c r="E99" s="252" t="s">
        <v>548</v>
      </c>
      <c r="F99" s="246"/>
      <c r="G99" s="242"/>
      <c r="H99" s="243"/>
      <c r="I99" s="243"/>
      <c r="J99" s="256"/>
      <c r="K99" s="243"/>
      <c r="L99" s="243"/>
      <c r="M99" s="266"/>
      <c r="N99" s="247">
        <f t="shared" si="38"/>
        <v>0</v>
      </c>
      <c r="O99" s="125"/>
      <c r="P99" s="173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spans="1:26" ht="14.25" hidden="1" customHeight="1" outlineLevel="1">
      <c r="A100" s="168"/>
      <c r="B100" s="168" t="s">
        <v>549</v>
      </c>
      <c r="C100" s="168" t="s">
        <v>550</v>
      </c>
      <c r="D100" s="168"/>
      <c r="E100" s="252" t="s">
        <v>551</v>
      </c>
      <c r="F100" s="246"/>
      <c r="G100" s="242"/>
      <c r="H100" s="243"/>
      <c r="I100" s="243"/>
      <c r="J100" s="243"/>
      <c r="K100" s="243"/>
      <c r="L100" s="243"/>
      <c r="M100" s="244"/>
      <c r="N100" s="247"/>
      <c r="O100" s="125"/>
      <c r="P100" s="173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spans="1:26" ht="14.25" hidden="1" customHeight="1" outlineLevel="1">
      <c r="A101" s="168"/>
      <c r="B101" s="168" t="s">
        <v>552</v>
      </c>
      <c r="C101" s="168" t="str">
        <f t="shared" ref="C101:C105" si="39">MID(E101,4,LEN(E101))</f>
        <v xml:space="preserve"> Mojokerto</v>
      </c>
      <c r="D101" s="168" t="str">
        <f t="shared" ref="D101:D105" si="40">IFERROR(VLOOKUP($E$4&amp;C101,#REF!,2,FALSE),"")</f>
        <v/>
      </c>
      <c r="E101" s="252" t="s">
        <v>553</v>
      </c>
      <c r="F101" s="246"/>
      <c r="G101" s="242"/>
      <c r="H101" s="243"/>
      <c r="I101" s="256"/>
      <c r="J101" s="256"/>
      <c r="K101" s="243"/>
      <c r="L101" s="243"/>
      <c r="M101" s="266"/>
      <c r="N101" s="247">
        <f t="shared" ref="N101:N105" si="41">SUM(F101:M101)</f>
        <v>0</v>
      </c>
      <c r="O101" s="125"/>
      <c r="P101" s="173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 ht="14.25" hidden="1" customHeight="1" outlineLevel="1">
      <c r="A102" s="168"/>
      <c r="B102" s="168" t="s">
        <v>554</v>
      </c>
      <c r="C102" s="168" t="str">
        <f t="shared" si="39"/>
        <v xml:space="preserve"> Jember</v>
      </c>
      <c r="D102" s="168" t="str">
        <f t="shared" si="40"/>
        <v/>
      </c>
      <c r="E102" s="252" t="s">
        <v>555</v>
      </c>
      <c r="F102" s="246"/>
      <c r="G102" s="242"/>
      <c r="H102" s="243"/>
      <c r="I102" s="256"/>
      <c r="J102" s="243"/>
      <c r="K102" s="243"/>
      <c r="L102" s="243"/>
      <c r="M102" s="266"/>
      <c r="N102" s="247">
        <f t="shared" si="41"/>
        <v>0</v>
      </c>
      <c r="O102" s="125"/>
      <c r="P102" s="173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 ht="14.25" hidden="1" customHeight="1" outlineLevel="1">
      <c r="A103" s="168"/>
      <c r="B103" s="168" t="s">
        <v>556</v>
      </c>
      <c r="C103" s="168" t="str">
        <f t="shared" si="39"/>
        <v xml:space="preserve"> Banyuwangi</v>
      </c>
      <c r="D103" s="168" t="str">
        <f t="shared" si="40"/>
        <v/>
      </c>
      <c r="E103" s="252" t="s">
        <v>557</v>
      </c>
      <c r="F103" s="246"/>
      <c r="G103" s="242"/>
      <c r="H103" s="243"/>
      <c r="I103" s="256"/>
      <c r="J103" s="243"/>
      <c r="K103" s="243"/>
      <c r="L103" s="243"/>
      <c r="M103" s="266"/>
      <c r="N103" s="247">
        <f t="shared" si="41"/>
        <v>0</v>
      </c>
      <c r="O103" s="125"/>
      <c r="P103" s="173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spans="1:26" ht="14.25" hidden="1" customHeight="1" outlineLevel="1">
      <c r="A104" s="168"/>
      <c r="B104" s="168" t="s">
        <v>558</v>
      </c>
      <c r="C104" s="168" t="str">
        <f t="shared" si="39"/>
        <v xml:space="preserve"> Probolinggo</v>
      </c>
      <c r="D104" s="168" t="str">
        <f t="shared" si="40"/>
        <v/>
      </c>
      <c r="E104" s="252" t="s">
        <v>559</v>
      </c>
      <c r="F104" s="246"/>
      <c r="G104" s="242"/>
      <c r="H104" s="243"/>
      <c r="I104" s="256"/>
      <c r="J104" s="243"/>
      <c r="K104" s="243"/>
      <c r="L104" s="243"/>
      <c r="M104" s="266"/>
      <c r="N104" s="247">
        <f t="shared" si="41"/>
        <v>0</v>
      </c>
      <c r="O104" s="125"/>
      <c r="P104" s="173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spans="1:26" ht="14.25" hidden="1" customHeight="1" outlineLevel="1">
      <c r="A105" s="168"/>
      <c r="B105" s="168" t="s">
        <v>560</v>
      </c>
      <c r="C105" s="168" t="str">
        <f t="shared" si="39"/>
        <v xml:space="preserve"> Gresik</v>
      </c>
      <c r="D105" s="168" t="str">
        <f t="shared" si="40"/>
        <v/>
      </c>
      <c r="E105" s="252" t="s">
        <v>561</v>
      </c>
      <c r="F105" s="246"/>
      <c r="G105" s="242"/>
      <c r="H105" s="243"/>
      <c r="I105" s="256"/>
      <c r="J105" s="243"/>
      <c r="K105" s="256"/>
      <c r="L105" s="243"/>
      <c r="M105" s="266"/>
      <c r="N105" s="247">
        <f t="shared" si="41"/>
        <v>0</v>
      </c>
      <c r="O105" s="125"/>
      <c r="P105" s="173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spans="1:26" ht="15.75" customHeight="1" collapsed="1">
      <c r="A106" s="162" t="s">
        <v>453</v>
      </c>
      <c r="B106" s="162"/>
      <c r="C106" s="162"/>
      <c r="D106" s="162">
        <v>1</v>
      </c>
      <c r="E106" s="162" t="s">
        <v>562</v>
      </c>
      <c r="F106" s="251">
        <f t="shared" ref="F106:N106" si="42">SUM(F96:F105)</f>
        <v>0</v>
      </c>
      <c r="G106" s="251">
        <f t="shared" si="42"/>
        <v>0</v>
      </c>
      <c r="H106" s="251">
        <f t="shared" si="42"/>
        <v>0</v>
      </c>
      <c r="I106" s="251">
        <f t="shared" si="42"/>
        <v>0</v>
      </c>
      <c r="J106" s="251">
        <f t="shared" si="42"/>
        <v>0</v>
      </c>
      <c r="K106" s="251">
        <f t="shared" si="42"/>
        <v>0</v>
      </c>
      <c r="L106" s="251">
        <f t="shared" si="42"/>
        <v>0</v>
      </c>
      <c r="M106" s="251">
        <f t="shared" si="42"/>
        <v>0</v>
      </c>
      <c r="N106" s="251">
        <f t="shared" si="42"/>
        <v>0</v>
      </c>
      <c r="O106" s="125"/>
      <c r="P106" s="173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spans="1:26" ht="14.25" customHeight="1" outlineLevel="1">
      <c r="A107" s="150"/>
      <c r="B107" s="193" t="s">
        <v>563</v>
      </c>
      <c r="C107" s="193" t="str">
        <f t="shared" ref="C107:C111" si="43">MID(E107,4,LEN(E107))</f>
        <v xml:space="preserve"> Denpasar</v>
      </c>
      <c r="D107" s="193" t="str">
        <f t="shared" ref="D107:D119" si="44">IFERROR(VLOOKUP($E$4&amp;C107,#REF!,2,FALSE),"")</f>
        <v/>
      </c>
      <c r="E107" s="199" t="s">
        <v>565</v>
      </c>
      <c r="F107" s="270"/>
      <c r="G107" s="242"/>
      <c r="H107" s="256"/>
      <c r="I107" s="249"/>
      <c r="J107" s="256"/>
      <c r="K107" s="243"/>
      <c r="L107" s="250"/>
      <c r="M107" s="244"/>
      <c r="N107" s="271">
        <f t="shared" ref="N107:N111" si="45">SUM(F107:M107)</f>
        <v>0</v>
      </c>
      <c r="O107" s="125"/>
      <c r="P107" s="173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spans="1:26" ht="14.25" customHeight="1" outlineLevel="1">
      <c r="A108" s="150"/>
      <c r="B108" s="193" t="s">
        <v>566</v>
      </c>
      <c r="C108" s="193" t="str">
        <f t="shared" si="43"/>
        <v xml:space="preserve"> Singaraja</v>
      </c>
      <c r="D108" s="193" t="str">
        <f t="shared" si="44"/>
        <v/>
      </c>
      <c r="E108" s="199" t="s">
        <v>567</v>
      </c>
      <c r="F108" s="270"/>
      <c r="G108" s="242"/>
      <c r="H108" s="243"/>
      <c r="I108" s="256"/>
      <c r="J108" s="243"/>
      <c r="K108" s="243"/>
      <c r="L108" s="243"/>
      <c r="M108" s="266"/>
      <c r="N108" s="271">
        <f t="shared" si="45"/>
        <v>0</v>
      </c>
      <c r="O108" s="125"/>
      <c r="P108" s="173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spans="1:26" ht="14.25" customHeight="1" outlineLevel="1">
      <c r="A109" s="150"/>
      <c r="B109" s="193" t="s">
        <v>568</v>
      </c>
      <c r="C109" s="193" t="str">
        <f t="shared" si="43"/>
        <v xml:space="preserve"> Mataram</v>
      </c>
      <c r="D109" s="193" t="str">
        <f t="shared" si="44"/>
        <v/>
      </c>
      <c r="E109" s="199" t="s">
        <v>569</v>
      </c>
      <c r="F109" s="270"/>
      <c r="G109" s="242"/>
      <c r="H109" s="256"/>
      <c r="I109" s="243"/>
      <c r="J109" s="256"/>
      <c r="K109" s="243"/>
      <c r="L109" s="256"/>
      <c r="M109" s="244"/>
      <c r="N109" s="271">
        <f t="shared" si="45"/>
        <v>0</v>
      </c>
      <c r="O109" s="125"/>
      <c r="P109" s="173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spans="1:26" ht="14.25" customHeight="1" outlineLevel="1">
      <c r="A110" s="150"/>
      <c r="B110" s="193" t="s">
        <v>570</v>
      </c>
      <c r="C110" s="193" t="str">
        <f t="shared" si="43"/>
        <v xml:space="preserve"> Ende</v>
      </c>
      <c r="D110" s="193" t="str">
        <f t="shared" si="44"/>
        <v/>
      </c>
      <c r="E110" s="199" t="s">
        <v>572</v>
      </c>
      <c r="F110" s="270"/>
      <c r="G110" s="242"/>
      <c r="H110" s="243"/>
      <c r="I110" s="256"/>
      <c r="J110" s="243"/>
      <c r="K110" s="243"/>
      <c r="L110" s="243"/>
      <c r="M110" s="244"/>
      <c r="N110" s="271">
        <f t="shared" si="45"/>
        <v>0</v>
      </c>
      <c r="O110" s="125"/>
      <c r="P110" s="173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spans="1:26" ht="14.25" customHeight="1" outlineLevel="1">
      <c r="A111" s="150"/>
      <c r="B111" s="193" t="s">
        <v>576</v>
      </c>
      <c r="C111" s="193" t="str">
        <f t="shared" si="43"/>
        <v xml:space="preserve"> Kupang</v>
      </c>
      <c r="D111" s="193" t="str">
        <f t="shared" si="44"/>
        <v/>
      </c>
      <c r="E111" s="199" t="s">
        <v>577</v>
      </c>
      <c r="F111" s="270">
        <v>150</v>
      </c>
      <c r="G111" s="272"/>
      <c r="H111" s="256"/>
      <c r="I111" s="256"/>
      <c r="J111" s="243"/>
      <c r="K111" s="243"/>
      <c r="L111" s="243"/>
      <c r="M111" s="244"/>
      <c r="N111" s="271">
        <f t="shared" si="45"/>
        <v>150</v>
      </c>
      <c r="O111" s="125"/>
      <c r="P111" s="173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spans="1:26" ht="15.75" customHeight="1">
      <c r="A112" s="162" t="s">
        <v>453</v>
      </c>
      <c r="B112" s="162"/>
      <c r="C112" s="162"/>
      <c r="D112" s="162" t="str">
        <f t="shared" si="44"/>
        <v/>
      </c>
      <c r="E112" s="162" t="s">
        <v>578</v>
      </c>
      <c r="F112" s="251">
        <f t="shared" ref="F112:N112" si="46">SUM(F107:F111)</f>
        <v>150</v>
      </c>
      <c r="G112" s="251">
        <f t="shared" si="46"/>
        <v>0</v>
      </c>
      <c r="H112" s="251">
        <f t="shared" si="46"/>
        <v>0</v>
      </c>
      <c r="I112" s="251">
        <f t="shared" si="46"/>
        <v>0</v>
      </c>
      <c r="J112" s="251">
        <f t="shared" si="46"/>
        <v>0</v>
      </c>
      <c r="K112" s="251">
        <f t="shared" si="46"/>
        <v>0</v>
      </c>
      <c r="L112" s="251">
        <f t="shared" si="46"/>
        <v>0</v>
      </c>
      <c r="M112" s="251">
        <f t="shared" si="46"/>
        <v>0</v>
      </c>
      <c r="N112" s="251">
        <f t="shared" si="46"/>
        <v>150</v>
      </c>
      <c r="O112" s="125"/>
      <c r="P112" s="173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spans="1:26" ht="14.25" hidden="1" customHeight="1" outlineLevel="1">
      <c r="A113" s="168" t="s">
        <v>579</v>
      </c>
      <c r="B113" s="193" t="s">
        <v>580</v>
      </c>
      <c r="C113" s="193" t="str">
        <f t="shared" ref="C113:C118" si="47">MID(E113,4,LEN(E113))</f>
        <v xml:space="preserve"> Banjarmasin</v>
      </c>
      <c r="D113" s="193" t="str">
        <f t="shared" si="44"/>
        <v/>
      </c>
      <c r="E113" s="199" t="s">
        <v>581</v>
      </c>
      <c r="F113" s="273"/>
      <c r="G113" s="242"/>
      <c r="H113" s="256"/>
      <c r="I113" s="256"/>
      <c r="J113" s="243"/>
      <c r="K113" s="243"/>
      <c r="L113" s="243"/>
      <c r="M113" s="244"/>
      <c r="N113" s="271">
        <f t="shared" ref="N113:N119" si="48">SUM(F113:M113)</f>
        <v>0</v>
      </c>
      <c r="O113" s="125"/>
      <c r="P113" s="173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spans="1:26" ht="14.25" hidden="1" customHeight="1" outlineLevel="1">
      <c r="A114" s="168"/>
      <c r="B114" s="193" t="s">
        <v>582</v>
      </c>
      <c r="C114" s="193" t="str">
        <f t="shared" si="47"/>
        <v xml:space="preserve"> Barabai</v>
      </c>
      <c r="D114" s="193" t="str">
        <f t="shared" si="44"/>
        <v/>
      </c>
      <c r="E114" s="199" t="s">
        <v>583</v>
      </c>
      <c r="F114" s="270"/>
      <c r="G114" s="242"/>
      <c r="H114" s="243"/>
      <c r="I114" s="256"/>
      <c r="J114" s="243"/>
      <c r="K114" s="243"/>
      <c r="L114" s="243"/>
      <c r="M114" s="244"/>
      <c r="N114" s="271">
        <f t="shared" si="48"/>
        <v>0</v>
      </c>
      <c r="O114" s="125"/>
      <c r="P114" s="173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spans="1:26" ht="14.25" hidden="1" customHeight="1" outlineLevel="1">
      <c r="A115" s="196"/>
      <c r="B115" s="193" t="s">
        <v>584</v>
      </c>
      <c r="C115" s="193" t="str">
        <f t="shared" si="47"/>
        <v xml:space="preserve"> Samarinda</v>
      </c>
      <c r="D115" s="193" t="str">
        <f t="shared" si="44"/>
        <v/>
      </c>
      <c r="E115" s="274" t="s">
        <v>586</v>
      </c>
      <c r="F115" s="270"/>
      <c r="G115" s="242"/>
      <c r="H115" s="256"/>
      <c r="I115" s="243"/>
      <c r="J115" s="249"/>
      <c r="K115" s="243"/>
      <c r="L115" s="243"/>
      <c r="M115" s="244"/>
      <c r="N115" s="271">
        <f t="shared" si="48"/>
        <v>0</v>
      </c>
      <c r="O115" s="125"/>
      <c r="P115" s="173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spans="1:26" ht="14.25" hidden="1" customHeight="1" outlineLevel="1">
      <c r="A116" s="196"/>
      <c r="B116" s="193" t="s">
        <v>587</v>
      </c>
      <c r="C116" s="193" t="str">
        <f t="shared" si="47"/>
        <v xml:space="preserve"> Berau</v>
      </c>
      <c r="D116" s="193" t="str">
        <f t="shared" si="44"/>
        <v/>
      </c>
      <c r="E116" s="274" t="s">
        <v>588</v>
      </c>
      <c r="F116" s="270"/>
      <c r="G116" s="242"/>
      <c r="H116" s="243"/>
      <c r="I116" s="243"/>
      <c r="J116" s="243"/>
      <c r="K116" s="243"/>
      <c r="L116" s="243"/>
      <c r="M116" s="244"/>
      <c r="N116" s="271">
        <f t="shared" si="48"/>
        <v>0</v>
      </c>
      <c r="O116" s="125"/>
      <c r="P116" s="173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spans="1:26" ht="14.25" hidden="1" customHeight="1" outlineLevel="1">
      <c r="A117" s="196"/>
      <c r="B117" s="193" t="s">
        <v>589</v>
      </c>
      <c r="C117" s="193" t="str">
        <f t="shared" si="47"/>
        <v xml:space="preserve"> Sengatta</v>
      </c>
      <c r="D117" s="193" t="str">
        <f t="shared" si="44"/>
        <v/>
      </c>
      <c r="E117" s="274" t="s">
        <v>590</v>
      </c>
      <c r="F117" s="270"/>
      <c r="G117" s="242"/>
      <c r="H117" s="243"/>
      <c r="I117" s="243"/>
      <c r="J117" s="243"/>
      <c r="K117" s="243"/>
      <c r="L117" s="243"/>
      <c r="M117" s="244"/>
      <c r="N117" s="271">
        <f t="shared" si="48"/>
        <v>0</v>
      </c>
      <c r="O117" s="125"/>
      <c r="P117" s="173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spans="1:26" ht="14.25" hidden="1" customHeight="1" outlineLevel="1">
      <c r="A118" s="168"/>
      <c r="B118" s="193" t="s">
        <v>591</v>
      </c>
      <c r="C118" s="193" t="str">
        <f t="shared" si="47"/>
        <v xml:space="preserve"> Balikpapan</v>
      </c>
      <c r="D118" s="193" t="str">
        <f t="shared" si="44"/>
        <v/>
      </c>
      <c r="E118" s="199" t="s">
        <v>593</v>
      </c>
      <c r="F118" s="273"/>
      <c r="G118" s="242"/>
      <c r="H118" s="256"/>
      <c r="I118" s="243"/>
      <c r="J118" s="250"/>
      <c r="K118" s="243"/>
      <c r="L118" s="243"/>
      <c r="M118" s="244"/>
      <c r="N118" s="271">
        <f t="shared" si="48"/>
        <v>0</v>
      </c>
      <c r="O118" s="125"/>
      <c r="P118" s="173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spans="1:26" ht="14.25" hidden="1" customHeight="1" outlineLevel="1">
      <c r="A119" s="196"/>
      <c r="B119" s="193" t="s">
        <v>594</v>
      </c>
      <c r="C119" s="193" t="s">
        <v>595</v>
      </c>
      <c r="D119" s="193" t="str">
        <f t="shared" si="44"/>
        <v/>
      </c>
      <c r="E119" s="199" t="s">
        <v>596</v>
      </c>
      <c r="F119" s="273"/>
      <c r="G119" s="242"/>
      <c r="H119" s="256"/>
      <c r="I119" s="243"/>
      <c r="J119" s="249"/>
      <c r="K119" s="243"/>
      <c r="L119" s="243"/>
      <c r="M119" s="244"/>
      <c r="N119" s="271">
        <f t="shared" si="48"/>
        <v>0</v>
      </c>
      <c r="O119" s="125"/>
      <c r="P119" s="173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spans="1:26" ht="15.75" customHeight="1" collapsed="1">
      <c r="A120" s="162" t="s">
        <v>597</v>
      </c>
      <c r="B120" s="162"/>
      <c r="C120" s="162"/>
      <c r="D120" s="162">
        <v>1</v>
      </c>
      <c r="E120" s="162" t="s">
        <v>598</v>
      </c>
      <c r="F120" s="251">
        <f t="shared" ref="F120:N120" si="49">SUM(F113:F119)</f>
        <v>0</v>
      </c>
      <c r="G120" s="251">
        <f t="shared" si="49"/>
        <v>0</v>
      </c>
      <c r="H120" s="251">
        <f t="shared" si="49"/>
        <v>0</v>
      </c>
      <c r="I120" s="251">
        <f t="shared" si="49"/>
        <v>0</v>
      </c>
      <c r="J120" s="251">
        <f t="shared" si="49"/>
        <v>0</v>
      </c>
      <c r="K120" s="251">
        <f t="shared" si="49"/>
        <v>0</v>
      </c>
      <c r="L120" s="251">
        <f t="shared" si="49"/>
        <v>0</v>
      </c>
      <c r="M120" s="251">
        <f t="shared" si="49"/>
        <v>0</v>
      </c>
      <c r="N120" s="251">
        <f t="shared" si="49"/>
        <v>0</v>
      </c>
      <c r="O120" s="125"/>
      <c r="P120" s="173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spans="1:26" ht="14.25" hidden="1" customHeight="1" outlineLevel="1">
      <c r="A121" s="168"/>
      <c r="B121" s="193" t="s">
        <v>599</v>
      </c>
      <c r="C121" s="193" t="str">
        <f t="shared" ref="C121:C123" si="50">MID(E121,4,LEN(E121))</f>
        <v xml:space="preserve"> Pontianak</v>
      </c>
      <c r="D121" s="193" t="str">
        <f t="shared" ref="D121:D123" si="51">IFERROR(VLOOKUP($E$4&amp;C121,#REF!,2,FALSE),"")</f>
        <v/>
      </c>
      <c r="E121" s="199" t="s">
        <v>600</v>
      </c>
      <c r="F121" s="270"/>
      <c r="G121" s="242"/>
      <c r="H121" s="243"/>
      <c r="I121" s="249"/>
      <c r="J121" s="243"/>
      <c r="K121" s="249"/>
      <c r="L121" s="243"/>
      <c r="M121" s="244"/>
      <c r="N121" s="271">
        <f t="shared" ref="N121:N123" si="52">SUM(F121:M121)</f>
        <v>0</v>
      </c>
      <c r="O121" s="125"/>
      <c r="P121" s="173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spans="1:26" ht="14.25" hidden="1" customHeight="1" outlineLevel="1">
      <c r="A122" s="168"/>
      <c r="B122" s="193" t="s">
        <v>601</v>
      </c>
      <c r="C122" s="193" t="str">
        <f t="shared" si="50"/>
        <v xml:space="preserve"> Sintang</v>
      </c>
      <c r="D122" s="193" t="str">
        <f t="shared" si="51"/>
        <v/>
      </c>
      <c r="E122" s="274" t="s">
        <v>602</v>
      </c>
      <c r="F122" s="270"/>
      <c r="G122" s="242"/>
      <c r="H122" s="243"/>
      <c r="I122" s="243"/>
      <c r="J122" s="243"/>
      <c r="K122" s="243"/>
      <c r="L122" s="243"/>
      <c r="M122" s="244"/>
      <c r="N122" s="271">
        <f t="shared" si="52"/>
        <v>0</v>
      </c>
      <c r="O122" s="125"/>
      <c r="P122" s="173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spans="1:26" ht="14.25" hidden="1" customHeight="1" outlineLevel="1">
      <c r="A123" s="168"/>
      <c r="B123" s="193" t="s">
        <v>603</v>
      </c>
      <c r="C123" s="193" t="str">
        <f t="shared" si="50"/>
        <v xml:space="preserve"> Palangkaraya</v>
      </c>
      <c r="D123" s="193" t="str">
        <f t="shared" si="51"/>
        <v/>
      </c>
      <c r="E123" s="274" t="s">
        <v>604</v>
      </c>
      <c r="F123" s="270"/>
      <c r="G123" s="242"/>
      <c r="H123" s="243"/>
      <c r="I123" s="243"/>
      <c r="J123" s="243"/>
      <c r="K123" s="243"/>
      <c r="L123" s="243"/>
      <c r="M123" s="244"/>
      <c r="N123" s="271">
        <f t="shared" si="52"/>
        <v>0</v>
      </c>
      <c r="O123" s="125"/>
      <c r="P123" s="173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spans="1:26" ht="15.75" customHeight="1" collapsed="1">
      <c r="A124" s="162" t="s">
        <v>597</v>
      </c>
      <c r="B124" s="162"/>
      <c r="C124" s="162"/>
      <c r="D124" s="162">
        <v>1</v>
      </c>
      <c r="E124" s="162" t="s">
        <v>605</v>
      </c>
      <c r="F124" s="251">
        <f t="shared" ref="F124:N124" si="53">SUM(F121:F123)</f>
        <v>0</v>
      </c>
      <c r="G124" s="251">
        <f t="shared" si="53"/>
        <v>0</v>
      </c>
      <c r="H124" s="251">
        <f t="shared" si="53"/>
        <v>0</v>
      </c>
      <c r="I124" s="251">
        <f t="shared" si="53"/>
        <v>0</v>
      </c>
      <c r="J124" s="251">
        <f t="shared" si="53"/>
        <v>0</v>
      </c>
      <c r="K124" s="251">
        <f t="shared" si="53"/>
        <v>0</v>
      </c>
      <c r="L124" s="251">
        <f t="shared" si="53"/>
        <v>0</v>
      </c>
      <c r="M124" s="251">
        <f t="shared" si="53"/>
        <v>0</v>
      </c>
      <c r="N124" s="251">
        <f t="shared" si="53"/>
        <v>0</v>
      </c>
      <c r="O124" s="125"/>
      <c r="P124" s="173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spans="1:26" ht="14.25" hidden="1" customHeight="1" outlineLevel="1">
      <c r="A125" s="168"/>
      <c r="B125" s="193" t="s">
        <v>606</v>
      </c>
      <c r="C125" s="193" t="str">
        <f t="shared" ref="C125:C130" si="54">MID(E125,4,LEN(E125))</f>
        <v xml:space="preserve"> Makassar</v>
      </c>
      <c r="D125" s="193" t="str">
        <f t="shared" ref="D125:D130" si="55">IFERROR(VLOOKUP($E$4&amp;C125,#REF!,2,FALSE),"")</f>
        <v/>
      </c>
      <c r="E125" s="199" t="s">
        <v>608</v>
      </c>
      <c r="F125" s="275"/>
      <c r="G125" s="242"/>
      <c r="H125" s="256"/>
      <c r="I125" s="249"/>
      <c r="J125" s="243"/>
      <c r="K125" s="256"/>
      <c r="L125" s="243"/>
      <c r="M125" s="244"/>
      <c r="N125" s="271">
        <f t="shared" ref="N125:N130" si="56">SUM(F125:M125)</f>
        <v>0</v>
      </c>
      <c r="O125" s="125"/>
      <c r="P125" s="173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spans="1:26" ht="14.25" hidden="1" customHeight="1" outlineLevel="1">
      <c r="A126" s="168"/>
      <c r="B126" s="193" t="s">
        <v>609</v>
      </c>
      <c r="C126" s="193" t="str">
        <f t="shared" si="54"/>
        <v xml:space="preserve"> Makassar 2</v>
      </c>
      <c r="D126" s="193" t="str">
        <f t="shared" si="55"/>
        <v/>
      </c>
      <c r="E126" s="199" t="s">
        <v>610</v>
      </c>
      <c r="F126" s="275"/>
      <c r="G126" s="242"/>
      <c r="H126" s="243"/>
      <c r="I126" s="243"/>
      <c r="J126" s="243"/>
      <c r="K126" s="243"/>
      <c r="L126" s="243"/>
      <c r="M126" s="244"/>
      <c r="N126" s="271">
        <f t="shared" si="56"/>
        <v>0</v>
      </c>
      <c r="O126" s="125"/>
      <c r="P126" s="173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spans="1:26" ht="14.25" hidden="1" customHeight="1" outlineLevel="1">
      <c r="A127" s="168"/>
      <c r="B127" s="193" t="s">
        <v>611</v>
      </c>
      <c r="C127" s="193" t="str">
        <f t="shared" si="54"/>
        <v xml:space="preserve"> Kendari</v>
      </c>
      <c r="D127" s="193" t="str">
        <f t="shared" si="55"/>
        <v/>
      </c>
      <c r="E127" s="199" t="s">
        <v>2756</v>
      </c>
      <c r="F127" s="275"/>
      <c r="G127" s="272"/>
      <c r="H127" s="243"/>
      <c r="I127" s="243"/>
      <c r="J127" s="243"/>
      <c r="K127" s="243"/>
      <c r="L127" s="243"/>
      <c r="M127" s="244"/>
      <c r="N127" s="271">
        <f t="shared" si="56"/>
        <v>0</v>
      </c>
      <c r="O127" s="125"/>
      <c r="P127" s="173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spans="1:26" ht="14.25" hidden="1" customHeight="1" outlineLevel="1">
      <c r="A128" s="168"/>
      <c r="B128" s="193" t="s">
        <v>614</v>
      </c>
      <c r="C128" s="193" t="str">
        <f t="shared" si="54"/>
        <v xml:space="preserve"> Parepare</v>
      </c>
      <c r="D128" s="193" t="str">
        <f t="shared" si="55"/>
        <v/>
      </c>
      <c r="E128" s="199" t="s">
        <v>616</v>
      </c>
      <c r="F128" s="275"/>
      <c r="G128" s="242"/>
      <c r="H128" s="256"/>
      <c r="I128" s="243"/>
      <c r="J128" s="243"/>
      <c r="K128" s="256"/>
      <c r="L128" s="243"/>
      <c r="M128" s="244"/>
      <c r="N128" s="271">
        <f t="shared" si="56"/>
        <v>0</v>
      </c>
      <c r="O128" s="125"/>
      <c r="P128" s="173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spans="1:26" ht="14.25" hidden="1" customHeight="1" outlineLevel="1">
      <c r="A129" s="168"/>
      <c r="B129" s="193" t="s">
        <v>617</v>
      </c>
      <c r="C129" s="193" t="str">
        <f t="shared" si="54"/>
        <v xml:space="preserve"> Palopo</v>
      </c>
      <c r="D129" s="193" t="str">
        <f t="shared" si="55"/>
        <v/>
      </c>
      <c r="E129" s="199" t="s">
        <v>618</v>
      </c>
      <c r="F129" s="275"/>
      <c r="G129" s="242"/>
      <c r="H129" s="243"/>
      <c r="I129" s="243"/>
      <c r="J129" s="243"/>
      <c r="K129" s="256"/>
      <c r="L129" s="243"/>
      <c r="M129" s="244"/>
      <c r="N129" s="271">
        <f t="shared" si="56"/>
        <v>0</v>
      </c>
      <c r="O129" s="167"/>
      <c r="P129" s="173"/>
      <c r="Q129" s="173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spans="1:26" ht="14.25" hidden="1" customHeight="1" outlineLevel="1">
      <c r="A130" s="168"/>
      <c r="B130" s="193" t="s">
        <v>619</v>
      </c>
      <c r="C130" s="193" t="str">
        <f t="shared" si="54"/>
        <v xml:space="preserve"> Palu</v>
      </c>
      <c r="D130" s="193" t="str">
        <f t="shared" si="55"/>
        <v/>
      </c>
      <c r="E130" s="199" t="s">
        <v>621</v>
      </c>
      <c r="F130" s="276"/>
      <c r="G130" s="242"/>
      <c r="H130" s="256"/>
      <c r="I130" s="243"/>
      <c r="J130" s="243"/>
      <c r="K130" s="243"/>
      <c r="L130" s="243"/>
      <c r="M130" s="244"/>
      <c r="N130" s="271">
        <f t="shared" si="56"/>
        <v>0</v>
      </c>
      <c r="O130" s="167"/>
      <c r="P130" s="173"/>
      <c r="Q130" s="173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spans="1:26" ht="15.75" customHeight="1" collapsed="1">
      <c r="A131" s="162" t="s">
        <v>622</v>
      </c>
      <c r="B131" s="162"/>
      <c r="C131" s="162"/>
      <c r="D131" s="162">
        <v>1</v>
      </c>
      <c r="E131" s="162" t="s">
        <v>623</v>
      </c>
      <c r="F131" s="251">
        <f t="shared" ref="F131:N131" si="57">SUM(F125:F130)</f>
        <v>0</v>
      </c>
      <c r="G131" s="251">
        <f t="shared" si="57"/>
        <v>0</v>
      </c>
      <c r="H131" s="251">
        <f t="shared" si="57"/>
        <v>0</v>
      </c>
      <c r="I131" s="251">
        <f t="shared" si="57"/>
        <v>0</v>
      </c>
      <c r="J131" s="251">
        <f t="shared" si="57"/>
        <v>0</v>
      </c>
      <c r="K131" s="251">
        <f t="shared" si="57"/>
        <v>0</v>
      </c>
      <c r="L131" s="251">
        <f t="shared" si="57"/>
        <v>0</v>
      </c>
      <c r="M131" s="251">
        <f t="shared" si="57"/>
        <v>0</v>
      </c>
      <c r="N131" s="251">
        <f t="shared" si="57"/>
        <v>0</v>
      </c>
      <c r="O131" s="167"/>
      <c r="P131" s="173"/>
      <c r="Q131" s="173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spans="1:26" ht="14.25" hidden="1" customHeight="1" outlineLevel="1">
      <c r="A132" s="168"/>
      <c r="B132" s="193" t="s">
        <v>624</v>
      </c>
      <c r="C132" s="193" t="str">
        <f t="shared" ref="C132:C138" si="58">MID(E132,4,LEN(E132))</f>
        <v xml:space="preserve"> Manado</v>
      </c>
      <c r="D132" s="193" t="str">
        <f t="shared" ref="D132:D138" si="59">IFERROR(VLOOKUP($E$4&amp;C132,#REF!,2,FALSE),"")</f>
        <v/>
      </c>
      <c r="E132" s="199" t="s">
        <v>625</v>
      </c>
      <c r="F132" s="275"/>
      <c r="G132" s="242"/>
      <c r="H132" s="256"/>
      <c r="I132" s="243"/>
      <c r="J132" s="256"/>
      <c r="K132" s="243"/>
      <c r="L132" s="243"/>
      <c r="M132" s="244"/>
      <c r="N132" s="271">
        <f>SUM(G132:M132)</f>
        <v>0</v>
      </c>
      <c r="O132" s="167"/>
      <c r="P132" s="173"/>
      <c r="Q132" s="173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spans="1:26" ht="14.25" hidden="1" customHeight="1" outlineLevel="1">
      <c r="A133" s="168"/>
      <c r="B133" s="193" t="s">
        <v>626</v>
      </c>
      <c r="C133" s="193" t="str">
        <f t="shared" si="58"/>
        <v xml:space="preserve"> Gorontalo</v>
      </c>
      <c r="D133" s="193" t="str">
        <f t="shared" si="59"/>
        <v/>
      </c>
      <c r="E133" s="199" t="s">
        <v>628</v>
      </c>
      <c r="F133" s="275"/>
      <c r="G133" s="272"/>
      <c r="H133" s="243"/>
      <c r="I133" s="243"/>
      <c r="J133" s="256"/>
      <c r="K133" s="243"/>
      <c r="L133" s="243"/>
      <c r="M133" s="244"/>
      <c r="N133" s="271">
        <f t="shared" ref="N133:N138" si="60">SUM(F133:M133)</f>
        <v>0</v>
      </c>
      <c r="O133" s="167"/>
      <c r="P133" s="173"/>
      <c r="Q133" s="173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spans="1:26" ht="14.25" hidden="1" customHeight="1" outlineLevel="1">
      <c r="A134" s="168"/>
      <c r="B134" s="193" t="s">
        <v>629</v>
      </c>
      <c r="C134" s="193" t="str">
        <f t="shared" si="58"/>
        <v xml:space="preserve"> Ternate</v>
      </c>
      <c r="D134" s="193" t="str">
        <f t="shared" si="59"/>
        <v/>
      </c>
      <c r="E134" s="199" t="s">
        <v>630</v>
      </c>
      <c r="F134" s="275"/>
      <c r="G134" s="242"/>
      <c r="H134" s="243"/>
      <c r="I134" s="256"/>
      <c r="J134" s="243"/>
      <c r="K134" s="243"/>
      <c r="L134" s="243"/>
      <c r="M134" s="244"/>
      <c r="N134" s="271">
        <f t="shared" si="60"/>
        <v>0</v>
      </c>
      <c r="O134" s="167"/>
      <c r="P134" s="173"/>
      <c r="Q134" s="173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spans="1:26" ht="14.25" hidden="1" customHeight="1" outlineLevel="1">
      <c r="A135" s="168"/>
      <c r="B135" s="193" t="s">
        <v>631</v>
      </c>
      <c r="C135" s="193" t="str">
        <f t="shared" si="58"/>
        <v xml:space="preserve"> Ambon</v>
      </c>
      <c r="D135" s="193" t="str">
        <f t="shared" si="59"/>
        <v/>
      </c>
      <c r="E135" s="199" t="s">
        <v>632</v>
      </c>
      <c r="F135" s="275"/>
      <c r="G135" s="272"/>
      <c r="H135" s="243"/>
      <c r="I135" s="243"/>
      <c r="J135" s="243"/>
      <c r="K135" s="256"/>
      <c r="L135" s="243"/>
      <c r="M135" s="244"/>
      <c r="N135" s="271">
        <f t="shared" si="60"/>
        <v>0</v>
      </c>
      <c r="O135" s="167"/>
      <c r="P135" s="173"/>
      <c r="Q135" s="173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spans="1:26" ht="14.25" hidden="1" customHeight="1" outlineLevel="1">
      <c r="A136" s="168"/>
      <c r="B136" s="193" t="s">
        <v>633</v>
      </c>
      <c r="C136" s="193" t="str">
        <f t="shared" si="58"/>
        <v xml:space="preserve"> Tual</v>
      </c>
      <c r="D136" s="193" t="str">
        <f t="shared" si="59"/>
        <v/>
      </c>
      <c r="E136" s="274" t="s">
        <v>635</v>
      </c>
      <c r="F136" s="275"/>
      <c r="G136" s="242"/>
      <c r="H136" s="243"/>
      <c r="I136" s="243"/>
      <c r="J136" s="243"/>
      <c r="K136" s="256"/>
      <c r="L136" s="243"/>
      <c r="M136" s="244"/>
      <c r="N136" s="271">
        <f t="shared" si="60"/>
        <v>0</v>
      </c>
      <c r="O136" s="167"/>
      <c r="P136" s="173"/>
      <c r="Q136" s="173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spans="1:26" ht="14.25" hidden="1" customHeight="1" outlineLevel="1">
      <c r="A137" s="168"/>
      <c r="B137" s="193" t="s">
        <v>636</v>
      </c>
      <c r="C137" s="193" t="str">
        <f t="shared" si="58"/>
        <v xml:space="preserve"> Papua</v>
      </c>
      <c r="D137" s="193" t="str">
        <f t="shared" si="59"/>
        <v/>
      </c>
      <c r="E137" s="199" t="s">
        <v>638</v>
      </c>
      <c r="F137" s="275"/>
      <c r="G137" s="272"/>
      <c r="H137" s="243"/>
      <c r="I137" s="243"/>
      <c r="J137" s="243"/>
      <c r="K137" s="256"/>
      <c r="L137" s="243"/>
      <c r="M137" s="244"/>
      <c r="N137" s="271">
        <f t="shared" si="60"/>
        <v>0</v>
      </c>
      <c r="O137" s="167"/>
      <c r="P137" s="173"/>
      <c r="Q137" s="173"/>
      <c r="R137" s="125"/>
      <c r="S137" s="125"/>
      <c r="T137" s="125"/>
      <c r="U137" s="125">
        <v>1167</v>
      </c>
      <c r="V137" s="173">
        <f>U137-N139</f>
        <v>1167</v>
      </c>
      <c r="W137" s="125"/>
      <c r="X137" s="125"/>
      <c r="Y137" s="125"/>
      <c r="Z137" s="125"/>
    </row>
    <row r="138" spans="1:26" ht="14.25" hidden="1" customHeight="1" outlineLevel="1">
      <c r="A138" s="168"/>
      <c r="B138" s="193" t="s">
        <v>639</v>
      </c>
      <c r="C138" s="193" t="str">
        <f t="shared" si="58"/>
        <v xml:space="preserve"> Sorong</v>
      </c>
      <c r="D138" s="193" t="str">
        <f t="shared" si="59"/>
        <v/>
      </c>
      <c r="E138" s="199" t="s">
        <v>641</v>
      </c>
      <c r="F138" s="275"/>
      <c r="G138" s="242"/>
      <c r="H138" s="256"/>
      <c r="I138" s="243"/>
      <c r="J138" s="243"/>
      <c r="K138" s="256"/>
      <c r="L138" s="243"/>
      <c r="M138" s="244"/>
      <c r="N138" s="271">
        <f t="shared" si="60"/>
        <v>0</v>
      </c>
      <c r="O138" s="167"/>
      <c r="P138" s="173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spans="1:26" ht="15.75" customHeight="1" collapsed="1">
      <c r="A139" s="162" t="s">
        <v>642</v>
      </c>
      <c r="B139" s="162"/>
      <c r="C139" s="162"/>
      <c r="D139" s="162">
        <v>1</v>
      </c>
      <c r="E139" s="162" t="s">
        <v>643</v>
      </c>
      <c r="F139" s="251">
        <f t="shared" ref="F139:N139" si="61">SUM(F132:F138)</f>
        <v>0</v>
      </c>
      <c r="G139" s="251">
        <f t="shared" si="61"/>
        <v>0</v>
      </c>
      <c r="H139" s="251">
        <f t="shared" si="61"/>
        <v>0</v>
      </c>
      <c r="I139" s="251">
        <f t="shared" si="61"/>
        <v>0</v>
      </c>
      <c r="J139" s="251">
        <f t="shared" si="61"/>
        <v>0</v>
      </c>
      <c r="K139" s="251">
        <f t="shared" si="61"/>
        <v>0</v>
      </c>
      <c r="L139" s="251">
        <f t="shared" si="61"/>
        <v>0</v>
      </c>
      <c r="M139" s="251">
        <f t="shared" si="61"/>
        <v>0</v>
      </c>
      <c r="N139" s="251">
        <f t="shared" si="61"/>
        <v>0</v>
      </c>
      <c r="O139" s="167"/>
      <c r="P139" s="173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spans="1:26" ht="15.75" customHeight="1">
      <c r="A140" s="162"/>
      <c r="B140" s="162"/>
      <c r="C140" s="162"/>
      <c r="D140" s="162">
        <v>1</v>
      </c>
      <c r="E140" s="162" t="s">
        <v>291</v>
      </c>
      <c r="F140" s="277">
        <f t="shared" ref="F140:N140" si="62">SUM(F20,F30,F39,F48,F58,F68,F80,F88,F95,F106,F112,F120,F124,F131,F139)</f>
        <v>350</v>
      </c>
      <c r="G140" s="277">
        <f t="shared" si="62"/>
        <v>0</v>
      </c>
      <c r="H140" s="277">
        <f t="shared" si="62"/>
        <v>0</v>
      </c>
      <c r="I140" s="277">
        <f t="shared" si="62"/>
        <v>0</v>
      </c>
      <c r="J140" s="277">
        <f t="shared" si="62"/>
        <v>0</v>
      </c>
      <c r="K140" s="277">
        <f t="shared" si="62"/>
        <v>0</v>
      </c>
      <c r="L140" s="277">
        <f t="shared" si="62"/>
        <v>0</v>
      </c>
      <c r="M140" s="277">
        <f t="shared" si="62"/>
        <v>0</v>
      </c>
      <c r="N140" s="277">
        <f t="shared" si="62"/>
        <v>350</v>
      </c>
      <c r="O140" s="167"/>
      <c r="P140" s="173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spans="1:26" ht="15.75" customHeight="1">
      <c r="A141" s="136"/>
      <c r="B141" s="125"/>
      <c r="C141" s="125"/>
      <c r="D141" s="125"/>
      <c r="E141" s="125"/>
      <c r="F141" s="278"/>
      <c r="G141" s="200"/>
      <c r="H141" s="200"/>
      <c r="I141" s="200"/>
      <c r="J141" s="200"/>
      <c r="K141" s="200"/>
      <c r="L141" s="200"/>
      <c r="M141" s="200"/>
      <c r="N141" s="129">
        <f>SUM(F4:L4)</f>
        <v>350</v>
      </c>
      <c r="O141" s="167"/>
      <c r="P141" s="173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spans="1:26" ht="15.75" customHeight="1">
      <c r="A142" s="136"/>
      <c r="B142" s="125"/>
      <c r="C142" s="136"/>
      <c r="D142" s="136"/>
      <c r="E142" s="279" t="s">
        <v>2790</v>
      </c>
      <c r="F142" s="280"/>
      <c r="G142" s="281">
        <f>SUM(F4)</f>
        <v>0</v>
      </c>
      <c r="H142" s="281">
        <f>SUM(F4:G4)</f>
        <v>50</v>
      </c>
      <c r="I142" s="281">
        <f>SUM(F4:H4)</f>
        <v>50</v>
      </c>
      <c r="J142" s="281">
        <f>SUM(F4:I4)</f>
        <v>50</v>
      </c>
      <c r="K142" s="281">
        <f>SUM(F4:J4)</f>
        <v>150</v>
      </c>
      <c r="L142" s="281">
        <f>SUM(F4:K4)</f>
        <v>250</v>
      </c>
      <c r="M142" s="281">
        <f>SUM(F4:L4)</f>
        <v>350</v>
      </c>
      <c r="N142" s="129"/>
      <c r="O142" s="167"/>
      <c r="P142" s="173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spans="1:26" ht="15.75" customHeight="1">
      <c r="A143" s="136"/>
      <c r="B143" s="125"/>
      <c r="C143" s="136"/>
      <c r="D143" s="136"/>
      <c r="E143" s="282" t="s">
        <v>2791</v>
      </c>
      <c r="F143" s="283"/>
      <c r="G143" s="284">
        <f>SUM(F140:G140)</f>
        <v>350</v>
      </c>
      <c r="H143" s="284">
        <f>SUM(F140:H140)</f>
        <v>350</v>
      </c>
      <c r="I143" s="284">
        <f>SUM(F140:I140)</f>
        <v>350</v>
      </c>
      <c r="J143" s="284">
        <f>SUM(F140:J140)</f>
        <v>350</v>
      </c>
      <c r="K143" s="284">
        <f>SUM(F140:K140)</f>
        <v>350</v>
      </c>
      <c r="L143" s="284">
        <f>SUM(F140:L140)</f>
        <v>350</v>
      </c>
      <c r="M143" s="284">
        <f>SUM(F140:M140)</f>
        <v>350</v>
      </c>
      <c r="N143" s="129"/>
      <c r="O143" s="167"/>
      <c r="P143" s="285" t="s">
        <v>2791</v>
      </c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spans="1:26" ht="15.75" customHeight="1">
      <c r="A144" s="136"/>
      <c r="B144" s="125"/>
      <c r="C144" s="136"/>
      <c r="D144" s="136"/>
      <c r="E144" s="282" t="s">
        <v>2792</v>
      </c>
      <c r="F144" s="283"/>
      <c r="G144" s="281">
        <f t="shared" ref="G144:M144" si="63">G142-G143</f>
        <v>-350</v>
      </c>
      <c r="H144" s="281">
        <f t="shared" si="63"/>
        <v>-300</v>
      </c>
      <c r="I144" s="281">
        <f t="shared" si="63"/>
        <v>-300</v>
      </c>
      <c r="J144" s="281">
        <f t="shared" si="63"/>
        <v>-300</v>
      </c>
      <c r="K144" s="286">
        <f t="shared" si="63"/>
        <v>-200</v>
      </c>
      <c r="L144" s="281">
        <f t="shared" si="63"/>
        <v>-100</v>
      </c>
      <c r="M144" s="287">
        <f t="shared" si="63"/>
        <v>0</v>
      </c>
      <c r="N144" s="129"/>
      <c r="O144" s="167"/>
      <c r="P144" s="285" t="s">
        <v>2792</v>
      </c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spans="1:26" ht="15.75" customHeight="1">
      <c r="A145" s="136"/>
      <c r="B145" s="136"/>
      <c r="C145" s="136"/>
      <c r="D145" s="136"/>
      <c r="E145" s="288" t="s">
        <v>2793</v>
      </c>
      <c r="F145" s="126"/>
      <c r="G145" s="289"/>
      <c r="H145" s="289"/>
      <c r="I145" s="290"/>
      <c r="J145" s="289"/>
      <c r="K145" s="289"/>
      <c r="L145" s="289"/>
      <c r="M145" s="289"/>
      <c r="N145" s="129"/>
      <c r="O145" s="125"/>
      <c r="P145" s="173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spans="1:26" ht="15.75" customHeight="1">
      <c r="A146" s="125"/>
      <c r="B146" s="125"/>
      <c r="C146" s="125"/>
      <c r="D146" s="125"/>
      <c r="E146" s="125"/>
      <c r="F146" s="126"/>
      <c r="G146" s="125"/>
      <c r="H146" s="125"/>
      <c r="I146" s="125"/>
      <c r="J146" s="125"/>
      <c r="K146" s="125"/>
      <c r="L146" s="125"/>
      <c r="M146" s="125"/>
      <c r="N146" s="129"/>
      <c r="O146" s="125"/>
      <c r="P146" s="173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spans="1:26" ht="15.75" customHeight="1">
      <c r="A147" s="125"/>
      <c r="B147" s="125"/>
      <c r="C147" s="125"/>
      <c r="D147" s="125"/>
      <c r="E147" s="125"/>
      <c r="F147" s="126"/>
      <c r="G147" s="125"/>
      <c r="H147" s="125"/>
      <c r="I147" s="125"/>
      <c r="J147" s="125"/>
      <c r="K147" s="125"/>
      <c r="L147" s="125"/>
      <c r="M147" s="125"/>
      <c r="N147" s="129"/>
      <c r="O147" s="125"/>
      <c r="P147" s="173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spans="1:26" ht="15.75" customHeight="1">
      <c r="A148" s="125"/>
      <c r="B148" s="125"/>
      <c r="C148" s="125"/>
      <c r="D148" s="125"/>
      <c r="E148" s="125"/>
      <c r="F148" s="126"/>
      <c r="G148" s="125"/>
      <c r="H148" s="125"/>
      <c r="I148" s="125"/>
      <c r="J148" s="125"/>
      <c r="K148" s="125"/>
      <c r="L148" s="125"/>
      <c r="M148" s="125"/>
      <c r="N148" s="129"/>
      <c r="O148" s="125"/>
      <c r="P148" s="173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spans="1:26" ht="15.75" customHeight="1">
      <c r="A149" s="125"/>
      <c r="B149" s="125"/>
      <c r="C149" s="125"/>
      <c r="D149" s="125"/>
      <c r="E149" s="125"/>
      <c r="F149" s="126"/>
      <c r="G149" s="125"/>
      <c r="H149" s="125"/>
      <c r="I149" s="125"/>
      <c r="J149" s="125"/>
      <c r="K149" s="125"/>
      <c r="L149" s="125"/>
      <c r="M149" s="125"/>
      <c r="N149" s="129"/>
      <c r="O149" s="125"/>
      <c r="P149" s="173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spans="1:26" ht="15.75" customHeight="1">
      <c r="A150" s="125"/>
      <c r="B150" s="125"/>
      <c r="C150" s="125"/>
      <c r="D150" s="125"/>
      <c r="E150" s="125"/>
      <c r="F150" s="126"/>
      <c r="G150" s="125"/>
      <c r="H150" s="125"/>
      <c r="I150" s="125"/>
      <c r="J150" s="125"/>
      <c r="K150" s="125"/>
      <c r="L150" s="125"/>
      <c r="M150" s="125"/>
      <c r="N150" s="129"/>
      <c r="O150" s="125"/>
      <c r="P150" s="173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spans="1:26" ht="15.75" customHeight="1">
      <c r="A151" s="125"/>
      <c r="B151" s="125"/>
      <c r="C151" s="125"/>
      <c r="D151" s="125"/>
      <c r="E151" s="125"/>
      <c r="F151" s="126"/>
      <c r="G151" s="125"/>
      <c r="H151" s="125"/>
      <c r="I151" s="125"/>
      <c r="J151" s="125"/>
      <c r="K151" s="125"/>
      <c r="L151" s="125"/>
      <c r="M151" s="125"/>
      <c r="N151" s="129"/>
      <c r="O151" s="125"/>
      <c r="P151" s="173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spans="1:26" ht="15.75" customHeight="1">
      <c r="A152" s="125"/>
      <c r="B152" s="125"/>
      <c r="C152" s="125"/>
      <c r="D152" s="125"/>
      <c r="E152" s="125"/>
      <c r="F152" s="126"/>
      <c r="G152" s="125"/>
      <c r="H152" s="125"/>
      <c r="I152" s="125"/>
      <c r="J152" s="125"/>
      <c r="K152" s="125"/>
      <c r="L152" s="125"/>
      <c r="M152" s="125"/>
      <c r="N152" s="129"/>
      <c r="O152" s="125"/>
      <c r="P152" s="173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spans="1:26" ht="15.75" customHeight="1">
      <c r="A153" s="125"/>
      <c r="B153" s="125"/>
      <c r="C153" s="125"/>
      <c r="D153" s="125"/>
      <c r="E153" s="125"/>
      <c r="F153" s="126"/>
      <c r="G153" s="125"/>
      <c r="H153" s="125"/>
      <c r="I153" s="125"/>
      <c r="J153" s="125"/>
      <c r="K153" s="125"/>
      <c r="L153" s="125"/>
      <c r="M153" s="125"/>
      <c r="N153" s="129"/>
      <c r="O153" s="125"/>
      <c r="P153" s="173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spans="1:26" ht="15.75" customHeight="1">
      <c r="A154" s="125"/>
      <c r="B154" s="125"/>
      <c r="C154" s="125"/>
      <c r="D154" s="125"/>
      <c r="E154" s="125"/>
      <c r="F154" s="126"/>
      <c r="G154" s="125"/>
      <c r="H154" s="125"/>
      <c r="I154" s="125"/>
      <c r="J154" s="125"/>
      <c r="K154" s="125"/>
      <c r="L154" s="125"/>
      <c r="M154" s="125"/>
      <c r="N154" s="129"/>
      <c r="O154" s="125"/>
      <c r="P154" s="173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spans="1:26" ht="15.75" customHeight="1">
      <c r="A155" s="125"/>
      <c r="B155" s="125"/>
      <c r="C155" s="125"/>
      <c r="D155" s="125"/>
      <c r="E155" s="125"/>
      <c r="F155" s="126"/>
      <c r="G155" s="125"/>
      <c r="H155" s="125"/>
      <c r="I155" s="125"/>
      <c r="J155" s="125"/>
      <c r="K155" s="125"/>
      <c r="L155" s="125"/>
      <c r="M155" s="125"/>
      <c r="N155" s="129"/>
      <c r="O155" s="125"/>
      <c r="P155" s="173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spans="1:26" ht="15.75" customHeight="1">
      <c r="A156" s="125"/>
      <c r="B156" s="125"/>
      <c r="C156" s="125"/>
      <c r="D156" s="125"/>
      <c r="E156" s="125"/>
      <c r="F156" s="126"/>
      <c r="G156" s="125"/>
      <c r="H156" s="125"/>
      <c r="I156" s="125"/>
      <c r="J156" s="125"/>
      <c r="K156" s="125"/>
      <c r="L156" s="125"/>
      <c r="M156" s="125"/>
      <c r="N156" s="129"/>
      <c r="O156" s="125"/>
      <c r="P156" s="173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spans="1:26" ht="15.75" customHeight="1">
      <c r="A157" s="125"/>
      <c r="B157" s="125"/>
      <c r="C157" s="125"/>
      <c r="D157" s="125"/>
      <c r="E157" s="125"/>
      <c r="F157" s="126"/>
      <c r="G157" s="125"/>
      <c r="H157" s="125"/>
      <c r="I157" s="125"/>
      <c r="J157" s="125"/>
      <c r="K157" s="125"/>
      <c r="L157" s="125"/>
      <c r="M157" s="125"/>
      <c r="N157" s="129"/>
      <c r="O157" s="125"/>
      <c r="P157" s="173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spans="1:26" ht="15.75" customHeight="1">
      <c r="A158" s="125"/>
      <c r="B158" s="125"/>
      <c r="C158" s="125"/>
      <c r="D158" s="125"/>
      <c r="E158" s="125"/>
      <c r="F158" s="126"/>
      <c r="G158" s="125"/>
      <c r="H158" s="125"/>
      <c r="I158" s="125"/>
      <c r="J158" s="125"/>
      <c r="K158" s="125"/>
      <c r="L158" s="125"/>
      <c r="M158" s="125"/>
      <c r="N158" s="129"/>
      <c r="O158" s="125"/>
      <c r="P158" s="173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spans="1:26" ht="15.75" customHeight="1">
      <c r="A159" s="125"/>
      <c r="B159" s="125"/>
      <c r="C159" s="125"/>
      <c r="D159" s="125"/>
      <c r="E159" s="125"/>
      <c r="F159" s="126"/>
      <c r="G159" s="125"/>
      <c r="H159" s="125"/>
      <c r="I159" s="125"/>
      <c r="J159" s="125"/>
      <c r="K159" s="125"/>
      <c r="L159" s="125"/>
      <c r="M159" s="125"/>
      <c r="N159" s="129"/>
      <c r="O159" s="125"/>
      <c r="P159" s="173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spans="1:26" ht="15.75" customHeight="1">
      <c r="A160" s="125"/>
      <c r="B160" s="125"/>
      <c r="C160" s="125"/>
      <c r="D160" s="125"/>
      <c r="E160" s="125"/>
      <c r="F160" s="126"/>
      <c r="G160" s="125"/>
      <c r="H160" s="125"/>
      <c r="I160" s="125"/>
      <c r="J160" s="125"/>
      <c r="K160" s="125"/>
      <c r="L160" s="125"/>
      <c r="M160" s="125"/>
      <c r="N160" s="129"/>
      <c r="O160" s="125"/>
      <c r="P160" s="173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spans="1:26" ht="15.75" customHeight="1">
      <c r="A161" s="125"/>
      <c r="B161" s="125"/>
      <c r="C161" s="125"/>
      <c r="D161" s="125"/>
      <c r="E161" s="125"/>
      <c r="F161" s="126"/>
      <c r="G161" s="125"/>
      <c r="H161" s="125"/>
      <c r="I161" s="125"/>
      <c r="J161" s="125"/>
      <c r="K161" s="125"/>
      <c r="L161" s="125"/>
      <c r="M161" s="125"/>
      <c r="N161" s="129"/>
      <c r="O161" s="125"/>
      <c r="P161" s="173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spans="1:26" ht="15.75" customHeight="1">
      <c r="A162" s="125"/>
      <c r="B162" s="125"/>
      <c r="C162" s="125"/>
      <c r="D162" s="125"/>
      <c r="E162" s="125"/>
      <c r="F162" s="126"/>
      <c r="G162" s="125"/>
      <c r="H162" s="125"/>
      <c r="I162" s="125"/>
      <c r="J162" s="125"/>
      <c r="K162" s="125"/>
      <c r="L162" s="125"/>
      <c r="M162" s="125"/>
      <c r="N162" s="129"/>
      <c r="O162" s="125"/>
      <c r="P162" s="173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spans="1:26" ht="15.75" customHeight="1">
      <c r="A163" s="125"/>
      <c r="B163" s="125"/>
      <c r="C163" s="125"/>
      <c r="D163" s="125"/>
      <c r="E163" s="125"/>
      <c r="F163" s="126"/>
      <c r="G163" s="125"/>
      <c r="H163" s="125"/>
      <c r="I163" s="125"/>
      <c r="J163" s="125"/>
      <c r="K163" s="125"/>
      <c r="L163" s="125"/>
      <c r="M163" s="125"/>
      <c r="N163" s="129"/>
      <c r="O163" s="125"/>
      <c r="P163" s="173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spans="1:26" ht="15.75" customHeight="1">
      <c r="A164" s="125"/>
      <c r="B164" s="125"/>
      <c r="C164" s="125"/>
      <c r="D164" s="125"/>
      <c r="E164" s="125"/>
      <c r="F164" s="126"/>
      <c r="G164" s="125"/>
      <c r="H164" s="125"/>
      <c r="I164" s="125"/>
      <c r="J164" s="125"/>
      <c r="K164" s="125"/>
      <c r="L164" s="125"/>
      <c r="M164" s="125"/>
      <c r="N164" s="129"/>
      <c r="O164" s="125"/>
      <c r="P164" s="173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spans="1:26" ht="15.75" customHeight="1">
      <c r="A165" s="125"/>
      <c r="B165" s="125"/>
      <c r="C165" s="125"/>
      <c r="D165" s="125"/>
      <c r="E165" s="125"/>
      <c r="F165" s="126"/>
      <c r="G165" s="125"/>
      <c r="H165" s="125"/>
      <c r="I165" s="125"/>
      <c r="J165" s="125"/>
      <c r="K165" s="125"/>
      <c r="L165" s="125"/>
      <c r="M165" s="125"/>
      <c r="N165" s="129"/>
      <c r="O165" s="125"/>
      <c r="P165" s="173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spans="1:26" ht="15.75" customHeight="1">
      <c r="A166" s="125"/>
      <c r="B166" s="125"/>
      <c r="C166" s="125"/>
      <c r="D166" s="125"/>
      <c r="E166" s="125"/>
      <c r="F166" s="126"/>
      <c r="G166" s="125"/>
      <c r="H166" s="125"/>
      <c r="I166" s="125"/>
      <c r="J166" s="125"/>
      <c r="K166" s="125"/>
      <c r="L166" s="125"/>
      <c r="M166" s="125"/>
      <c r="N166" s="129"/>
      <c r="O166" s="125"/>
      <c r="P166" s="173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spans="1:26" ht="15.75" customHeight="1">
      <c r="A167" s="125"/>
      <c r="B167" s="125"/>
      <c r="C167" s="125"/>
      <c r="D167" s="125"/>
      <c r="E167" s="125"/>
      <c r="F167" s="126"/>
      <c r="G167" s="125"/>
      <c r="H167" s="125"/>
      <c r="I167" s="125"/>
      <c r="J167" s="125"/>
      <c r="K167" s="125"/>
      <c r="L167" s="125"/>
      <c r="M167" s="125"/>
      <c r="N167" s="129"/>
      <c r="O167" s="125"/>
      <c r="P167" s="173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spans="1:26" ht="15.75" customHeight="1">
      <c r="A168" s="125"/>
      <c r="B168" s="125"/>
      <c r="C168" s="125"/>
      <c r="D168" s="125"/>
      <c r="E168" s="125"/>
      <c r="F168" s="126"/>
      <c r="G168" s="125"/>
      <c r="H168" s="125"/>
      <c r="I168" s="125"/>
      <c r="J168" s="125"/>
      <c r="K168" s="125"/>
      <c r="L168" s="125"/>
      <c r="M168" s="125"/>
      <c r="N168" s="129"/>
      <c r="O168" s="125"/>
      <c r="P168" s="173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spans="1:26" ht="15.75" customHeight="1">
      <c r="A169" s="125"/>
      <c r="B169" s="125"/>
      <c r="C169" s="125"/>
      <c r="D169" s="125"/>
      <c r="E169" s="125"/>
      <c r="F169" s="126"/>
      <c r="G169" s="125"/>
      <c r="H169" s="125"/>
      <c r="I169" s="125"/>
      <c r="J169" s="125"/>
      <c r="K169" s="125"/>
      <c r="L169" s="125"/>
      <c r="M169" s="125"/>
      <c r="N169" s="129"/>
      <c r="O169" s="125"/>
      <c r="P169" s="173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spans="1:26" ht="15.75" customHeight="1">
      <c r="A170" s="125"/>
      <c r="B170" s="125"/>
      <c r="C170" s="125"/>
      <c r="D170" s="125"/>
      <c r="E170" s="125"/>
      <c r="F170" s="126"/>
      <c r="G170" s="125"/>
      <c r="H170" s="125"/>
      <c r="I170" s="125"/>
      <c r="J170" s="125"/>
      <c r="K170" s="125"/>
      <c r="L170" s="125"/>
      <c r="M170" s="125"/>
      <c r="N170" s="129"/>
      <c r="O170" s="125"/>
      <c r="P170" s="173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spans="1:26" ht="15.75" customHeight="1">
      <c r="A171" s="125"/>
      <c r="B171" s="125"/>
      <c r="C171" s="125"/>
      <c r="D171" s="125"/>
      <c r="E171" s="125"/>
      <c r="F171" s="126"/>
      <c r="G171" s="125"/>
      <c r="H171" s="125"/>
      <c r="I171" s="125"/>
      <c r="J171" s="125"/>
      <c r="K171" s="125"/>
      <c r="L171" s="125"/>
      <c r="M171" s="125"/>
      <c r="N171" s="129"/>
      <c r="O171" s="125"/>
      <c r="P171" s="173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spans="1:26" ht="15.75" customHeight="1">
      <c r="A172" s="125"/>
      <c r="B172" s="125"/>
      <c r="C172" s="125"/>
      <c r="D172" s="125"/>
      <c r="E172" s="125"/>
      <c r="F172" s="126"/>
      <c r="G172" s="125"/>
      <c r="H172" s="125"/>
      <c r="I172" s="125"/>
      <c r="J172" s="125"/>
      <c r="K172" s="125"/>
      <c r="L172" s="125"/>
      <c r="M172" s="125"/>
      <c r="N172" s="129"/>
      <c r="O172" s="125"/>
      <c r="P172" s="173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spans="1:26" ht="15.75" customHeight="1">
      <c r="A173" s="125"/>
      <c r="B173" s="125"/>
      <c r="C173" s="125"/>
      <c r="D173" s="125"/>
      <c r="E173" s="125"/>
      <c r="F173" s="126"/>
      <c r="G173" s="125"/>
      <c r="H173" s="125"/>
      <c r="I173" s="125"/>
      <c r="J173" s="125"/>
      <c r="K173" s="125"/>
      <c r="L173" s="125"/>
      <c r="M173" s="125"/>
      <c r="N173" s="129"/>
      <c r="O173" s="125"/>
      <c r="P173" s="173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spans="1:26" ht="15.75" customHeight="1">
      <c r="A174" s="125"/>
      <c r="B174" s="125"/>
      <c r="C174" s="125"/>
      <c r="D174" s="125"/>
      <c r="E174" s="125"/>
      <c r="F174" s="126"/>
      <c r="G174" s="125"/>
      <c r="H174" s="125"/>
      <c r="I174" s="125"/>
      <c r="J174" s="125"/>
      <c r="K174" s="125"/>
      <c r="L174" s="125"/>
      <c r="M174" s="125"/>
      <c r="N174" s="129"/>
      <c r="O174" s="125"/>
      <c r="P174" s="173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spans="1:26" ht="15.75" customHeight="1">
      <c r="A175" s="125"/>
      <c r="B175" s="125"/>
      <c r="C175" s="125"/>
      <c r="D175" s="125"/>
      <c r="E175" s="125"/>
      <c r="F175" s="126"/>
      <c r="G175" s="125"/>
      <c r="H175" s="125"/>
      <c r="I175" s="125"/>
      <c r="J175" s="125"/>
      <c r="K175" s="125"/>
      <c r="L175" s="125"/>
      <c r="M175" s="125"/>
      <c r="N175" s="129"/>
      <c r="O175" s="125"/>
      <c r="P175" s="173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spans="1:26" ht="15.75" customHeight="1">
      <c r="A176" s="125"/>
      <c r="B176" s="125"/>
      <c r="C176" s="125"/>
      <c r="D176" s="125"/>
      <c r="E176" s="125"/>
      <c r="F176" s="126"/>
      <c r="G176" s="125"/>
      <c r="H176" s="125"/>
      <c r="I176" s="125"/>
      <c r="J176" s="125"/>
      <c r="K176" s="125"/>
      <c r="L176" s="125"/>
      <c r="M176" s="125"/>
      <c r="N176" s="129"/>
      <c r="O176" s="125"/>
      <c r="P176" s="173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spans="1:26" ht="15.75" customHeight="1">
      <c r="A177" s="125"/>
      <c r="B177" s="125"/>
      <c r="C177" s="125"/>
      <c r="D177" s="125"/>
      <c r="E177" s="125"/>
      <c r="F177" s="126"/>
      <c r="G177" s="125"/>
      <c r="H177" s="125"/>
      <c r="I177" s="125"/>
      <c r="J177" s="125"/>
      <c r="K177" s="125"/>
      <c r="L177" s="125"/>
      <c r="M177" s="125"/>
      <c r="N177" s="129"/>
      <c r="O177" s="125"/>
      <c r="P177" s="173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spans="1:26" ht="15.75" customHeight="1">
      <c r="A178" s="125"/>
      <c r="B178" s="125"/>
      <c r="C178" s="125"/>
      <c r="D178" s="125"/>
      <c r="E178" s="125"/>
      <c r="F178" s="126"/>
      <c r="G178" s="125"/>
      <c r="H178" s="125"/>
      <c r="I178" s="125"/>
      <c r="J178" s="125"/>
      <c r="K178" s="125"/>
      <c r="L178" s="125"/>
      <c r="M178" s="125"/>
      <c r="N178" s="129"/>
      <c r="O178" s="125"/>
      <c r="P178" s="173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spans="1:26" ht="15.75" customHeight="1">
      <c r="A179" s="125"/>
      <c r="B179" s="125"/>
      <c r="C179" s="125"/>
      <c r="D179" s="125"/>
      <c r="E179" s="125"/>
      <c r="F179" s="126"/>
      <c r="G179" s="125"/>
      <c r="H179" s="125"/>
      <c r="I179" s="125"/>
      <c r="J179" s="125"/>
      <c r="K179" s="125"/>
      <c r="L179" s="125"/>
      <c r="M179" s="125"/>
      <c r="N179" s="129"/>
      <c r="O179" s="125"/>
      <c r="P179" s="173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spans="1:26" ht="15.75" customHeight="1">
      <c r="A180" s="125"/>
      <c r="B180" s="125"/>
      <c r="C180" s="125"/>
      <c r="D180" s="125"/>
      <c r="E180" s="125"/>
      <c r="F180" s="126"/>
      <c r="G180" s="125"/>
      <c r="H180" s="125"/>
      <c r="I180" s="125"/>
      <c r="J180" s="125"/>
      <c r="K180" s="125"/>
      <c r="L180" s="125"/>
      <c r="M180" s="125"/>
      <c r="N180" s="129"/>
      <c r="O180" s="125"/>
      <c r="P180" s="173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spans="1:26" ht="15.75" customHeight="1">
      <c r="A181" s="125"/>
      <c r="B181" s="125"/>
      <c r="C181" s="125"/>
      <c r="D181" s="125"/>
      <c r="E181" s="125"/>
      <c r="F181" s="126"/>
      <c r="G181" s="125"/>
      <c r="H181" s="125"/>
      <c r="I181" s="125"/>
      <c r="J181" s="125"/>
      <c r="K181" s="125"/>
      <c r="L181" s="125"/>
      <c r="M181" s="125"/>
      <c r="N181" s="129"/>
      <c r="O181" s="125"/>
      <c r="P181" s="173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spans="1:26" ht="15.75" customHeight="1">
      <c r="A182" s="125"/>
      <c r="B182" s="125"/>
      <c r="C182" s="125"/>
      <c r="D182" s="125"/>
      <c r="E182" s="125"/>
      <c r="F182" s="126"/>
      <c r="G182" s="125"/>
      <c r="H182" s="125"/>
      <c r="I182" s="125"/>
      <c r="J182" s="125"/>
      <c r="K182" s="125"/>
      <c r="L182" s="125"/>
      <c r="M182" s="125"/>
      <c r="N182" s="129"/>
      <c r="O182" s="125"/>
      <c r="P182" s="173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spans="1:26" ht="15.75" customHeight="1">
      <c r="A183" s="125"/>
      <c r="B183" s="125"/>
      <c r="C183" s="125"/>
      <c r="D183" s="125"/>
      <c r="E183" s="125"/>
      <c r="F183" s="126"/>
      <c r="G183" s="125"/>
      <c r="H183" s="125"/>
      <c r="I183" s="125"/>
      <c r="J183" s="125"/>
      <c r="K183" s="125"/>
      <c r="L183" s="125"/>
      <c r="M183" s="125"/>
      <c r="N183" s="129"/>
      <c r="O183" s="125"/>
      <c r="P183" s="173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spans="1:26" ht="15.75" customHeight="1">
      <c r="A184" s="125"/>
      <c r="B184" s="125"/>
      <c r="C184" s="125"/>
      <c r="D184" s="125"/>
      <c r="E184" s="125"/>
      <c r="F184" s="126"/>
      <c r="G184" s="125"/>
      <c r="H184" s="125"/>
      <c r="I184" s="125"/>
      <c r="J184" s="125"/>
      <c r="K184" s="125"/>
      <c r="L184" s="125"/>
      <c r="M184" s="125"/>
      <c r="N184" s="129"/>
      <c r="O184" s="125"/>
      <c r="P184" s="173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spans="1:26" ht="15.75" customHeight="1">
      <c r="A185" s="125"/>
      <c r="B185" s="125"/>
      <c r="C185" s="125"/>
      <c r="D185" s="125"/>
      <c r="E185" s="125"/>
      <c r="F185" s="126"/>
      <c r="G185" s="125"/>
      <c r="H185" s="125"/>
      <c r="I185" s="125"/>
      <c r="J185" s="125"/>
      <c r="K185" s="125"/>
      <c r="L185" s="125"/>
      <c r="M185" s="125"/>
      <c r="N185" s="129"/>
      <c r="O185" s="125"/>
      <c r="P185" s="173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spans="1:26" ht="15.75" customHeight="1">
      <c r="A186" s="125"/>
      <c r="B186" s="125"/>
      <c r="C186" s="125"/>
      <c r="D186" s="125"/>
      <c r="E186" s="125"/>
      <c r="F186" s="126"/>
      <c r="G186" s="125"/>
      <c r="H186" s="125"/>
      <c r="I186" s="125"/>
      <c r="J186" s="125"/>
      <c r="K186" s="125"/>
      <c r="L186" s="125"/>
      <c r="M186" s="125"/>
      <c r="N186" s="129"/>
      <c r="O186" s="125"/>
      <c r="P186" s="173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spans="1:26" ht="15.75" customHeight="1">
      <c r="A187" s="125"/>
      <c r="B187" s="125"/>
      <c r="C187" s="125"/>
      <c r="D187" s="125"/>
      <c r="E187" s="125"/>
      <c r="F187" s="126"/>
      <c r="G187" s="125"/>
      <c r="H187" s="125"/>
      <c r="I187" s="125"/>
      <c r="J187" s="125"/>
      <c r="K187" s="125"/>
      <c r="L187" s="125"/>
      <c r="M187" s="125"/>
      <c r="N187" s="129"/>
      <c r="O187" s="125"/>
      <c r="P187" s="173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spans="1:26" ht="15.75" customHeight="1">
      <c r="A188" s="125"/>
      <c r="B188" s="125"/>
      <c r="C188" s="125"/>
      <c r="D188" s="125"/>
      <c r="E188" s="125"/>
      <c r="F188" s="126"/>
      <c r="G188" s="125"/>
      <c r="H188" s="125"/>
      <c r="I188" s="125"/>
      <c r="J188" s="125"/>
      <c r="K188" s="125"/>
      <c r="L188" s="125"/>
      <c r="M188" s="125"/>
      <c r="N188" s="129"/>
      <c r="O188" s="125"/>
      <c r="P188" s="173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spans="1:26" ht="15.75" customHeight="1">
      <c r="A189" s="125"/>
      <c r="B189" s="125"/>
      <c r="C189" s="125"/>
      <c r="D189" s="125"/>
      <c r="E189" s="125"/>
      <c r="F189" s="126"/>
      <c r="G189" s="125"/>
      <c r="H189" s="125"/>
      <c r="I189" s="125"/>
      <c r="J189" s="125"/>
      <c r="K189" s="125"/>
      <c r="L189" s="125"/>
      <c r="M189" s="125"/>
      <c r="N189" s="129"/>
      <c r="O189" s="125"/>
      <c r="P189" s="173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spans="1:26" ht="15.75" customHeight="1">
      <c r="A190" s="125"/>
      <c r="B190" s="125"/>
      <c r="C190" s="125"/>
      <c r="D190" s="125"/>
      <c r="E190" s="125"/>
      <c r="F190" s="126"/>
      <c r="G190" s="125"/>
      <c r="H190" s="125"/>
      <c r="I190" s="125"/>
      <c r="J190" s="125"/>
      <c r="K190" s="125"/>
      <c r="L190" s="125"/>
      <c r="M190" s="125"/>
      <c r="N190" s="129"/>
      <c r="O190" s="125"/>
      <c r="P190" s="173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spans="1:26" ht="15.75" customHeight="1">
      <c r="A191" s="125"/>
      <c r="B191" s="125"/>
      <c r="C191" s="125"/>
      <c r="D191" s="125"/>
      <c r="E191" s="125"/>
      <c r="F191" s="126"/>
      <c r="G191" s="125"/>
      <c r="H191" s="125"/>
      <c r="I191" s="125"/>
      <c r="J191" s="125"/>
      <c r="K191" s="125"/>
      <c r="L191" s="125"/>
      <c r="M191" s="125"/>
      <c r="N191" s="129"/>
      <c r="O191" s="125"/>
      <c r="P191" s="173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spans="1:26" ht="15.75" customHeight="1">
      <c r="A192" s="125"/>
      <c r="B192" s="125"/>
      <c r="C192" s="125"/>
      <c r="D192" s="125"/>
      <c r="E192" s="125"/>
      <c r="F192" s="126"/>
      <c r="G192" s="125"/>
      <c r="H192" s="125"/>
      <c r="I192" s="125"/>
      <c r="J192" s="125"/>
      <c r="K192" s="125"/>
      <c r="L192" s="125"/>
      <c r="M192" s="125"/>
      <c r="N192" s="129"/>
      <c r="O192" s="125"/>
      <c r="P192" s="173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spans="1:26" ht="15.75" customHeight="1">
      <c r="A193" s="125"/>
      <c r="B193" s="125"/>
      <c r="C193" s="125"/>
      <c r="D193" s="125"/>
      <c r="E193" s="125"/>
      <c r="F193" s="126"/>
      <c r="G193" s="125"/>
      <c r="H193" s="125"/>
      <c r="I193" s="125"/>
      <c r="J193" s="125"/>
      <c r="K193" s="125"/>
      <c r="L193" s="125"/>
      <c r="M193" s="125"/>
      <c r="N193" s="129"/>
      <c r="O193" s="125"/>
      <c r="P193" s="173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spans="1:26" ht="15.75" customHeight="1">
      <c r="A194" s="125"/>
      <c r="B194" s="125"/>
      <c r="C194" s="125"/>
      <c r="D194" s="125"/>
      <c r="E194" s="125"/>
      <c r="F194" s="126"/>
      <c r="G194" s="125"/>
      <c r="H194" s="125"/>
      <c r="I194" s="125"/>
      <c r="J194" s="125"/>
      <c r="K194" s="125"/>
      <c r="L194" s="125"/>
      <c r="M194" s="125"/>
      <c r="N194" s="129"/>
      <c r="O194" s="125"/>
      <c r="P194" s="173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spans="1:26" ht="15.75" customHeight="1">
      <c r="A195" s="125"/>
      <c r="B195" s="125"/>
      <c r="C195" s="125"/>
      <c r="D195" s="125"/>
      <c r="E195" s="125"/>
      <c r="F195" s="126"/>
      <c r="G195" s="125"/>
      <c r="H195" s="125"/>
      <c r="I195" s="125"/>
      <c r="J195" s="125"/>
      <c r="K195" s="125"/>
      <c r="L195" s="125"/>
      <c r="M195" s="125"/>
      <c r="N195" s="129"/>
      <c r="O195" s="125"/>
      <c r="P195" s="173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spans="1:26" ht="15.75" customHeight="1">
      <c r="A196" s="125"/>
      <c r="B196" s="125"/>
      <c r="C196" s="125"/>
      <c r="D196" s="125"/>
      <c r="E196" s="125"/>
      <c r="F196" s="126"/>
      <c r="G196" s="125"/>
      <c r="H196" s="125"/>
      <c r="I196" s="125"/>
      <c r="J196" s="125"/>
      <c r="K196" s="125"/>
      <c r="L196" s="125"/>
      <c r="M196" s="125"/>
      <c r="N196" s="129"/>
      <c r="O196" s="125"/>
      <c r="P196" s="173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spans="1:26" ht="15.75" customHeight="1">
      <c r="A197" s="125"/>
      <c r="B197" s="125"/>
      <c r="C197" s="125"/>
      <c r="D197" s="125"/>
      <c r="E197" s="125"/>
      <c r="F197" s="126"/>
      <c r="G197" s="125"/>
      <c r="H197" s="125"/>
      <c r="I197" s="125"/>
      <c r="J197" s="125"/>
      <c r="K197" s="125"/>
      <c r="L197" s="125"/>
      <c r="M197" s="125"/>
      <c r="N197" s="129"/>
      <c r="O197" s="125"/>
      <c r="P197" s="173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spans="1:26" ht="15.75" customHeight="1">
      <c r="A198" s="125"/>
      <c r="B198" s="125"/>
      <c r="C198" s="125"/>
      <c r="D198" s="125"/>
      <c r="E198" s="125"/>
      <c r="F198" s="126"/>
      <c r="G198" s="125"/>
      <c r="H198" s="125"/>
      <c r="I198" s="125"/>
      <c r="J198" s="125"/>
      <c r="K198" s="125"/>
      <c r="L198" s="125"/>
      <c r="M198" s="125"/>
      <c r="N198" s="129"/>
      <c r="O198" s="125"/>
      <c r="P198" s="173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spans="1:26" ht="15.75" customHeight="1">
      <c r="A199" s="125"/>
      <c r="B199" s="125"/>
      <c r="C199" s="125"/>
      <c r="D199" s="125"/>
      <c r="E199" s="125"/>
      <c r="F199" s="126"/>
      <c r="G199" s="125"/>
      <c r="H199" s="125"/>
      <c r="I199" s="125"/>
      <c r="J199" s="125"/>
      <c r="K199" s="125"/>
      <c r="L199" s="125"/>
      <c r="M199" s="125"/>
      <c r="N199" s="129"/>
      <c r="O199" s="125"/>
      <c r="P199" s="173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spans="1:26" ht="15.75" customHeight="1">
      <c r="A200" s="125"/>
      <c r="B200" s="125"/>
      <c r="C200" s="125"/>
      <c r="D200" s="125"/>
      <c r="E200" s="125"/>
      <c r="F200" s="126"/>
      <c r="G200" s="125"/>
      <c r="H200" s="125"/>
      <c r="I200" s="125"/>
      <c r="J200" s="125"/>
      <c r="K200" s="125"/>
      <c r="L200" s="125"/>
      <c r="M200" s="125"/>
      <c r="N200" s="129"/>
      <c r="O200" s="125"/>
      <c r="P200" s="173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spans="1:26" ht="15.75" customHeight="1">
      <c r="A201" s="125"/>
      <c r="B201" s="125"/>
      <c r="C201" s="125"/>
      <c r="D201" s="125"/>
      <c r="E201" s="125"/>
      <c r="F201" s="126"/>
      <c r="G201" s="125"/>
      <c r="H201" s="125"/>
      <c r="I201" s="125"/>
      <c r="J201" s="125"/>
      <c r="K201" s="125"/>
      <c r="L201" s="125"/>
      <c r="M201" s="125"/>
      <c r="N201" s="129"/>
      <c r="O201" s="125"/>
      <c r="P201" s="173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spans="1:26" ht="15.75" customHeight="1">
      <c r="A202" s="125"/>
      <c r="B202" s="125"/>
      <c r="C202" s="125"/>
      <c r="D202" s="125"/>
      <c r="E202" s="125"/>
      <c r="F202" s="126"/>
      <c r="G202" s="125"/>
      <c r="H202" s="125"/>
      <c r="I202" s="125"/>
      <c r="J202" s="125"/>
      <c r="K202" s="125"/>
      <c r="L202" s="125"/>
      <c r="M202" s="125"/>
      <c r="N202" s="129"/>
      <c r="O202" s="125"/>
      <c r="P202" s="173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spans="1:26" ht="15.75" customHeight="1">
      <c r="A203" s="125"/>
      <c r="B203" s="125"/>
      <c r="C203" s="125"/>
      <c r="D203" s="125"/>
      <c r="E203" s="125"/>
      <c r="F203" s="126"/>
      <c r="G203" s="125"/>
      <c r="H203" s="125"/>
      <c r="I203" s="125"/>
      <c r="J203" s="125"/>
      <c r="K203" s="125"/>
      <c r="L203" s="125"/>
      <c r="M203" s="125"/>
      <c r="N203" s="129"/>
      <c r="O203" s="125"/>
      <c r="P203" s="173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spans="1:26" ht="15.75" customHeight="1">
      <c r="A204" s="125"/>
      <c r="B204" s="125"/>
      <c r="C204" s="125"/>
      <c r="D204" s="125"/>
      <c r="E204" s="125"/>
      <c r="F204" s="126"/>
      <c r="G204" s="125"/>
      <c r="H204" s="125"/>
      <c r="I204" s="125"/>
      <c r="J204" s="125"/>
      <c r="K204" s="125"/>
      <c r="L204" s="125"/>
      <c r="M204" s="125"/>
      <c r="N204" s="129"/>
      <c r="O204" s="125"/>
      <c r="P204" s="173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spans="1:26" ht="15.75" customHeight="1">
      <c r="A205" s="125"/>
      <c r="B205" s="125"/>
      <c r="C205" s="125"/>
      <c r="D205" s="125"/>
      <c r="E205" s="125"/>
      <c r="F205" s="126"/>
      <c r="G205" s="125"/>
      <c r="H205" s="125"/>
      <c r="I205" s="125"/>
      <c r="J205" s="125"/>
      <c r="K205" s="125"/>
      <c r="L205" s="125"/>
      <c r="M205" s="125"/>
      <c r="N205" s="129"/>
      <c r="O205" s="125"/>
      <c r="P205" s="173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spans="1:26" ht="15.75" customHeight="1">
      <c r="A206" s="125"/>
      <c r="B206" s="125"/>
      <c r="C206" s="125"/>
      <c r="D206" s="125"/>
      <c r="E206" s="125"/>
      <c r="F206" s="126"/>
      <c r="G206" s="125"/>
      <c r="H206" s="125"/>
      <c r="I206" s="125"/>
      <c r="J206" s="125"/>
      <c r="K206" s="125"/>
      <c r="L206" s="125"/>
      <c r="M206" s="125"/>
      <c r="N206" s="129"/>
      <c r="O206" s="125"/>
      <c r="P206" s="173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spans="1:26" ht="15.75" customHeight="1">
      <c r="A207" s="125"/>
      <c r="B207" s="125"/>
      <c r="C207" s="125"/>
      <c r="D207" s="125"/>
      <c r="E207" s="125"/>
      <c r="F207" s="126"/>
      <c r="G207" s="125"/>
      <c r="H207" s="125"/>
      <c r="I207" s="125"/>
      <c r="J207" s="125"/>
      <c r="K207" s="125"/>
      <c r="L207" s="125"/>
      <c r="M207" s="125"/>
      <c r="N207" s="129"/>
      <c r="O207" s="125"/>
      <c r="P207" s="173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spans="1:26" ht="15.75" customHeight="1">
      <c r="A208" s="125"/>
      <c r="B208" s="125"/>
      <c r="C208" s="125"/>
      <c r="D208" s="125"/>
      <c r="E208" s="125"/>
      <c r="F208" s="126"/>
      <c r="G208" s="125"/>
      <c r="H208" s="125"/>
      <c r="I208" s="125"/>
      <c r="J208" s="125"/>
      <c r="K208" s="125"/>
      <c r="L208" s="125"/>
      <c r="M208" s="125"/>
      <c r="N208" s="129"/>
      <c r="O208" s="125"/>
      <c r="P208" s="173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spans="1:26" ht="15.75" customHeight="1">
      <c r="A209" s="125"/>
      <c r="B209" s="125"/>
      <c r="C209" s="125"/>
      <c r="D209" s="125"/>
      <c r="E209" s="125"/>
      <c r="F209" s="126"/>
      <c r="G209" s="125"/>
      <c r="H209" s="125"/>
      <c r="I209" s="125"/>
      <c r="J209" s="125"/>
      <c r="K209" s="125"/>
      <c r="L209" s="125"/>
      <c r="M209" s="125"/>
      <c r="N209" s="129"/>
      <c r="O209" s="125"/>
      <c r="P209" s="173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spans="1:26" ht="15.75" customHeight="1">
      <c r="A210" s="125"/>
      <c r="B210" s="125"/>
      <c r="C210" s="125"/>
      <c r="D210" s="125"/>
      <c r="E210" s="125"/>
      <c r="F210" s="126"/>
      <c r="G210" s="125"/>
      <c r="H210" s="125"/>
      <c r="I210" s="125"/>
      <c r="J210" s="125"/>
      <c r="K210" s="125"/>
      <c r="L210" s="125"/>
      <c r="M210" s="125"/>
      <c r="N210" s="129"/>
      <c r="O210" s="125"/>
      <c r="P210" s="173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spans="1:26" ht="15.75" customHeight="1">
      <c r="A211" s="125"/>
      <c r="B211" s="125"/>
      <c r="C211" s="125"/>
      <c r="D211" s="125"/>
      <c r="E211" s="125"/>
      <c r="F211" s="126"/>
      <c r="G211" s="125"/>
      <c r="H211" s="125"/>
      <c r="I211" s="125"/>
      <c r="J211" s="125"/>
      <c r="K211" s="125"/>
      <c r="L211" s="125"/>
      <c r="M211" s="125"/>
      <c r="N211" s="129"/>
      <c r="O211" s="125"/>
      <c r="P211" s="173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spans="1:26" ht="15.75" customHeight="1">
      <c r="A212" s="125"/>
      <c r="B212" s="125"/>
      <c r="C212" s="125"/>
      <c r="D212" s="125"/>
      <c r="E212" s="125"/>
      <c r="F212" s="126"/>
      <c r="G212" s="125"/>
      <c r="H212" s="125"/>
      <c r="I212" s="125"/>
      <c r="J212" s="125"/>
      <c r="K212" s="125"/>
      <c r="L212" s="125"/>
      <c r="M212" s="125"/>
      <c r="N212" s="129"/>
      <c r="O212" s="125"/>
      <c r="P212" s="173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spans="1:26" ht="15.75" customHeight="1">
      <c r="A213" s="125"/>
      <c r="B213" s="125"/>
      <c r="C213" s="125"/>
      <c r="D213" s="125"/>
      <c r="E213" s="125"/>
      <c r="F213" s="126"/>
      <c r="G213" s="125"/>
      <c r="H213" s="125"/>
      <c r="I213" s="125"/>
      <c r="J213" s="125"/>
      <c r="K213" s="125"/>
      <c r="L213" s="125"/>
      <c r="M213" s="125"/>
      <c r="N213" s="129"/>
      <c r="O213" s="125"/>
      <c r="P213" s="173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spans="1:26" ht="15.75" customHeight="1">
      <c r="A214" s="125"/>
      <c r="B214" s="125"/>
      <c r="C214" s="125"/>
      <c r="D214" s="125"/>
      <c r="E214" s="125"/>
      <c r="F214" s="126"/>
      <c r="G214" s="125"/>
      <c r="H214" s="125"/>
      <c r="I214" s="125"/>
      <c r="J214" s="125"/>
      <c r="K214" s="125"/>
      <c r="L214" s="125"/>
      <c r="M214" s="125"/>
      <c r="N214" s="129"/>
      <c r="O214" s="125"/>
      <c r="P214" s="173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spans="1:26" ht="15.75" customHeight="1">
      <c r="A215" s="125"/>
      <c r="B215" s="125"/>
      <c r="C215" s="125"/>
      <c r="D215" s="125"/>
      <c r="E215" s="125"/>
      <c r="F215" s="126"/>
      <c r="G215" s="125"/>
      <c r="H215" s="125"/>
      <c r="I215" s="125"/>
      <c r="J215" s="125"/>
      <c r="K215" s="125"/>
      <c r="L215" s="125"/>
      <c r="M215" s="125"/>
      <c r="N215" s="129"/>
      <c r="O215" s="125"/>
      <c r="P215" s="173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spans="1:26" ht="15.75" customHeight="1">
      <c r="A216" s="125"/>
      <c r="B216" s="125"/>
      <c r="C216" s="125"/>
      <c r="D216" s="125"/>
      <c r="E216" s="125"/>
      <c r="F216" s="126"/>
      <c r="G216" s="125"/>
      <c r="H216" s="125"/>
      <c r="I216" s="125"/>
      <c r="J216" s="125"/>
      <c r="K216" s="125"/>
      <c r="L216" s="125"/>
      <c r="M216" s="125"/>
      <c r="N216" s="129"/>
      <c r="O216" s="125"/>
      <c r="P216" s="173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spans="1:26" ht="15.75" customHeight="1">
      <c r="A217" s="125"/>
      <c r="B217" s="125"/>
      <c r="C217" s="125"/>
      <c r="D217" s="125"/>
      <c r="E217" s="125"/>
      <c r="F217" s="126"/>
      <c r="G217" s="125"/>
      <c r="H217" s="125"/>
      <c r="I217" s="125"/>
      <c r="J217" s="125"/>
      <c r="K217" s="125"/>
      <c r="L217" s="125"/>
      <c r="M217" s="125"/>
      <c r="N217" s="129"/>
      <c r="O217" s="125"/>
      <c r="P217" s="173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spans="1:26" ht="15.75" customHeight="1">
      <c r="A218" s="125"/>
      <c r="B218" s="125"/>
      <c r="C218" s="125"/>
      <c r="D218" s="125"/>
      <c r="E218" s="125"/>
      <c r="F218" s="126"/>
      <c r="G218" s="125"/>
      <c r="H218" s="125"/>
      <c r="I218" s="125"/>
      <c r="J218" s="125"/>
      <c r="K218" s="125"/>
      <c r="L218" s="125"/>
      <c r="M218" s="125"/>
      <c r="N218" s="129"/>
      <c r="O218" s="125"/>
      <c r="P218" s="173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spans="1:26" ht="15.75" customHeight="1">
      <c r="A219" s="125"/>
      <c r="B219" s="125"/>
      <c r="C219" s="125"/>
      <c r="D219" s="125"/>
      <c r="E219" s="125"/>
      <c r="F219" s="126"/>
      <c r="G219" s="125"/>
      <c r="H219" s="125"/>
      <c r="I219" s="125"/>
      <c r="J219" s="125"/>
      <c r="K219" s="125"/>
      <c r="L219" s="125"/>
      <c r="M219" s="125"/>
      <c r="N219" s="129"/>
      <c r="O219" s="125"/>
      <c r="P219" s="173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spans="1:26" ht="15.75" customHeight="1">
      <c r="A220" s="125"/>
      <c r="B220" s="125"/>
      <c r="C220" s="125"/>
      <c r="D220" s="125"/>
      <c r="E220" s="125"/>
      <c r="F220" s="126"/>
      <c r="G220" s="125"/>
      <c r="H220" s="125"/>
      <c r="I220" s="125"/>
      <c r="J220" s="125"/>
      <c r="K220" s="125"/>
      <c r="L220" s="125"/>
      <c r="M220" s="125"/>
      <c r="N220" s="129"/>
      <c r="O220" s="125"/>
      <c r="P220" s="173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spans="1:26" ht="15.75" customHeight="1">
      <c r="A221" s="125"/>
      <c r="B221" s="125"/>
      <c r="C221" s="125"/>
      <c r="D221" s="125"/>
      <c r="E221" s="125"/>
      <c r="F221" s="126"/>
      <c r="G221" s="125"/>
      <c r="H221" s="125"/>
      <c r="I221" s="125"/>
      <c r="J221" s="125"/>
      <c r="K221" s="125"/>
      <c r="L221" s="125"/>
      <c r="M221" s="125"/>
      <c r="N221" s="129"/>
      <c r="O221" s="125"/>
      <c r="P221" s="173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spans="1:26" ht="15.75" customHeight="1">
      <c r="A222" s="125"/>
      <c r="B222" s="125"/>
      <c r="C222" s="125"/>
      <c r="D222" s="125"/>
      <c r="E222" s="125"/>
      <c r="F222" s="126"/>
      <c r="G222" s="125"/>
      <c r="H222" s="125"/>
      <c r="I222" s="125"/>
      <c r="J222" s="125"/>
      <c r="K222" s="125"/>
      <c r="L222" s="125"/>
      <c r="M222" s="125"/>
      <c r="N222" s="129"/>
      <c r="O222" s="125"/>
      <c r="P222" s="173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spans="1:26" ht="15.75" customHeight="1">
      <c r="A223" s="125"/>
      <c r="B223" s="125"/>
      <c r="C223" s="125"/>
      <c r="D223" s="125"/>
      <c r="E223" s="125"/>
      <c r="F223" s="126"/>
      <c r="G223" s="125"/>
      <c r="H223" s="125"/>
      <c r="I223" s="125"/>
      <c r="J223" s="125"/>
      <c r="K223" s="125"/>
      <c r="L223" s="125"/>
      <c r="M223" s="125"/>
      <c r="N223" s="129"/>
      <c r="O223" s="125"/>
      <c r="P223" s="173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spans="1:26" ht="15.75" customHeight="1">
      <c r="A224" s="125"/>
      <c r="B224" s="125"/>
      <c r="C224" s="125"/>
      <c r="D224" s="125"/>
      <c r="E224" s="125"/>
      <c r="F224" s="126"/>
      <c r="G224" s="125"/>
      <c r="H224" s="125"/>
      <c r="I224" s="125"/>
      <c r="J224" s="125"/>
      <c r="K224" s="125"/>
      <c r="L224" s="125"/>
      <c r="M224" s="125"/>
      <c r="N224" s="129"/>
      <c r="O224" s="125"/>
      <c r="P224" s="173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spans="1:26" ht="15.75" customHeight="1">
      <c r="A225" s="125"/>
      <c r="B225" s="125"/>
      <c r="C225" s="125"/>
      <c r="D225" s="125"/>
      <c r="E225" s="125"/>
      <c r="F225" s="126"/>
      <c r="G225" s="125"/>
      <c r="H225" s="125"/>
      <c r="I225" s="125"/>
      <c r="J225" s="125"/>
      <c r="K225" s="125"/>
      <c r="L225" s="125"/>
      <c r="M225" s="125"/>
      <c r="N225" s="129"/>
      <c r="O225" s="125"/>
      <c r="P225" s="173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spans="1:26" ht="15.75" customHeight="1">
      <c r="A226" s="125"/>
      <c r="B226" s="125"/>
      <c r="C226" s="125"/>
      <c r="D226" s="125"/>
      <c r="E226" s="125"/>
      <c r="F226" s="126"/>
      <c r="G226" s="125"/>
      <c r="H226" s="125"/>
      <c r="I226" s="125"/>
      <c r="J226" s="125"/>
      <c r="K226" s="125"/>
      <c r="L226" s="125"/>
      <c r="M226" s="125"/>
      <c r="N226" s="129"/>
      <c r="O226" s="125"/>
      <c r="P226" s="173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spans="1:26" ht="15.75" customHeight="1">
      <c r="A227" s="125"/>
      <c r="B227" s="125"/>
      <c r="C227" s="125"/>
      <c r="D227" s="125"/>
      <c r="E227" s="125"/>
      <c r="F227" s="126"/>
      <c r="G227" s="125"/>
      <c r="H227" s="125"/>
      <c r="I227" s="125"/>
      <c r="J227" s="125"/>
      <c r="K227" s="125"/>
      <c r="L227" s="125"/>
      <c r="M227" s="125"/>
      <c r="N227" s="129"/>
      <c r="O227" s="125"/>
      <c r="P227" s="173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spans="1:26" ht="15.75" customHeight="1">
      <c r="A228" s="125"/>
      <c r="B228" s="125"/>
      <c r="C228" s="125"/>
      <c r="D228" s="125"/>
      <c r="E228" s="125"/>
      <c r="F228" s="126"/>
      <c r="G228" s="125"/>
      <c r="H228" s="125"/>
      <c r="I228" s="125"/>
      <c r="J228" s="125"/>
      <c r="K228" s="125"/>
      <c r="L228" s="125"/>
      <c r="M228" s="125"/>
      <c r="N228" s="129"/>
      <c r="O228" s="125"/>
      <c r="P228" s="173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spans="1:26" ht="15.75" customHeight="1">
      <c r="A229" s="125"/>
      <c r="B229" s="125"/>
      <c r="C229" s="125"/>
      <c r="D229" s="125"/>
      <c r="E229" s="125"/>
      <c r="F229" s="126"/>
      <c r="G229" s="125"/>
      <c r="H229" s="125"/>
      <c r="I229" s="125"/>
      <c r="J229" s="125"/>
      <c r="K229" s="125"/>
      <c r="L229" s="125"/>
      <c r="M229" s="125"/>
      <c r="N229" s="129"/>
      <c r="O229" s="125"/>
      <c r="P229" s="173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spans="1:26" ht="15.75" customHeight="1">
      <c r="A230" s="125"/>
      <c r="B230" s="125"/>
      <c r="C230" s="125"/>
      <c r="D230" s="125"/>
      <c r="E230" s="125"/>
      <c r="F230" s="126"/>
      <c r="G230" s="125"/>
      <c r="H230" s="125"/>
      <c r="I230" s="125"/>
      <c r="J230" s="125"/>
      <c r="K230" s="125"/>
      <c r="L230" s="125"/>
      <c r="M230" s="125"/>
      <c r="N230" s="129"/>
      <c r="O230" s="125"/>
      <c r="P230" s="173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spans="1:26" ht="15.75" customHeight="1">
      <c r="A231" s="125"/>
      <c r="B231" s="125"/>
      <c r="C231" s="125"/>
      <c r="D231" s="125"/>
      <c r="E231" s="125"/>
      <c r="F231" s="126"/>
      <c r="G231" s="125"/>
      <c r="H231" s="125"/>
      <c r="I231" s="125"/>
      <c r="J231" s="125"/>
      <c r="K231" s="125"/>
      <c r="L231" s="125"/>
      <c r="M231" s="125"/>
      <c r="N231" s="129"/>
      <c r="O231" s="125"/>
      <c r="P231" s="173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spans="1:26" ht="15.75" customHeight="1">
      <c r="A232" s="125"/>
      <c r="B232" s="125"/>
      <c r="C232" s="125"/>
      <c r="D232" s="125"/>
      <c r="E232" s="125"/>
      <c r="F232" s="126"/>
      <c r="G232" s="125"/>
      <c r="H232" s="125"/>
      <c r="I232" s="125"/>
      <c r="J232" s="125"/>
      <c r="K232" s="125"/>
      <c r="L232" s="125"/>
      <c r="M232" s="125"/>
      <c r="N232" s="129"/>
      <c r="O232" s="125"/>
      <c r="P232" s="173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spans="1:26" ht="15.75" customHeight="1">
      <c r="A233" s="125"/>
      <c r="B233" s="125"/>
      <c r="C233" s="125"/>
      <c r="D233" s="125"/>
      <c r="E233" s="125"/>
      <c r="F233" s="126"/>
      <c r="G233" s="125"/>
      <c r="H233" s="125"/>
      <c r="I233" s="125"/>
      <c r="J233" s="125"/>
      <c r="K233" s="125"/>
      <c r="L233" s="125"/>
      <c r="M233" s="125"/>
      <c r="N233" s="129"/>
      <c r="O233" s="125"/>
      <c r="P233" s="173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spans="1:26" ht="15.75" customHeight="1">
      <c r="A234" s="125"/>
      <c r="B234" s="125"/>
      <c r="C234" s="125"/>
      <c r="D234" s="125"/>
      <c r="E234" s="125"/>
      <c r="F234" s="126"/>
      <c r="G234" s="125"/>
      <c r="H234" s="125"/>
      <c r="I234" s="125"/>
      <c r="J234" s="125"/>
      <c r="K234" s="125"/>
      <c r="L234" s="125"/>
      <c r="M234" s="125"/>
      <c r="N234" s="129"/>
      <c r="O234" s="125"/>
      <c r="P234" s="173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spans="1:26" ht="15.75" customHeight="1">
      <c r="A235" s="125"/>
      <c r="B235" s="125"/>
      <c r="C235" s="125"/>
      <c r="D235" s="125"/>
      <c r="E235" s="125"/>
      <c r="F235" s="126"/>
      <c r="G235" s="125"/>
      <c r="H235" s="125"/>
      <c r="I235" s="125"/>
      <c r="J235" s="125"/>
      <c r="K235" s="125"/>
      <c r="L235" s="125"/>
      <c r="M235" s="125"/>
      <c r="N235" s="129"/>
      <c r="O235" s="125"/>
      <c r="P235" s="173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spans="1:26" ht="15.75" customHeight="1">
      <c r="A236" s="125"/>
      <c r="B236" s="125"/>
      <c r="C236" s="125"/>
      <c r="D236" s="125"/>
      <c r="E236" s="125"/>
      <c r="F236" s="126"/>
      <c r="G236" s="125"/>
      <c r="H236" s="125"/>
      <c r="I236" s="125"/>
      <c r="J236" s="125"/>
      <c r="K236" s="125"/>
      <c r="L236" s="125"/>
      <c r="M236" s="125"/>
      <c r="N236" s="129"/>
      <c r="O236" s="125"/>
      <c r="P236" s="173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spans="1:26" ht="15.75" customHeight="1">
      <c r="A237" s="125"/>
      <c r="B237" s="125"/>
      <c r="C237" s="125"/>
      <c r="D237" s="125"/>
      <c r="E237" s="125"/>
      <c r="F237" s="126"/>
      <c r="G237" s="125"/>
      <c r="H237" s="125"/>
      <c r="I237" s="125"/>
      <c r="J237" s="125"/>
      <c r="K237" s="125"/>
      <c r="L237" s="125"/>
      <c r="M237" s="125"/>
      <c r="N237" s="129"/>
      <c r="O237" s="125"/>
      <c r="P237" s="173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spans="1:26" ht="15.75" customHeight="1">
      <c r="A238" s="125"/>
      <c r="B238" s="125"/>
      <c r="C238" s="125"/>
      <c r="D238" s="125"/>
      <c r="E238" s="125"/>
      <c r="F238" s="126"/>
      <c r="G238" s="125"/>
      <c r="H238" s="125"/>
      <c r="I238" s="125"/>
      <c r="J238" s="125"/>
      <c r="K238" s="125"/>
      <c r="L238" s="125"/>
      <c r="M238" s="125"/>
      <c r="N238" s="129"/>
      <c r="O238" s="125"/>
      <c r="P238" s="173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spans="1:26" ht="15.75" customHeight="1">
      <c r="A239" s="125"/>
      <c r="B239" s="125"/>
      <c r="C239" s="125"/>
      <c r="D239" s="125"/>
      <c r="E239" s="125"/>
      <c r="F239" s="126"/>
      <c r="G239" s="125"/>
      <c r="H239" s="125"/>
      <c r="I239" s="125"/>
      <c r="J239" s="125"/>
      <c r="K239" s="125"/>
      <c r="L239" s="125"/>
      <c r="M239" s="125"/>
      <c r="N239" s="129"/>
      <c r="O239" s="125"/>
      <c r="P239" s="173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spans="1:26" ht="15.75" customHeight="1">
      <c r="A240" s="125"/>
      <c r="B240" s="125"/>
      <c r="C240" s="125"/>
      <c r="D240" s="125"/>
      <c r="E240" s="125"/>
      <c r="F240" s="126"/>
      <c r="G240" s="125"/>
      <c r="H240" s="125"/>
      <c r="I240" s="125"/>
      <c r="J240" s="125"/>
      <c r="K240" s="125"/>
      <c r="L240" s="125"/>
      <c r="M240" s="125"/>
      <c r="N240" s="129"/>
      <c r="O240" s="125"/>
      <c r="P240" s="173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spans="1:26" ht="15.75" customHeight="1">
      <c r="A241" s="125"/>
      <c r="B241" s="125"/>
      <c r="C241" s="125"/>
      <c r="D241" s="125"/>
      <c r="E241" s="125"/>
      <c r="F241" s="126"/>
      <c r="G241" s="125"/>
      <c r="H241" s="125"/>
      <c r="I241" s="125"/>
      <c r="J241" s="125"/>
      <c r="K241" s="125"/>
      <c r="L241" s="125"/>
      <c r="M241" s="125"/>
      <c r="N241" s="129"/>
      <c r="O241" s="125"/>
      <c r="P241" s="173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spans="1:26" ht="15.75" customHeight="1">
      <c r="A242" s="125"/>
      <c r="B242" s="125"/>
      <c r="C242" s="125"/>
      <c r="D242" s="125"/>
      <c r="E242" s="125"/>
      <c r="F242" s="126"/>
      <c r="G242" s="125"/>
      <c r="H242" s="125"/>
      <c r="I242" s="125"/>
      <c r="J242" s="125"/>
      <c r="K242" s="125"/>
      <c r="L242" s="125"/>
      <c r="M242" s="125"/>
      <c r="N242" s="129"/>
      <c r="O242" s="125"/>
      <c r="P242" s="173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spans="1:26" ht="15.75" customHeight="1">
      <c r="A243" s="125"/>
      <c r="B243" s="125"/>
      <c r="C243" s="125"/>
      <c r="D243" s="125"/>
      <c r="E243" s="125"/>
      <c r="F243" s="126"/>
      <c r="G243" s="125"/>
      <c r="H243" s="125"/>
      <c r="I243" s="125"/>
      <c r="J243" s="125"/>
      <c r="K243" s="125"/>
      <c r="L243" s="125"/>
      <c r="M243" s="125"/>
      <c r="N243" s="129"/>
      <c r="O243" s="125"/>
      <c r="P243" s="173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spans="1:26" ht="15.75" customHeight="1">
      <c r="A244" s="125"/>
      <c r="B244" s="125"/>
      <c r="C244" s="125"/>
      <c r="D244" s="125"/>
      <c r="E244" s="125"/>
      <c r="F244" s="126"/>
      <c r="G244" s="125"/>
      <c r="H244" s="125"/>
      <c r="I244" s="125"/>
      <c r="J244" s="125"/>
      <c r="K244" s="125"/>
      <c r="L244" s="125"/>
      <c r="M244" s="125"/>
      <c r="N244" s="129"/>
      <c r="O244" s="125"/>
      <c r="P244" s="173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spans="1:26" ht="15.75" customHeight="1">
      <c r="A245" s="125"/>
      <c r="B245" s="125"/>
      <c r="C245" s="125"/>
      <c r="D245" s="125"/>
      <c r="E245" s="125"/>
      <c r="F245" s="126"/>
      <c r="G245" s="125"/>
      <c r="H245" s="125"/>
      <c r="I245" s="125"/>
      <c r="J245" s="125"/>
      <c r="K245" s="125"/>
      <c r="L245" s="125"/>
      <c r="M245" s="125"/>
      <c r="N245" s="129"/>
      <c r="O245" s="125"/>
      <c r="P245" s="173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spans="1:26" ht="15.75" customHeight="1">
      <c r="A246" s="125"/>
      <c r="B246" s="125"/>
      <c r="C246" s="125"/>
      <c r="D246" s="125"/>
      <c r="E246" s="125"/>
      <c r="F246" s="126"/>
      <c r="G246" s="125"/>
      <c r="H246" s="125"/>
      <c r="I246" s="125"/>
      <c r="J246" s="125"/>
      <c r="K246" s="125"/>
      <c r="L246" s="125"/>
      <c r="M246" s="125"/>
      <c r="N246" s="129"/>
      <c r="O246" s="125"/>
      <c r="P246" s="173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spans="1:26" ht="15.75" customHeight="1">
      <c r="A247" s="125"/>
      <c r="B247" s="125"/>
      <c r="C247" s="125"/>
      <c r="D247" s="125"/>
      <c r="E247" s="125"/>
      <c r="F247" s="126"/>
      <c r="G247" s="125"/>
      <c r="H247" s="125"/>
      <c r="I247" s="125"/>
      <c r="J247" s="125"/>
      <c r="K247" s="125"/>
      <c r="L247" s="125"/>
      <c r="M247" s="125"/>
      <c r="N247" s="129"/>
      <c r="O247" s="125"/>
      <c r="P247" s="173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spans="1:26" ht="15.75" customHeight="1">
      <c r="A248" s="125"/>
      <c r="B248" s="125"/>
      <c r="C248" s="125"/>
      <c r="D248" s="125"/>
      <c r="E248" s="125"/>
      <c r="F248" s="126"/>
      <c r="G248" s="125"/>
      <c r="H248" s="125"/>
      <c r="I248" s="125"/>
      <c r="J248" s="125"/>
      <c r="K248" s="125"/>
      <c r="L248" s="125"/>
      <c r="M248" s="125"/>
      <c r="N248" s="129"/>
      <c r="O248" s="125"/>
      <c r="P248" s="173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spans="1:26" ht="15.75" customHeight="1">
      <c r="A249" s="125"/>
      <c r="B249" s="125"/>
      <c r="C249" s="125"/>
      <c r="D249" s="125"/>
      <c r="E249" s="125"/>
      <c r="F249" s="126"/>
      <c r="G249" s="125"/>
      <c r="H249" s="125"/>
      <c r="I249" s="125"/>
      <c r="J249" s="125"/>
      <c r="K249" s="125"/>
      <c r="L249" s="125"/>
      <c r="M249" s="125"/>
      <c r="N249" s="129"/>
      <c r="O249" s="125"/>
      <c r="P249" s="173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spans="1:26" ht="15.75" customHeight="1">
      <c r="A250" s="125"/>
      <c r="B250" s="125"/>
      <c r="C250" s="125"/>
      <c r="D250" s="125"/>
      <c r="E250" s="125"/>
      <c r="F250" s="126"/>
      <c r="G250" s="125"/>
      <c r="H250" s="125"/>
      <c r="I250" s="125"/>
      <c r="J250" s="125"/>
      <c r="K250" s="125"/>
      <c r="L250" s="125"/>
      <c r="M250" s="125"/>
      <c r="N250" s="129"/>
      <c r="O250" s="125"/>
      <c r="P250" s="173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spans="1:26" ht="15.75" customHeight="1">
      <c r="A251" s="125"/>
      <c r="B251" s="125"/>
      <c r="C251" s="125"/>
      <c r="D251" s="125"/>
      <c r="E251" s="125"/>
      <c r="F251" s="126"/>
      <c r="G251" s="125"/>
      <c r="H251" s="125"/>
      <c r="I251" s="125"/>
      <c r="J251" s="125"/>
      <c r="K251" s="125"/>
      <c r="L251" s="125"/>
      <c r="M251" s="125"/>
      <c r="N251" s="129"/>
      <c r="O251" s="125"/>
      <c r="P251" s="173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spans="1:26" ht="15.75" customHeight="1">
      <c r="A252" s="125"/>
      <c r="B252" s="125"/>
      <c r="C252" s="125"/>
      <c r="D252" s="125"/>
      <c r="E252" s="125"/>
      <c r="F252" s="126"/>
      <c r="G252" s="125"/>
      <c r="H252" s="125"/>
      <c r="I252" s="125"/>
      <c r="J252" s="125"/>
      <c r="K252" s="125"/>
      <c r="L252" s="125"/>
      <c r="M252" s="125"/>
      <c r="N252" s="129"/>
      <c r="O252" s="125"/>
      <c r="P252" s="173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spans="1:26" ht="15.75" customHeight="1">
      <c r="A253" s="125"/>
      <c r="B253" s="125"/>
      <c r="C253" s="125"/>
      <c r="D253" s="125"/>
      <c r="E253" s="125"/>
      <c r="F253" s="126"/>
      <c r="G253" s="125"/>
      <c r="H253" s="125"/>
      <c r="I253" s="125"/>
      <c r="J253" s="125"/>
      <c r="K253" s="125"/>
      <c r="L253" s="125"/>
      <c r="M253" s="125"/>
      <c r="N253" s="129"/>
      <c r="O253" s="125"/>
      <c r="P253" s="173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spans="1:26" ht="15.75" customHeight="1">
      <c r="A254" s="125"/>
      <c r="B254" s="125"/>
      <c r="C254" s="125"/>
      <c r="D254" s="125"/>
      <c r="E254" s="125"/>
      <c r="F254" s="126"/>
      <c r="G254" s="125"/>
      <c r="H254" s="125"/>
      <c r="I254" s="125"/>
      <c r="J254" s="125"/>
      <c r="K254" s="125"/>
      <c r="L254" s="125"/>
      <c r="M254" s="125"/>
      <c r="N254" s="129"/>
      <c r="O254" s="125"/>
      <c r="P254" s="173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spans="1:26" ht="15.75" customHeight="1">
      <c r="A255" s="125"/>
      <c r="B255" s="125"/>
      <c r="C255" s="125"/>
      <c r="D255" s="125"/>
      <c r="E255" s="125"/>
      <c r="F255" s="126"/>
      <c r="G255" s="125"/>
      <c r="H255" s="125"/>
      <c r="I255" s="125"/>
      <c r="J255" s="125"/>
      <c r="K255" s="125"/>
      <c r="L255" s="125"/>
      <c r="M255" s="125"/>
      <c r="N255" s="129"/>
      <c r="O255" s="125"/>
      <c r="P255" s="173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spans="1:26" ht="15.75" customHeight="1">
      <c r="A256" s="125"/>
      <c r="B256" s="125"/>
      <c r="C256" s="125"/>
      <c r="D256" s="125"/>
      <c r="E256" s="125"/>
      <c r="F256" s="126"/>
      <c r="G256" s="125"/>
      <c r="H256" s="125"/>
      <c r="I256" s="125"/>
      <c r="J256" s="125"/>
      <c r="K256" s="125"/>
      <c r="L256" s="125"/>
      <c r="M256" s="125"/>
      <c r="N256" s="129"/>
      <c r="O256" s="125"/>
      <c r="P256" s="173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spans="1:26" ht="15.75" customHeight="1">
      <c r="A257" s="125"/>
      <c r="B257" s="125"/>
      <c r="C257" s="125"/>
      <c r="D257" s="125"/>
      <c r="E257" s="125"/>
      <c r="F257" s="126"/>
      <c r="G257" s="125"/>
      <c r="H257" s="125"/>
      <c r="I257" s="125"/>
      <c r="J257" s="125"/>
      <c r="K257" s="125"/>
      <c r="L257" s="125"/>
      <c r="M257" s="125"/>
      <c r="N257" s="129"/>
      <c r="O257" s="125"/>
      <c r="P257" s="173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spans="1:26" ht="15.75" customHeight="1">
      <c r="A258" s="125"/>
      <c r="B258" s="125"/>
      <c r="C258" s="125"/>
      <c r="D258" s="125"/>
      <c r="E258" s="125"/>
      <c r="F258" s="126"/>
      <c r="G258" s="125"/>
      <c r="H258" s="125"/>
      <c r="I258" s="125"/>
      <c r="J258" s="125"/>
      <c r="K258" s="125"/>
      <c r="L258" s="125"/>
      <c r="M258" s="125"/>
      <c r="N258" s="129"/>
      <c r="O258" s="125"/>
      <c r="P258" s="173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spans="1:26" ht="15.75" customHeight="1">
      <c r="A259" s="125"/>
      <c r="B259" s="125"/>
      <c r="C259" s="125"/>
      <c r="D259" s="125"/>
      <c r="E259" s="125"/>
      <c r="F259" s="126"/>
      <c r="G259" s="125"/>
      <c r="H259" s="125"/>
      <c r="I259" s="125"/>
      <c r="J259" s="125"/>
      <c r="K259" s="125"/>
      <c r="L259" s="125"/>
      <c r="M259" s="125"/>
      <c r="N259" s="129"/>
      <c r="O259" s="125"/>
      <c r="P259" s="173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spans="1:26" ht="15.75" customHeight="1">
      <c r="A260" s="125"/>
      <c r="B260" s="125"/>
      <c r="C260" s="125"/>
      <c r="D260" s="125"/>
      <c r="E260" s="125"/>
      <c r="F260" s="126"/>
      <c r="G260" s="125"/>
      <c r="H260" s="125"/>
      <c r="I260" s="125"/>
      <c r="J260" s="125"/>
      <c r="K260" s="125"/>
      <c r="L260" s="125"/>
      <c r="M260" s="125"/>
      <c r="N260" s="129"/>
      <c r="O260" s="125"/>
      <c r="P260" s="173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spans="1:26" ht="15.75" customHeight="1">
      <c r="A261" s="125"/>
      <c r="B261" s="125"/>
      <c r="C261" s="125"/>
      <c r="D261" s="125"/>
      <c r="E261" s="125"/>
      <c r="F261" s="126"/>
      <c r="G261" s="125"/>
      <c r="H261" s="125"/>
      <c r="I261" s="125"/>
      <c r="J261" s="125"/>
      <c r="K261" s="125"/>
      <c r="L261" s="125"/>
      <c r="M261" s="125"/>
      <c r="N261" s="129"/>
      <c r="O261" s="125"/>
      <c r="P261" s="173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spans="1:26" ht="15.75" customHeight="1">
      <c r="A262" s="125"/>
      <c r="B262" s="125"/>
      <c r="C262" s="125"/>
      <c r="D262" s="125"/>
      <c r="E262" s="125"/>
      <c r="F262" s="126"/>
      <c r="G262" s="125"/>
      <c r="H262" s="125"/>
      <c r="I262" s="125"/>
      <c r="J262" s="125"/>
      <c r="K262" s="125"/>
      <c r="L262" s="125"/>
      <c r="M262" s="125"/>
      <c r="N262" s="129"/>
      <c r="O262" s="125"/>
      <c r="P262" s="173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spans="1:26" ht="15.75" customHeight="1">
      <c r="A263" s="125"/>
      <c r="B263" s="125"/>
      <c r="C263" s="125"/>
      <c r="D263" s="125"/>
      <c r="E263" s="125"/>
      <c r="F263" s="126"/>
      <c r="G263" s="125"/>
      <c r="H263" s="125"/>
      <c r="I263" s="125"/>
      <c r="J263" s="125"/>
      <c r="K263" s="125"/>
      <c r="L263" s="125"/>
      <c r="M263" s="125"/>
      <c r="N263" s="129"/>
      <c r="O263" s="125"/>
      <c r="P263" s="173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spans="1:26" ht="15.75" customHeight="1">
      <c r="A264" s="125"/>
      <c r="B264" s="125"/>
      <c r="C264" s="125"/>
      <c r="D264" s="125"/>
      <c r="E264" s="125"/>
      <c r="F264" s="126"/>
      <c r="G264" s="125"/>
      <c r="H264" s="125"/>
      <c r="I264" s="125"/>
      <c r="J264" s="125"/>
      <c r="K264" s="125"/>
      <c r="L264" s="125"/>
      <c r="M264" s="125"/>
      <c r="N264" s="129"/>
      <c r="O264" s="125"/>
      <c r="P264" s="173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spans="1:26" ht="15.75" customHeight="1">
      <c r="A265" s="125"/>
      <c r="B265" s="125"/>
      <c r="C265" s="125"/>
      <c r="D265" s="125"/>
      <c r="E265" s="125"/>
      <c r="F265" s="126"/>
      <c r="G265" s="125"/>
      <c r="H265" s="125"/>
      <c r="I265" s="125"/>
      <c r="J265" s="125"/>
      <c r="K265" s="125"/>
      <c r="L265" s="125"/>
      <c r="M265" s="125"/>
      <c r="N265" s="129"/>
      <c r="O265" s="125"/>
      <c r="P265" s="173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spans="1:26" ht="15.75" customHeight="1">
      <c r="A266" s="125"/>
      <c r="B266" s="125"/>
      <c r="C266" s="125"/>
      <c r="D266" s="125"/>
      <c r="E266" s="125"/>
      <c r="F266" s="126"/>
      <c r="G266" s="125"/>
      <c r="H266" s="125"/>
      <c r="I266" s="125"/>
      <c r="J266" s="125"/>
      <c r="K266" s="125"/>
      <c r="L266" s="125"/>
      <c r="M266" s="125"/>
      <c r="N266" s="129"/>
      <c r="O266" s="125"/>
      <c r="P266" s="173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spans="1:26" ht="15.75" customHeight="1">
      <c r="A267" s="125"/>
      <c r="B267" s="125"/>
      <c r="C267" s="125"/>
      <c r="D267" s="125"/>
      <c r="E267" s="125"/>
      <c r="F267" s="126"/>
      <c r="G267" s="125"/>
      <c r="H267" s="125"/>
      <c r="I267" s="125"/>
      <c r="J267" s="125"/>
      <c r="K267" s="125"/>
      <c r="L267" s="125"/>
      <c r="M267" s="125"/>
      <c r="N267" s="129"/>
      <c r="O267" s="125"/>
      <c r="P267" s="173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spans="1:26" ht="15.75" customHeight="1">
      <c r="A268" s="125"/>
      <c r="B268" s="125"/>
      <c r="C268" s="125"/>
      <c r="D268" s="125"/>
      <c r="E268" s="125"/>
      <c r="F268" s="126"/>
      <c r="G268" s="125"/>
      <c r="H268" s="125"/>
      <c r="I268" s="125"/>
      <c r="J268" s="125"/>
      <c r="K268" s="125"/>
      <c r="L268" s="125"/>
      <c r="M268" s="125"/>
      <c r="N268" s="129"/>
      <c r="O268" s="125"/>
      <c r="P268" s="173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spans="1:26" ht="15.75" customHeight="1">
      <c r="A269" s="125"/>
      <c r="B269" s="125"/>
      <c r="C269" s="125"/>
      <c r="D269" s="125"/>
      <c r="E269" s="125"/>
      <c r="F269" s="126"/>
      <c r="G269" s="125"/>
      <c r="H269" s="125"/>
      <c r="I269" s="125"/>
      <c r="J269" s="125"/>
      <c r="K269" s="125"/>
      <c r="L269" s="125"/>
      <c r="M269" s="125"/>
      <c r="N269" s="129"/>
      <c r="O269" s="125"/>
      <c r="P269" s="173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spans="1:26" ht="15.75" customHeight="1">
      <c r="A270" s="125"/>
      <c r="B270" s="125"/>
      <c r="C270" s="125"/>
      <c r="D270" s="125"/>
      <c r="E270" s="125"/>
      <c r="F270" s="126"/>
      <c r="G270" s="125"/>
      <c r="H270" s="125"/>
      <c r="I270" s="125"/>
      <c r="J270" s="125"/>
      <c r="K270" s="125"/>
      <c r="L270" s="125"/>
      <c r="M270" s="125"/>
      <c r="N270" s="129"/>
      <c r="O270" s="125"/>
      <c r="P270" s="173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spans="1:26" ht="15.75" customHeight="1">
      <c r="A271" s="125"/>
      <c r="B271" s="125"/>
      <c r="C271" s="125"/>
      <c r="D271" s="125"/>
      <c r="E271" s="125"/>
      <c r="F271" s="126"/>
      <c r="G271" s="125"/>
      <c r="H271" s="125"/>
      <c r="I271" s="125"/>
      <c r="J271" s="125"/>
      <c r="K271" s="125"/>
      <c r="L271" s="125"/>
      <c r="M271" s="125"/>
      <c r="N271" s="129"/>
      <c r="O271" s="125"/>
      <c r="P271" s="173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spans="1:26" ht="15.75" customHeight="1">
      <c r="A272" s="125"/>
      <c r="B272" s="125"/>
      <c r="C272" s="125"/>
      <c r="D272" s="125"/>
      <c r="E272" s="125"/>
      <c r="F272" s="126"/>
      <c r="G272" s="125"/>
      <c r="H272" s="125"/>
      <c r="I272" s="125"/>
      <c r="J272" s="125"/>
      <c r="K272" s="125"/>
      <c r="L272" s="125"/>
      <c r="M272" s="125"/>
      <c r="N272" s="129"/>
      <c r="O272" s="125"/>
      <c r="P272" s="173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spans="1:26" ht="15.75" customHeight="1">
      <c r="A273" s="125"/>
      <c r="B273" s="125"/>
      <c r="C273" s="125"/>
      <c r="D273" s="125"/>
      <c r="E273" s="125"/>
      <c r="F273" s="126"/>
      <c r="G273" s="125"/>
      <c r="H273" s="125"/>
      <c r="I273" s="125"/>
      <c r="J273" s="125"/>
      <c r="K273" s="125"/>
      <c r="L273" s="125"/>
      <c r="M273" s="125"/>
      <c r="N273" s="129"/>
      <c r="O273" s="125"/>
      <c r="P273" s="173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ht="15.75" customHeight="1">
      <c r="A274" s="125"/>
      <c r="B274" s="125"/>
      <c r="C274" s="125"/>
      <c r="D274" s="125"/>
      <c r="E274" s="125"/>
      <c r="F274" s="126"/>
      <c r="G274" s="125"/>
      <c r="H274" s="125"/>
      <c r="I274" s="125"/>
      <c r="J274" s="125"/>
      <c r="K274" s="125"/>
      <c r="L274" s="125"/>
      <c r="M274" s="125"/>
      <c r="N274" s="129"/>
      <c r="O274" s="125"/>
      <c r="P274" s="173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spans="1:26" ht="15.75" customHeight="1">
      <c r="A275" s="125"/>
      <c r="B275" s="125"/>
      <c r="C275" s="125"/>
      <c r="D275" s="125"/>
      <c r="E275" s="125"/>
      <c r="F275" s="126"/>
      <c r="G275" s="125"/>
      <c r="H275" s="125"/>
      <c r="I275" s="125"/>
      <c r="J275" s="125"/>
      <c r="K275" s="125"/>
      <c r="L275" s="125"/>
      <c r="M275" s="125"/>
      <c r="N275" s="129"/>
      <c r="O275" s="125"/>
      <c r="P275" s="173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spans="1:26" ht="15.75" customHeight="1">
      <c r="A276" s="125"/>
      <c r="B276" s="125"/>
      <c r="C276" s="125"/>
      <c r="D276" s="125"/>
      <c r="E276" s="125"/>
      <c r="F276" s="126"/>
      <c r="G276" s="125"/>
      <c r="H276" s="125"/>
      <c r="I276" s="125"/>
      <c r="J276" s="125"/>
      <c r="K276" s="125"/>
      <c r="L276" s="125"/>
      <c r="M276" s="125"/>
      <c r="N276" s="129"/>
      <c r="O276" s="125"/>
      <c r="P276" s="173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spans="1:26" ht="15.75" customHeight="1">
      <c r="A277" s="125"/>
      <c r="B277" s="125"/>
      <c r="C277" s="125"/>
      <c r="D277" s="125"/>
      <c r="E277" s="125"/>
      <c r="F277" s="126"/>
      <c r="G277" s="125"/>
      <c r="H277" s="125"/>
      <c r="I277" s="125"/>
      <c r="J277" s="125"/>
      <c r="K277" s="125"/>
      <c r="L277" s="125"/>
      <c r="M277" s="125"/>
      <c r="N277" s="129"/>
      <c r="O277" s="125"/>
      <c r="P277" s="173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spans="1:26" ht="15.75" customHeight="1">
      <c r="A278" s="125"/>
      <c r="B278" s="125"/>
      <c r="C278" s="125"/>
      <c r="D278" s="125"/>
      <c r="E278" s="125"/>
      <c r="F278" s="126"/>
      <c r="G278" s="125"/>
      <c r="H278" s="125"/>
      <c r="I278" s="125"/>
      <c r="J278" s="125"/>
      <c r="K278" s="125"/>
      <c r="L278" s="125"/>
      <c r="M278" s="125"/>
      <c r="N278" s="129"/>
      <c r="O278" s="125"/>
      <c r="P278" s="173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spans="1:26" ht="15.75" customHeight="1">
      <c r="A279" s="125"/>
      <c r="B279" s="125"/>
      <c r="C279" s="125"/>
      <c r="D279" s="125"/>
      <c r="E279" s="125"/>
      <c r="F279" s="126"/>
      <c r="G279" s="125"/>
      <c r="H279" s="125"/>
      <c r="I279" s="125"/>
      <c r="J279" s="125"/>
      <c r="K279" s="125"/>
      <c r="L279" s="125"/>
      <c r="M279" s="125"/>
      <c r="N279" s="129"/>
      <c r="O279" s="125"/>
      <c r="P279" s="173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spans="1:26" ht="15.75" customHeight="1">
      <c r="A280" s="125"/>
      <c r="B280" s="125"/>
      <c r="C280" s="125"/>
      <c r="D280" s="125"/>
      <c r="E280" s="125"/>
      <c r="F280" s="126"/>
      <c r="G280" s="125"/>
      <c r="H280" s="125"/>
      <c r="I280" s="125"/>
      <c r="J280" s="125"/>
      <c r="K280" s="125"/>
      <c r="L280" s="125"/>
      <c r="M280" s="125"/>
      <c r="N280" s="129"/>
      <c r="O280" s="125"/>
      <c r="P280" s="173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spans="1:26" ht="15.75" customHeight="1">
      <c r="A281" s="125"/>
      <c r="B281" s="125"/>
      <c r="C281" s="125"/>
      <c r="D281" s="125"/>
      <c r="E281" s="125"/>
      <c r="F281" s="126"/>
      <c r="G281" s="125"/>
      <c r="H281" s="125"/>
      <c r="I281" s="125"/>
      <c r="J281" s="125"/>
      <c r="K281" s="125"/>
      <c r="L281" s="125"/>
      <c r="M281" s="125"/>
      <c r="N281" s="129"/>
      <c r="O281" s="125"/>
      <c r="P281" s="173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spans="1:26" ht="15.75" customHeight="1">
      <c r="A282" s="125"/>
      <c r="B282" s="125"/>
      <c r="C282" s="125"/>
      <c r="D282" s="125"/>
      <c r="E282" s="125"/>
      <c r="F282" s="126"/>
      <c r="G282" s="125"/>
      <c r="H282" s="125"/>
      <c r="I282" s="125"/>
      <c r="J282" s="125"/>
      <c r="K282" s="125"/>
      <c r="L282" s="125"/>
      <c r="M282" s="125"/>
      <c r="N282" s="129"/>
      <c r="O282" s="125"/>
      <c r="P282" s="173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spans="1:26" ht="15.75" customHeight="1">
      <c r="A283" s="125"/>
      <c r="B283" s="125"/>
      <c r="C283" s="125"/>
      <c r="D283" s="125"/>
      <c r="E283" s="125"/>
      <c r="F283" s="126"/>
      <c r="G283" s="125"/>
      <c r="H283" s="125"/>
      <c r="I283" s="125"/>
      <c r="J283" s="125"/>
      <c r="K283" s="125"/>
      <c r="L283" s="125"/>
      <c r="M283" s="125"/>
      <c r="N283" s="129"/>
      <c r="O283" s="125"/>
      <c r="P283" s="173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spans="1:26" ht="15.75" customHeight="1">
      <c r="A284" s="125"/>
      <c r="B284" s="125"/>
      <c r="C284" s="125"/>
      <c r="D284" s="125"/>
      <c r="E284" s="125"/>
      <c r="F284" s="126"/>
      <c r="G284" s="125"/>
      <c r="H284" s="125"/>
      <c r="I284" s="125"/>
      <c r="J284" s="125"/>
      <c r="K284" s="125"/>
      <c r="L284" s="125"/>
      <c r="M284" s="125"/>
      <c r="N284" s="129"/>
      <c r="O284" s="125"/>
      <c r="P284" s="173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spans="1:26" ht="15.75" customHeight="1">
      <c r="A285" s="125"/>
      <c r="B285" s="125"/>
      <c r="C285" s="125"/>
      <c r="D285" s="125"/>
      <c r="E285" s="125"/>
      <c r="F285" s="126"/>
      <c r="G285" s="125"/>
      <c r="H285" s="125"/>
      <c r="I285" s="125"/>
      <c r="J285" s="125"/>
      <c r="K285" s="125"/>
      <c r="L285" s="125"/>
      <c r="M285" s="125"/>
      <c r="N285" s="129"/>
      <c r="O285" s="125"/>
      <c r="P285" s="173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spans="1:26" ht="15.75" customHeight="1">
      <c r="A286" s="125"/>
      <c r="B286" s="125"/>
      <c r="C286" s="125"/>
      <c r="D286" s="125"/>
      <c r="E286" s="125"/>
      <c r="F286" s="126"/>
      <c r="G286" s="125"/>
      <c r="H286" s="125"/>
      <c r="I286" s="125"/>
      <c r="J286" s="125"/>
      <c r="K286" s="125"/>
      <c r="L286" s="125"/>
      <c r="M286" s="125"/>
      <c r="N286" s="129"/>
      <c r="O286" s="125"/>
      <c r="P286" s="173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spans="1:26" ht="15.75" customHeight="1">
      <c r="A287" s="125"/>
      <c r="B287" s="125"/>
      <c r="C287" s="125"/>
      <c r="D287" s="125"/>
      <c r="E287" s="125"/>
      <c r="F287" s="126"/>
      <c r="G287" s="125"/>
      <c r="H287" s="125"/>
      <c r="I287" s="125"/>
      <c r="J287" s="125"/>
      <c r="K287" s="125"/>
      <c r="L287" s="125"/>
      <c r="M287" s="125"/>
      <c r="N287" s="129"/>
      <c r="O287" s="125"/>
      <c r="P287" s="173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spans="1:26" ht="15.75" customHeight="1">
      <c r="A288" s="125"/>
      <c r="B288" s="125"/>
      <c r="C288" s="125"/>
      <c r="D288" s="125"/>
      <c r="E288" s="125"/>
      <c r="F288" s="126"/>
      <c r="G288" s="125"/>
      <c r="H288" s="125"/>
      <c r="I288" s="125"/>
      <c r="J288" s="125"/>
      <c r="K288" s="125"/>
      <c r="L288" s="125"/>
      <c r="M288" s="125"/>
      <c r="N288" s="129"/>
      <c r="O288" s="125"/>
      <c r="P288" s="173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spans="1:26" ht="15.75" customHeight="1">
      <c r="A289" s="125"/>
      <c r="B289" s="125"/>
      <c r="C289" s="125"/>
      <c r="D289" s="125"/>
      <c r="E289" s="125"/>
      <c r="F289" s="126"/>
      <c r="G289" s="125"/>
      <c r="H289" s="125"/>
      <c r="I289" s="125"/>
      <c r="J289" s="125"/>
      <c r="K289" s="125"/>
      <c r="L289" s="125"/>
      <c r="M289" s="125"/>
      <c r="N289" s="129"/>
      <c r="O289" s="125"/>
      <c r="P289" s="173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spans="1:26" ht="15.75" customHeight="1">
      <c r="A290" s="125"/>
      <c r="B290" s="125"/>
      <c r="C290" s="125"/>
      <c r="D290" s="125"/>
      <c r="E290" s="125"/>
      <c r="F290" s="126"/>
      <c r="G290" s="125"/>
      <c r="H290" s="125"/>
      <c r="I290" s="125"/>
      <c r="J290" s="125"/>
      <c r="K290" s="125"/>
      <c r="L290" s="125"/>
      <c r="M290" s="125"/>
      <c r="N290" s="129"/>
      <c r="O290" s="125"/>
      <c r="P290" s="173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spans="1:26" ht="15.75" customHeight="1">
      <c r="A291" s="125"/>
      <c r="B291" s="125"/>
      <c r="C291" s="125"/>
      <c r="D291" s="125"/>
      <c r="E291" s="125"/>
      <c r="F291" s="126"/>
      <c r="G291" s="125"/>
      <c r="H291" s="125"/>
      <c r="I291" s="125"/>
      <c r="J291" s="125"/>
      <c r="K291" s="125"/>
      <c r="L291" s="125"/>
      <c r="M291" s="125"/>
      <c r="N291" s="129"/>
      <c r="O291" s="125"/>
      <c r="P291" s="173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spans="1:26" ht="15.75" customHeight="1">
      <c r="A292" s="125"/>
      <c r="B292" s="125"/>
      <c r="C292" s="125"/>
      <c r="D292" s="125"/>
      <c r="E292" s="125"/>
      <c r="F292" s="126"/>
      <c r="G292" s="125"/>
      <c r="H292" s="125"/>
      <c r="I292" s="125"/>
      <c r="J292" s="125"/>
      <c r="K292" s="125"/>
      <c r="L292" s="125"/>
      <c r="M292" s="125"/>
      <c r="N292" s="129"/>
      <c r="O292" s="125"/>
      <c r="P292" s="173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spans="1:26" ht="15.75" customHeight="1">
      <c r="A293" s="125"/>
      <c r="B293" s="125"/>
      <c r="C293" s="125"/>
      <c r="D293" s="125"/>
      <c r="E293" s="125"/>
      <c r="F293" s="126"/>
      <c r="G293" s="125"/>
      <c r="H293" s="125"/>
      <c r="I293" s="125"/>
      <c r="J293" s="125"/>
      <c r="K293" s="125"/>
      <c r="L293" s="125"/>
      <c r="M293" s="125"/>
      <c r="N293" s="129"/>
      <c r="O293" s="125"/>
      <c r="P293" s="173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spans="1:26" ht="15.75" customHeight="1">
      <c r="A294" s="125"/>
      <c r="B294" s="125"/>
      <c r="C294" s="125"/>
      <c r="D294" s="125"/>
      <c r="E294" s="125"/>
      <c r="F294" s="126"/>
      <c r="G294" s="125"/>
      <c r="H294" s="125"/>
      <c r="I294" s="125"/>
      <c r="J294" s="125"/>
      <c r="K294" s="125"/>
      <c r="L294" s="125"/>
      <c r="M294" s="125"/>
      <c r="N294" s="129"/>
      <c r="O294" s="125"/>
      <c r="P294" s="173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spans="1:26" ht="15.75" customHeight="1">
      <c r="A295" s="125"/>
      <c r="B295" s="125"/>
      <c r="C295" s="125"/>
      <c r="D295" s="125"/>
      <c r="E295" s="125"/>
      <c r="F295" s="126"/>
      <c r="G295" s="125"/>
      <c r="H295" s="125"/>
      <c r="I295" s="125"/>
      <c r="J295" s="125"/>
      <c r="K295" s="125"/>
      <c r="L295" s="125"/>
      <c r="M295" s="125"/>
      <c r="N295" s="129"/>
      <c r="O295" s="125"/>
      <c r="P295" s="173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spans="1:26" ht="15.75" customHeight="1">
      <c r="A296" s="125"/>
      <c r="B296" s="125"/>
      <c r="C296" s="125"/>
      <c r="D296" s="125"/>
      <c r="E296" s="125"/>
      <c r="F296" s="126"/>
      <c r="G296" s="125"/>
      <c r="H296" s="125"/>
      <c r="I296" s="125"/>
      <c r="J296" s="125"/>
      <c r="K296" s="125"/>
      <c r="L296" s="125"/>
      <c r="M296" s="125"/>
      <c r="N296" s="129"/>
      <c r="O296" s="125"/>
      <c r="P296" s="173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spans="1:26" ht="15.75" customHeight="1">
      <c r="A297" s="125"/>
      <c r="B297" s="125"/>
      <c r="C297" s="125"/>
      <c r="D297" s="125"/>
      <c r="E297" s="125"/>
      <c r="F297" s="126"/>
      <c r="G297" s="125"/>
      <c r="H297" s="125"/>
      <c r="I297" s="125"/>
      <c r="J297" s="125"/>
      <c r="K297" s="125"/>
      <c r="L297" s="125"/>
      <c r="M297" s="125"/>
      <c r="N297" s="129"/>
      <c r="O297" s="125"/>
      <c r="P297" s="173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spans="1:26" ht="15.75" customHeight="1">
      <c r="A298" s="125"/>
      <c r="B298" s="125"/>
      <c r="C298" s="125"/>
      <c r="D298" s="125"/>
      <c r="E298" s="125"/>
      <c r="F298" s="126"/>
      <c r="G298" s="125"/>
      <c r="H298" s="125"/>
      <c r="I298" s="125"/>
      <c r="J298" s="125"/>
      <c r="K298" s="125"/>
      <c r="L298" s="125"/>
      <c r="M298" s="125"/>
      <c r="N298" s="129"/>
      <c r="O298" s="125"/>
      <c r="P298" s="173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spans="1:26" ht="15.75" customHeight="1">
      <c r="A299" s="125"/>
      <c r="B299" s="125"/>
      <c r="C299" s="125"/>
      <c r="D299" s="125"/>
      <c r="E299" s="125"/>
      <c r="F299" s="126"/>
      <c r="G299" s="125"/>
      <c r="H299" s="125"/>
      <c r="I299" s="125"/>
      <c r="J299" s="125"/>
      <c r="K299" s="125"/>
      <c r="L299" s="125"/>
      <c r="M299" s="125"/>
      <c r="N299" s="129"/>
      <c r="O299" s="125"/>
      <c r="P299" s="173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spans="1:26" ht="15.75" customHeight="1">
      <c r="A300" s="125"/>
      <c r="B300" s="125"/>
      <c r="C300" s="125"/>
      <c r="D300" s="125"/>
      <c r="E300" s="125"/>
      <c r="F300" s="126"/>
      <c r="G300" s="125"/>
      <c r="H300" s="125"/>
      <c r="I300" s="125"/>
      <c r="J300" s="125"/>
      <c r="K300" s="125"/>
      <c r="L300" s="125"/>
      <c r="M300" s="125"/>
      <c r="N300" s="129"/>
      <c r="O300" s="125"/>
      <c r="P300" s="173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spans="1:26" ht="15.75" customHeight="1">
      <c r="A301" s="125"/>
      <c r="B301" s="125"/>
      <c r="C301" s="125"/>
      <c r="D301" s="125"/>
      <c r="E301" s="125"/>
      <c r="F301" s="126"/>
      <c r="G301" s="125"/>
      <c r="H301" s="125"/>
      <c r="I301" s="125"/>
      <c r="J301" s="125"/>
      <c r="K301" s="125"/>
      <c r="L301" s="125"/>
      <c r="M301" s="125"/>
      <c r="N301" s="129"/>
      <c r="O301" s="125"/>
      <c r="P301" s="173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spans="1:26" ht="15.75" customHeight="1">
      <c r="A302" s="125"/>
      <c r="B302" s="125"/>
      <c r="C302" s="125"/>
      <c r="D302" s="125"/>
      <c r="E302" s="125"/>
      <c r="F302" s="126"/>
      <c r="G302" s="125"/>
      <c r="H302" s="125"/>
      <c r="I302" s="125"/>
      <c r="J302" s="125"/>
      <c r="K302" s="125"/>
      <c r="L302" s="125"/>
      <c r="M302" s="125"/>
      <c r="N302" s="129"/>
      <c r="O302" s="125"/>
      <c r="P302" s="173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spans="1:26" ht="15.75" customHeight="1">
      <c r="A303" s="125"/>
      <c r="B303" s="125"/>
      <c r="C303" s="125"/>
      <c r="D303" s="125"/>
      <c r="E303" s="125"/>
      <c r="F303" s="126"/>
      <c r="G303" s="125"/>
      <c r="H303" s="125"/>
      <c r="I303" s="125"/>
      <c r="J303" s="125"/>
      <c r="K303" s="125"/>
      <c r="L303" s="125"/>
      <c r="M303" s="125"/>
      <c r="N303" s="129"/>
      <c r="O303" s="125"/>
      <c r="P303" s="173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spans="1:26" ht="15.75" customHeight="1">
      <c r="A304" s="125"/>
      <c r="B304" s="125"/>
      <c r="C304" s="125"/>
      <c r="D304" s="125"/>
      <c r="E304" s="125"/>
      <c r="F304" s="126"/>
      <c r="G304" s="125"/>
      <c r="H304" s="125"/>
      <c r="I304" s="125"/>
      <c r="J304" s="125"/>
      <c r="K304" s="125"/>
      <c r="L304" s="125"/>
      <c r="M304" s="125"/>
      <c r="N304" s="129"/>
      <c r="O304" s="125"/>
      <c r="P304" s="173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spans="1:26" ht="15.75" customHeight="1">
      <c r="A305" s="125"/>
      <c r="B305" s="125"/>
      <c r="C305" s="125"/>
      <c r="D305" s="125"/>
      <c r="E305" s="125"/>
      <c r="F305" s="126"/>
      <c r="G305" s="125"/>
      <c r="H305" s="125"/>
      <c r="I305" s="125"/>
      <c r="J305" s="125"/>
      <c r="K305" s="125"/>
      <c r="L305" s="125"/>
      <c r="M305" s="125"/>
      <c r="N305" s="129"/>
      <c r="O305" s="125"/>
      <c r="P305" s="173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spans="1:26" ht="15.75" customHeight="1">
      <c r="A306" s="125"/>
      <c r="B306" s="125"/>
      <c r="C306" s="125"/>
      <c r="D306" s="125"/>
      <c r="E306" s="125"/>
      <c r="F306" s="126"/>
      <c r="G306" s="125"/>
      <c r="H306" s="125"/>
      <c r="I306" s="125"/>
      <c r="J306" s="125"/>
      <c r="K306" s="125"/>
      <c r="L306" s="125"/>
      <c r="M306" s="125"/>
      <c r="N306" s="129"/>
      <c r="O306" s="125"/>
      <c r="P306" s="173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spans="1:26" ht="15.75" customHeight="1">
      <c r="A307" s="125"/>
      <c r="B307" s="125"/>
      <c r="C307" s="125"/>
      <c r="D307" s="125"/>
      <c r="E307" s="125"/>
      <c r="F307" s="126"/>
      <c r="G307" s="125"/>
      <c r="H307" s="125"/>
      <c r="I307" s="125"/>
      <c r="J307" s="125"/>
      <c r="K307" s="125"/>
      <c r="L307" s="125"/>
      <c r="M307" s="125"/>
      <c r="N307" s="129"/>
      <c r="O307" s="125"/>
      <c r="P307" s="173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spans="1:26" ht="15.75" customHeight="1">
      <c r="A308" s="125"/>
      <c r="B308" s="125"/>
      <c r="C308" s="125"/>
      <c r="D308" s="125"/>
      <c r="E308" s="125"/>
      <c r="F308" s="126"/>
      <c r="G308" s="125"/>
      <c r="H308" s="125"/>
      <c r="I308" s="125"/>
      <c r="J308" s="125"/>
      <c r="K308" s="125"/>
      <c r="L308" s="125"/>
      <c r="M308" s="125"/>
      <c r="N308" s="129"/>
      <c r="O308" s="125"/>
      <c r="P308" s="173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spans="1:26" ht="15.75" customHeight="1">
      <c r="A309" s="125"/>
      <c r="B309" s="125"/>
      <c r="C309" s="125"/>
      <c r="D309" s="125"/>
      <c r="E309" s="125"/>
      <c r="F309" s="126"/>
      <c r="G309" s="125"/>
      <c r="H309" s="125"/>
      <c r="I309" s="125"/>
      <c r="J309" s="125"/>
      <c r="K309" s="125"/>
      <c r="L309" s="125"/>
      <c r="M309" s="125"/>
      <c r="N309" s="129"/>
      <c r="O309" s="125"/>
      <c r="P309" s="173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spans="1:26" ht="15.75" customHeight="1">
      <c r="A310" s="125"/>
      <c r="B310" s="125"/>
      <c r="C310" s="125"/>
      <c r="D310" s="125"/>
      <c r="E310" s="125"/>
      <c r="F310" s="126"/>
      <c r="G310" s="125"/>
      <c r="H310" s="125"/>
      <c r="I310" s="125"/>
      <c r="J310" s="125"/>
      <c r="K310" s="125"/>
      <c r="L310" s="125"/>
      <c r="M310" s="125"/>
      <c r="N310" s="129"/>
      <c r="O310" s="125"/>
      <c r="P310" s="173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spans="1:26" ht="15.75" customHeight="1">
      <c r="A311" s="125"/>
      <c r="B311" s="125"/>
      <c r="C311" s="125"/>
      <c r="D311" s="125"/>
      <c r="E311" s="125"/>
      <c r="F311" s="126"/>
      <c r="G311" s="125"/>
      <c r="H311" s="125"/>
      <c r="I311" s="125"/>
      <c r="J311" s="125"/>
      <c r="K311" s="125"/>
      <c r="L311" s="125"/>
      <c r="M311" s="125"/>
      <c r="N311" s="129"/>
      <c r="O311" s="125"/>
      <c r="P311" s="173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spans="1:26" ht="15.75" customHeight="1">
      <c r="A312" s="125"/>
      <c r="B312" s="125"/>
      <c r="C312" s="125"/>
      <c r="D312" s="125"/>
      <c r="E312" s="125"/>
      <c r="F312" s="126"/>
      <c r="G312" s="125"/>
      <c r="H312" s="125"/>
      <c r="I312" s="125"/>
      <c r="J312" s="125"/>
      <c r="K312" s="125"/>
      <c r="L312" s="125"/>
      <c r="M312" s="125"/>
      <c r="N312" s="129"/>
      <c r="O312" s="125"/>
      <c r="P312" s="173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spans="1:26" ht="15.75" customHeight="1">
      <c r="A313" s="125"/>
      <c r="B313" s="125"/>
      <c r="C313" s="125"/>
      <c r="D313" s="125"/>
      <c r="E313" s="125"/>
      <c r="F313" s="126"/>
      <c r="G313" s="125"/>
      <c r="H313" s="125"/>
      <c r="I313" s="125"/>
      <c r="J313" s="125"/>
      <c r="K313" s="125"/>
      <c r="L313" s="125"/>
      <c r="M313" s="125"/>
      <c r="N313" s="129"/>
      <c r="O313" s="125"/>
      <c r="P313" s="173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spans="1:26" ht="15.75" customHeight="1">
      <c r="A314" s="125"/>
      <c r="B314" s="125"/>
      <c r="C314" s="125"/>
      <c r="D314" s="125"/>
      <c r="E314" s="125"/>
      <c r="F314" s="126"/>
      <c r="G314" s="125"/>
      <c r="H314" s="125"/>
      <c r="I314" s="125"/>
      <c r="J314" s="125"/>
      <c r="K314" s="125"/>
      <c r="L314" s="125"/>
      <c r="M314" s="125"/>
      <c r="N314" s="129"/>
      <c r="O314" s="125"/>
      <c r="P314" s="173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spans="1:26" ht="15.75" customHeight="1">
      <c r="A315" s="125"/>
      <c r="B315" s="125"/>
      <c r="C315" s="125"/>
      <c r="D315" s="125"/>
      <c r="E315" s="125"/>
      <c r="F315" s="126"/>
      <c r="G315" s="125"/>
      <c r="H315" s="125"/>
      <c r="I315" s="125"/>
      <c r="J315" s="125"/>
      <c r="K315" s="125"/>
      <c r="L315" s="125"/>
      <c r="M315" s="125"/>
      <c r="N315" s="129"/>
      <c r="O315" s="125"/>
      <c r="P315" s="173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spans="1:26" ht="15.75" customHeight="1">
      <c r="A316" s="125"/>
      <c r="B316" s="125"/>
      <c r="C316" s="125"/>
      <c r="D316" s="125"/>
      <c r="E316" s="125"/>
      <c r="F316" s="126"/>
      <c r="G316" s="125"/>
      <c r="H316" s="125"/>
      <c r="I316" s="125"/>
      <c r="J316" s="125"/>
      <c r="K316" s="125"/>
      <c r="L316" s="125"/>
      <c r="M316" s="125"/>
      <c r="N316" s="129"/>
      <c r="O316" s="125"/>
      <c r="P316" s="173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spans="1:26" ht="15.75" customHeight="1">
      <c r="A317" s="125"/>
      <c r="B317" s="125"/>
      <c r="C317" s="125"/>
      <c r="D317" s="125"/>
      <c r="E317" s="125"/>
      <c r="F317" s="126"/>
      <c r="G317" s="125"/>
      <c r="H317" s="125"/>
      <c r="I317" s="125"/>
      <c r="J317" s="125"/>
      <c r="K317" s="125"/>
      <c r="L317" s="125"/>
      <c r="M317" s="125"/>
      <c r="N317" s="129"/>
      <c r="O317" s="125"/>
      <c r="P317" s="173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spans="1:26" ht="15.75" customHeight="1">
      <c r="A318" s="125"/>
      <c r="B318" s="125"/>
      <c r="C318" s="125"/>
      <c r="D318" s="125"/>
      <c r="E318" s="125"/>
      <c r="F318" s="126"/>
      <c r="G318" s="125"/>
      <c r="H318" s="125"/>
      <c r="I318" s="125"/>
      <c r="J318" s="125"/>
      <c r="K318" s="125"/>
      <c r="L318" s="125"/>
      <c r="M318" s="125"/>
      <c r="N318" s="129"/>
      <c r="O318" s="125"/>
      <c r="P318" s="173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spans="1:26" ht="15.75" customHeight="1">
      <c r="A319" s="125"/>
      <c r="B319" s="125"/>
      <c r="C319" s="125"/>
      <c r="D319" s="125"/>
      <c r="E319" s="125"/>
      <c r="F319" s="126"/>
      <c r="G319" s="125"/>
      <c r="H319" s="125"/>
      <c r="I319" s="125"/>
      <c r="J319" s="125"/>
      <c r="K319" s="125"/>
      <c r="L319" s="125"/>
      <c r="M319" s="125"/>
      <c r="N319" s="129"/>
      <c r="O319" s="125"/>
      <c r="P319" s="173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spans="1:26" ht="15.75" customHeight="1">
      <c r="A320" s="125"/>
      <c r="B320" s="125"/>
      <c r="C320" s="125"/>
      <c r="D320" s="125"/>
      <c r="E320" s="125"/>
      <c r="F320" s="126"/>
      <c r="G320" s="125"/>
      <c r="H320" s="125"/>
      <c r="I320" s="125"/>
      <c r="J320" s="125"/>
      <c r="K320" s="125"/>
      <c r="L320" s="125"/>
      <c r="M320" s="125"/>
      <c r="N320" s="129"/>
      <c r="O320" s="125"/>
      <c r="P320" s="173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spans="1:26" ht="15.75" customHeight="1">
      <c r="A321" s="125"/>
      <c r="B321" s="125"/>
      <c r="C321" s="125"/>
      <c r="D321" s="125"/>
      <c r="E321" s="125"/>
      <c r="F321" s="126"/>
      <c r="G321" s="125"/>
      <c r="H321" s="125"/>
      <c r="I321" s="125"/>
      <c r="J321" s="125"/>
      <c r="K321" s="125"/>
      <c r="L321" s="125"/>
      <c r="M321" s="125"/>
      <c r="N321" s="129"/>
      <c r="O321" s="125"/>
      <c r="P321" s="173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spans="1:26" ht="15.75" customHeight="1">
      <c r="A322" s="125"/>
      <c r="B322" s="125"/>
      <c r="C322" s="125"/>
      <c r="D322" s="125"/>
      <c r="E322" s="125"/>
      <c r="F322" s="126"/>
      <c r="G322" s="125"/>
      <c r="H322" s="125"/>
      <c r="I322" s="125"/>
      <c r="J322" s="125"/>
      <c r="K322" s="125"/>
      <c r="L322" s="125"/>
      <c r="M322" s="125"/>
      <c r="N322" s="129"/>
      <c r="O322" s="125"/>
      <c r="P322" s="173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spans="1:26" ht="15.75" customHeight="1">
      <c r="A323" s="125"/>
      <c r="B323" s="125"/>
      <c r="C323" s="125"/>
      <c r="D323" s="125"/>
      <c r="E323" s="125"/>
      <c r="F323" s="126"/>
      <c r="G323" s="125"/>
      <c r="H323" s="125"/>
      <c r="I323" s="125"/>
      <c r="J323" s="125"/>
      <c r="K323" s="125"/>
      <c r="L323" s="125"/>
      <c r="M323" s="125"/>
      <c r="N323" s="129"/>
      <c r="O323" s="125"/>
      <c r="P323" s="173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spans="1:26" ht="15.75" customHeight="1">
      <c r="A324" s="125"/>
      <c r="B324" s="125"/>
      <c r="C324" s="125"/>
      <c r="D324" s="125"/>
      <c r="E324" s="125"/>
      <c r="F324" s="126"/>
      <c r="G324" s="125"/>
      <c r="H324" s="125"/>
      <c r="I324" s="125"/>
      <c r="J324" s="125"/>
      <c r="K324" s="125"/>
      <c r="L324" s="125"/>
      <c r="M324" s="125"/>
      <c r="N324" s="129"/>
      <c r="O324" s="125"/>
      <c r="P324" s="173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spans="1:26" ht="15.75" customHeight="1">
      <c r="A325" s="125"/>
      <c r="B325" s="125"/>
      <c r="C325" s="125"/>
      <c r="D325" s="125"/>
      <c r="E325" s="125"/>
      <c r="F325" s="126"/>
      <c r="G325" s="125"/>
      <c r="H325" s="125"/>
      <c r="I325" s="125"/>
      <c r="J325" s="125"/>
      <c r="K325" s="125"/>
      <c r="L325" s="125"/>
      <c r="M325" s="125"/>
      <c r="N325" s="129"/>
      <c r="O325" s="125"/>
      <c r="P325" s="173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spans="1:26" ht="15.75" customHeight="1">
      <c r="A326" s="125"/>
      <c r="B326" s="125"/>
      <c r="C326" s="125"/>
      <c r="D326" s="125"/>
      <c r="E326" s="125"/>
      <c r="F326" s="126"/>
      <c r="G326" s="125"/>
      <c r="H326" s="125"/>
      <c r="I326" s="125"/>
      <c r="J326" s="125"/>
      <c r="K326" s="125"/>
      <c r="L326" s="125"/>
      <c r="M326" s="125"/>
      <c r="N326" s="129"/>
      <c r="O326" s="125"/>
      <c r="P326" s="173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spans="1:26" ht="15.75" customHeight="1">
      <c r="A327" s="125"/>
      <c r="B327" s="125"/>
      <c r="C327" s="125"/>
      <c r="D327" s="125"/>
      <c r="E327" s="125"/>
      <c r="F327" s="126"/>
      <c r="G327" s="125"/>
      <c r="H327" s="125"/>
      <c r="I327" s="125"/>
      <c r="J327" s="125"/>
      <c r="K327" s="125"/>
      <c r="L327" s="125"/>
      <c r="M327" s="125"/>
      <c r="N327" s="129"/>
      <c r="O327" s="125"/>
      <c r="P327" s="173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spans="1:26" ht="15.75" customHeight="1">
      <c r="A328" s="125"/>
      <c r="B328" s="125"/>
      <c r="C328" s="125"/>
      <c r="D328" s="125"/>
      <c r="E328" s="125"/>
      <c r="F328" s="126"/>
      <c r="G328" s="125"/>
      <c r="H328" s="125"/>
      <c r="I328" s="125"/>
      <c r="J328" s="125"/>
      <c r="K328" s="125"/>
      <c r="L328" s="125"/>
      <c r="M328" s="125"/>
      <c r="N328" s="129"/>
      <c r="O328" s="125"/>
      <c r="P328" s="173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spans="1:26" ht="15.75" customHeight="1">
      <c r="A329" s="125"/>
      <c r="B329" s="125"/>
      <c r="C329" s="125"/>
      <c r="D329" s="125"/>
      <c r="E329" s="125"/>
      <c r="F329" s="126"/>
      <c r="G329" s="125"/>
      <c r="H329" s="125"/>
      <c r="I329" s="125"/>
      <c r="J329" s="125"/>
      <c r="K329" s="125"/>
      <c r="L329" s="125"/>
      <c r="M329" s="125"/>
      <c r="N329" s="129"/>
      <c r="O329" s="125"/>
      <c r="P329" s="173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spans="1:26" ht="15.75" customHeight="1">
      <c r="A330" s="125"/>
      <c r="B330" s="125"/>
      <c r="C330" s="125"/>
      <c r="D330" s="125"/>
      <c r="E330" s="125"/>
      <c r="F330" s="126"/>
      <c r="G330" s="125"/>
      <c r="H330" s="125"/>
      <c r="I330" s="125"/>
      <c r="J330" s="125"/>
      <c r="K330" s="125"/>
      <c r="L330" s="125"/>
      <c r="M330" s="125"/>
      <c r="N330" s="129"/>
      <c r="O330" s="125"/>
      <c r="P330" s="173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spans="1:26" ht="15.75" customHeight="1">
      <c r="A331" s="125"/>
      <c r="B331" s="125"/>
      <c r="C331" s="125"/>
      <c r="D331" s="125"/>
      <c r="E331" s="125"/>
      <c r="F331" s="126"/>
      <c r="G331" s="125"/>
      <c r="H331" s="125"/>
      <c r="I331" s="125"/>
      <c r="J331" s="125"/>
      <c r="K331" s="125"/>
      <c r="L331" s="125"/>
      <c r="M331" s="125"/>
      <c r="N331" s="129"/>
      <c r="O331" s="125"/>
      <c r="P331" s="173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spans="1:26" ht="15.75" customHeight="1">
      <c r="A332" s="125"/>
      <c r="B332" s="125"/>
      <c r="C332" s="125"/>
      <c r="D332" s="125"/>
      <c r="E332" s="125"/>
      <c r="F332" s="126"/>
      <c r="G332" s="125"/>
      <c r="H332" s="125"/>
      <c r="I332" s="125"/>
      <c r="J332" s="125"/>
      <c r="K332" s="125"/>
      <c r="L332" s="125"/>
      <c r="M332" s="125"/>
      <c r="N332" s="129"/>
      <c r="O332" s="125"/>
      <c r="P332" s="173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spans="1:26" ht="15.75" customHeight="1">
      <c r="A333" s="125"/>
      <c r="B333" s="125"/>
      <c r="C333" s="125"/>
      <c r="D333" s="125"/>
      <c r="E333" s="125"/>
      <c r="F333" s="126"/>
      <c r="G333" s="125"/>
      <c r="H333" s="125"/>
      <c r="I333" s="125"/>
      <c r="J333" s="125"/>
      <c r="K333" s="125"/>
      <c r="L333" s="125"/>
      <c r="M333" s="125"/>
      <c r="N333" s="129"/>
      <c r="O333" s="125"/>
      <c r="P333" s="173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spans="1:26" ht="15.75" customHeight="1">
      <c r="A334" s="125"/>
      <c r="B334" s="125"/>
      <c r="C334" s="125"/>
      <c r="D334" s="125"/>
      <c r="E334" s="125"/>
      <c r="F334" s="126"/>
      <c r="G334" s="125"/>
      <c r="H334" s="125"/>
      <c r="I334" s="125"/>
      <c r="J334" s="125"/>
      <c r="K334" s="125"/>
      <c r="L334" s="125"/>
      <c r="M334" s="125"/>
      <c r="N334" s="129"/>
      <c r="O334" s="125"/>
      <c r="P334" s="173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spans="1:26" ht="15.75" customHeight="1">
      <c r="A335" s="125"/>
      <c r="B335" s="125"/>
      <c r="C335" s="125"/>
      <c r="D335" s="125"/>
      <c r="E335" s="125"/>
      <c r="F335" s="126"/>
      <c r="G335" s="125"/>
      <c r="H335" s="125"/>
      <c r="I335" s="125"/>
      <c r="J335" s="125"/>
      <c r="K335" s="125"/>
      <c r="L335" s="125"/>
      <c r="M335" s="125"/>
      <c r="N335" s="129"/>
      <c r="O335" s="125"/>
      <c r="P335" s="173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spans="1:26" ht="15.75" customHeight="1">
      <c r="A336" s="125"/>
      <c r="B336" s="125"/>
      <c r="C336" s="125"/>
      <c r="D336" s="125"/>
      <c r="E336" s="125"/>
      <c r="F336" s="126"/>
      <c r="G336" s="125"/>
      <c r="H336" s="125"/>
      <c r="I336" s="125"/>
      <c r="J336" s="125"/>
      <c r="K336" s="125"/>
      <c r="L336" s="125"/>
      <c r="M336" s="125"/>
      <c r="N336" s="129"/>
      <c r="O336" s="125"/>
      <c r="P336" s="173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spans="1:26" ht="15.75" customHeight="1">
      <c r="A337" s="125"/>
      <c r="B337" s="125"/>
      <c r="C337" s="125"/>
      <c r="D337" s="125"/>
      <c r="E337" s="125"/>
      <c r="F337" s="126"/>
      <c r="G337" s="125"/>
      <c r="H337" s="125"/>
      <c r="I337" s="125"/>
      <c r="J337" s="125"/>
      <c r="K337" s="125"/>
      <c r="L337" s="125"/>
      <c r="M337" s="125"/>
      <c r="N337" s="129"/>
      <c r="O337" s="125"/>
      <c r="P337" s="173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spans="1:26" ht="15.75" customHeight="1">
      <c r="A338" s="125"/>
      <c r="B338" s="125"/>
      <c r="C338" s="125"/>
      <c r="D338" s="125"/>
      <c r="E338" s="125"/>
      <c r="F338" s="126"/>
      <c r="G338" s="125"/>
      <c r="H338" s="125"/>
      <c r="I338" s="125"/>
      <c r="J338" s="125"/>
      <c r="K338" s="125"/>
      <c r="L338" s="125"/>
      <c r="M338" s="125"/>
      <c r="N338" s="129"/>
      <c r="O338" s="125"/>
      <c r="P338" s="173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spans="1:26" ht="15.75" customHeight="1">
      <c r="A339" s="125"/>
      <c r="B339" s="125"/>
      <c r="C339" s="125"/>
      <c r="D339" s="125"/>
      <c r="E339" s="125"/>
      <c r="F339" s="126"/>
      <c r="G339" s="125"/>
      <c r="H339" s="125"/>
      <c r="I339" s="125"/>
      <c r="J339" s="125"/>
      <c r="K339" s="125"/>
      <c r="L339" s="125"/>
      <c r="M339" s="125"/>
      <c r="N339" s="129"/>
      <c r="O339" s="125"/>
      <c r="P339" s="173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spans="1:26" ht="15.75" customHeight="1">
      <c r="A340" s="125"/>
      <c r="B340" s="125"/>
      <c r="C340" s="125"/>
      <c r="D340" s="125"/>
      <c r="E340" s="125"/>
      <c r="F340" s="126"/>
      <c r="G340" s="125"/>
      <c r="H340" s="125"/>
      <c r="I340" s="125"/>
      <c r="J340" s="125"/>
      <c r="K340" s="125"/>
      <c r="L340" s="125"/>
      <c r="M340" s="125"/>
      <c r="N340" s="129"/>
      <c r="O340" s="125"/>
      <c r="P340" s="173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spans="1:26" ht="15.75" customHeight="1">
      <c r="A341" s="125"/>
      <c r="B341" s="125"/>
      <c r="C341" s="125"/>
      <c r="D341" s="125"/>
      <c r="E341" s="125"/>
      <c r="F341" s="126"/>
      <c r="G341" s="125"/>
      <c r="H341" s="125"/>
      <c r="I341" s="125"/>
      <c r="J341" s="125"/>
      <c r="K341" s="125"/>
      <c r="L341" s="125"/>
      <c r="M341" s="125"/>
      <c r="N341" s="129"/>
      <c r="O341" s="125"/>
      <c r="P341" s="173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spans="1:26" ht="15.75" customHeight="1">
      <c r="A342" s="125"/>
      <c r="B342" s="125"/>
      <c r="C342" s="125"/>
      <c r="D342" s="125"/>
      <c r="E342" s="125"/>
      <c r="F342" s="126"/>
      <c r="G342" s="125"/>
      <c r="H342" s="125"/>
      <c r="I342" s="125"/>
      <c r="J342" s="125"/>
      <c r="K342" s="125"/>
      <c r="L342" s="125"/>
      <c r="M342" s="125"/>
      <c r="N342" s="129"/>
      <c r="O342" s="125"/>
      <c r="P342" s="173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spans="1:26" ht="15.75" customHeight="1">
      <c r="A343" s="125"/>
      <c r="B343" s="125"/>
      <c r="C343" s="125"/>
      <c r="D343" s="125"/>
      <c r="E343" s="125"/>
      <c r="F343" s="126"/>
      <c r="G343" s="125"/>
      <c r="H343" s="125"/>
      <c r="I343" s="125"/>
      <c r="J343" s="125"/>
      <c r="K343" s="125"/>
      <c r="L343" s="125"/>
      <c r="M343" s="125"/>
      <c r="N343" s="129"/>
      <c r="O343" s="125"/>
      <c r="P343" s="173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spans="1:26" ht="15.75" customHeight="1">
      <c r="A344" s="125"/>
      <c r="B344" s="125"/>
      <c r="C344" s="125"/>
      <c r="D344" s="125"/>
      <c r="E344" s="125"/>
      <c r="F344" s="126"/>
      <c r="G344" s="125"/>
      <c r="H344" s="125"/>
      <c r="I344" s="125"/>
      <c r="J344" s="125"/>
      <c r="K344" s="125"/>
      <c r="L344" s="125"/>
      <c r="M344" s="125"/>
      <c r="N344" s="129"/>
      <c r="O344" s="125"/>
      <c r="P344" s="173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spans="1:26" ht="15.75" customHeight="1">
      <c r="A345" s="125"/>
      <c r="B345" s="125"/>
      <c r="C345" s="125"/>
      <c r="D345" s="125"/>
      <c r="E345" s="125"/>
      <c r="F345" s="126"/>
      <c r="G345" s="125"/>
      <c r="H345" s="125"/>
      <c r="I345" s="125"/>
      <c r="J345" s="125"/>
      <c r="K345" s="125"/>
      <c r="L345" s="125"/>
      <c r="M345" s="125"/>
      <c r="N345" s="129"/>
      <c r="O345" s="125"/>
      <c r="P345" s="173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spans="1:26" ht="15.75" customHeight="1">
      <c r="A346" s="125"/>
      <c r="B346" s="125"/>
      <c r="C346" s="125"/>
      <c r="D346" s="125"/>
      <c r="E346" s="125"/>
      <c r="F346" s="126"/>
      <c r="G346" s="125"/>
      <c r="H346" s="125"/>
      <c r="I346" s="125"/>
      <c r="J346" s="125"/>
      <c r="K346" s="125"/>
      <c r="L346" s="125"/>
      <c r="M346" s="125"/>
      <c r="N346" s="129"/>
      <c r="O346" s="125"/>
      <c r="P346" s="173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spans="1:26" ht="15.75" customHeight="1">
      <c r="A347" s="125"/>
      <c r="B347" s="125"/>
      <c r="C347" s="125"/>
      <c r="D347" s="125"/>
      <c r="E347" s="125"/>
      <c r="F347" s="126"/>
      <c r="G347" s="125"/>
      <c r="H347" s="125"/>
      <c r="I347" s="125"/>
      <c r="J347" s="125"/>
      <c r="K347" s="125"/>
      <c r="L347" s="125"/>
      <c r="M347" s="125"/>
      <c r="N347" s="129"/>
      <c r="O347" s="125"/>
      <c r="P347" s="173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spans="1:26" ht="15.75" customHeight="1">
      <c r="A348" s="125"/>
      <c r="B348" s="125"/>
      <c r="C348" s="125"/>
      <c r="D348" s="125"/>
      <c r="E348" s="125"/>
      <c r="F348" s="126"/>
      <c r="G348" s="125"/>
      <c r="H348" s="125"/>
      <c r="I348" s="125"/>
      <c r="J348" s="125"/>
      <c r="K348" s="125"/>
      <c r="L348" s="125"/>
      <c r="M348" s="125"/>
      <c r="N348" s="129"/>
      <c r="O348" s="125"/>
      <c r="P348" s="173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spans="1:26" ht="15.75" customHeight="1">
      <c r="A349" s="125"/>
      <c r="B349" s="125"/>
      <c r="C349" s="125"/>
      <c r="D349" s="125"/>
      <c r="E349" s="125"/>
      <c r="F349" s="126"/>
      <c r="G349" s="125"/>
      <c r="H349" s="125"/>
      <c r="I349" s="125"/>
      <c r="J349" s="125"/>
      <c r="K349" s="125"/>
      <c r="L349" s="125"/>
      <c r="M349" s="125"/>
      <c r="N349" s="129"/>
      <c r="O349" s="125"/>
      <c r="P349" s="173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spans="1:26" ht="15.75" customHeight="1">
      <c r="A350" s="125"/>
      <c r="B350" s="125"/>
      <c r="C350" s="125"/>
      <c r="D350" s="125"/>
      <c r="E350" s="125"/>
      <c r="F350" s="126"/>
      <c r="G350" s="125"/>
      <c r="H350" s="125"/>
      <c r="I350" s="125"/>
      <c r="J350" s="125"/>
      <c r="K350" s="125"/>
      <c r="L350" s="125"/>
      <c r="M350" s="125"/>
      <c r="N350" s="129"/>
      <c r="O350" s="125"/>
      <c r="P350" s="173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spans="1:26" ht="15.75" customHeight="1">
      <c r="A351" s="125"/>
      <c r="B351" s="125"/>
      <c r="C351" s="125"/>
      <c r="D351" s="125"/>
      <c r="E351" s="125"/>
      <c r="F351" s="126"/>
      <c r="G351" s="125"/>
      <c r="H351" s="125"/>
      <c r="I351" s="125"/>
      <c r="J351" s="125"/>
      <c r="K351" s="125"/>
      <c r="L351" s="125"/>
      <c r="M351" s="125"/>
      <c r="N351" s="129"/>
      <c r="O351" s="125"/>
      <c r="P351" s="173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spans="1:26" ht="15.75" customHeight="1">
      <c r="A352" s="125"/>
      <c r="B352" s="125"/>
      <c r="C352" s="125"/>
      <c r="D352" s="125"/>
      <c r="E352" s="125"/>
      <c r="F352" s="126"/>
      <c r="G352" s="125"/>
      <c r="H352" s="125"/>
      <c r="I352" s="125"/>
      <c r="J352" s="125"/>
      <c r="K352" s="125"/>
      <c r="L352" s="125"/>
      <c r="M352" s="125"/>
      <c r="N352" s="129"/>
      <c r="O352" s="125"/>
      <c r="P352" s="173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spans="1:26" ht="15.75" customHeight="1">
      <c r="A353" s="125"/>
      <c r="B353" s="125"/>
      <c r="C353" s="125"/>
      <c r="D353" s="125"/>
      <c r="E353" s="125"/>
      <c r="F353" s="126"/>
      <c r="G353" s="125"/>
      <c r="H353" s="125"/>
      <c r="I353" s="125"/>
      <c r="J353" s="125"/>
      <c r="K353" s="125"/>
      <c r="L353" s="125"/>
      <c r="M353" s="125"/>
      <c r="N353" s="129"/>
      <c r="O353" s="125"/>
      <c r="P353" s="173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spans="1:26" ht="15.75" customHeight="1">
      <c r="A354" s="125"/>
      <c r="B354" s="125"/>
      <c r="C354" s="125"/>
      <c r="D354" s="125"/>
      <c r="E354" s="125"/>
      <c r="F354" s="126"/>
      <c r="G354" s="125"/>
      <c r="H354" s="125"/>
      <c r="I354" s="125"/>
      <c r="J354" s="125"/>
      <c r="K354" s="125"/>
      <c r="L354" s="125"/>
      <c r="M354" s="125"/>
      <c r="N354" s="129"/>
      <c r="O354" s="125"/>
      <c r="P354" s="173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spans="1:26" ht="15.75" customHeight="1">
      <c r="A355" s="125"/>
      <c r="B355" s="125"/>
      <c r="C355" s="125"/>
      <c r="D355" s="125"/>
      <c r="E355" s="125"/>
      <c r="F355" s="126"/>
      <c r="G355" s="125"/>
      <c r="H355" s="125"/>
      <c r="I355" s="125"/>
      <c r="J355" s="125"/>
      <c r="K355" s="125"/>
      <c r="L355" s="125"/>
      <c r="M355" s="125"/>
      <c r="N355" s="129"/>
      <c r="O355" s="125"/>
      <c r="P355" s="173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spans="1:26" ht="15.75" customHeight="1">
      <c r="A356" s="125"/>
      <c r="B356" s="125"/>
      <c r="C356" s="125"/>
      <c r="D356" s="125"/>
      <c r="E356" s="125"/>
      <c r="F356" s="126"/>
      <c r="G356" s="125"/>
      <c r="H356" s="125"/>
      <c r="I356" s="125"/>
      <c r="J356" s="125"/>
      <c r="K356" s="125"/>
      <c r="L356" s="125"/>
      <c r="M356" s="125"/>
      <c r="N356" s="129"/>
      <c r="O356" s="125"/>
      <c r="P356" s="173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spans="1:26" ht="15.75" customHeight="1">
      <c r="A357" s="125"/>
      <c r="B357" s="125"/>
      <c r="C357" s="125"/>
      <c r="D357" s="125"/>
      <c r="E357" s="125"/>
      <c r="F357" s="126"/>
      <c r="G357" s="125"/>
      <c r="H357" s="125"/>
      <c r="I357" s="125"/>
      <c r="J357" s="125"/>
      <c r="K357" s="125"/>
      <c r="L357" s="125"/>
      <c r="M357" s="125"/>
      <c r="N357" s="129"/>
      <c r="O357" s="125"/>
      <c r="P357" s="173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spans="1:26" ht="15.75" customHeight="1">
      <c r="A358" s="125"/>
      <c r="B358" s="125"/>
      <c r="C358" s="125"/>
      <c r="D358" s="125"/>
      <c r="E358" s="125"/>
      <c r="F358" s="126"/>
      <c r="G358" s="125"/>
      <c r="H358" s="125"/>
      <c r="I358" s="125"/>
      <c r="J358" s="125"/>
      <c r="K358" s="125"/>
      <c r="L358" s="125"/>
      <c r="M358" s="125"/>
      <c r="N358" s="129"/>
      <c r="O358" s="125"/>
      <c r="P358" s="173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spans="1:26" ht="15.75" customHeight="1">
      <c r="A359" s="125"/>
      <c r="B359" s="125"/>
      <c r="C359" s="125"/>
      <c r="D359" s="125"/>
      <c r="E359" s="125"/>
      <c r="F359" s="126"/>
      <c r="G359" s="125"/>
      <c r="H359" s="125"/>
      <c r="I359" s="125"/>
      <c r="J359" s="125"/>
      <c r="K359" s="125"/>
      <c r="L359" s="125"/>
      <c r="M359" s="125"/>
      <c r="N359" s="129"/>
      <c r="O359" s="125"/>
      <c r="P359" s="173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spans="1:26" ht="15.75" customHeight="1">
      <c r="A360" s="125"/>
      <c r="B360" s="125"/>
      <c r="C360" s="125"/>
      <c r="D360" s="125"/>
      <c r="E360" s="125"/>
      <c r="F360" s="126"/>
      <c r="G360" s="125"/>
      <c r="H360" s="125"/>
      <c r="I360" s="125"/>
      <c r="J360" s="125"/>
      <c r="K360" s="125"/>
      <c r="L360" s="125"/>
      <c r="M360" s="125"/>
      <c r="N360" s="129"/>
      <c r="O360" s="125"/>
      <c r="P360" s="173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spans="1:26" ht="15.75" customHeight="1">
      <c r="A361" s="125"/>
      <c r="B361" s="125"/>
      <c r="C361" s="125"/>
      <c r="D361" s="125"/>
      <c r="E361" s="125"/>
      <c r="F361" s="126"/>
      <c r="G361" s="125"/>
      <c r="H361" s="125"/>
      <c r="I361" s="125"/>
      <c r="J361" s="125"/>
      <c r="K361" s="125"/>
      <c r="L361" s="125"/>
      <c r="M361" s="125"/>
      <c r="N361" s="129"/>
      <c r="O361" s="125"/>
      <c r="P361" s="173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spans="1:26" ht="15.75" customHeight="1">
      <c r="A362" s="125"/>
      <c r="B362" s="125"/>
      <c r="C362" s="125"/>
      <c r="D362" s="125"/>
      <c r="E362" s="125"/>
      <c r="F362" s="126"/>
      <c r="G362" s="125"/>
      <c r="H362" s="125"/>
      <c r="I362" s="125"/>
      <c r="J362" s="125"/>
      <c r="K362" s="125"/>
      <c r="L362" s="125"/>
      <c r="M362" s="125"/>
      <c r="N362" s="129"/>
      <c r="O362" s="125"/>
      <c r="P362" s="173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spans="1:26" ht="15.75" customHeight="1">
      <c r="A363" s="125"/>
      <c r="B363" s="125"/>
      <c r="C363" s="125"/>
      <c r="D363" s="125"/>
      <c r="E363" s="125"/>
      <c r="F363" s="126"/>
      <c r="G363" s="125"/>
      <c r="H363" s="125"/>
      <c r="I363" s="125"/>
      <c r="J363" s="125"/>
      <c r="K363" s="125"/>
      <c r="L363" s="125"/>
      <c r="M363" s="125"/>
      <c r="N363" s="129"/>
      <c r="O363" s="125"/>
      <c r="P363" s="173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spans="1:26" ht="15.75" customHeight="1">
      <c r="A364" s="125"/>
      <c r="B364" s="125"/>
      <c r="C364" s="125"/>
      <c r="D364" s="125"/>
      <c r="E364" s="125"/>
      <c r="F364" s="126"/>
      <c r="G364" s="125"/>
      <c r="H364" s="125"/>
      <c r="I364" s="125"/>
      <c r="J364" s="125"/>
      <c r="K364" s="125"/>
      <c r="L364" s="125"/>
      <c r="M364" s="125"/>
      <c r="N364" s="129"/>
      <c r="O364" s="125"/>
      <c r="P364" s="173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spans="1:26" ht="15.75" customHeight="1">
      <c r="A365" s="125"/>
      <c r="B365" s="125"/>
      <c r="C365" s="125"/>
      <c r="D365" s="125"/>
      <c r="E365" s="125"/>
      <c r="F365" s="126"/>
      <c r="G365" s="125"/>
      <c r="H365" s="125"/>
      <c r="I365" s="125"/>
      <c r="J365" s="125"/>
      <c r="K365" s="125"/>
      <c r="L365" s="125"/>
      <c r="M365" s="125"/>
      <c r="N365" s="129"/>
      <c r="O365" s="125"/>
      <c r="P365" s="173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spans="1:26" ht="15.75" customHeight="1">
      <c r="A366" s="125"/>
      <c r="B366" s="125"/>
      <c r="C366" s="125"/>
      <c r="D366" s="125"/>
      <c r="E366" s="125"/>
      <c r="F366" s="126"/>
      <c r="G366" s="125"/>
      <c r="H366" s="125"/>
      <c r="I366" s="125"/>
      <c r="J366" s="125"/>
      <c r="K366" s="125"/>
      <c r="L366" s="125"/>
      <c r="M366" s="125"/>
      <c r="N366" s="129"/>
      <c r="O366" s="125"/>
      <c r="P366" s="173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6" ht="15.75" customHeight="1">
      <c r="A367" s="125"/>
      <c r="B367" s="125"/>
      <c r="C367" s="125"/>
      <c r="D367" s="125"/>
      <c r="E367" s="125"/>
      <c r="F367" s="126"/>
      <c r="G367" s="125"/>
      <c r="H367" s="125"/>
      <c r="I367" s="125"/>
      <c r="J367" s="125"/>
      <c r="K367" s="125"/>
      <c r="L367" s="125"/>
      <c r="M367" s="125"/>
      <c r="N367" s="129"/>
      <c r="O367" s="125"/>
      <c r="P367" s="173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spans="1:26" ht="15.75" customHeight="1">
      <c r="A368" s="125"/>
      <c r="B368" s="125"/>
      <c r="C368" s="125"/>
      <c r="D368" s="125"/>
      <c r="E368" s="125"/>
      <c r="F368" s="126"/>
      <c r="G368" s="125"/>
      <c r="H368" s="125"/>
      <c r="I368" s="125"/>
      <c r="J368" s="125"/>
      <c r="K368" s="125"/>
      <c r="L368" s="125"/>
      <c r="M368" s="125"/>
      <c r="N368" s="129"/>
      <c r="O368" s="125"/>
      <c r="P368" s="173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spans="1:26" ht="15.75" customHeight="1">
      <c r="A369" s="125"/>
      <c r="B369" s="125"/>
      <c r="C369" s="125"/>
      <c r="D369" s="125"/>
      <c r="E369" s="125"/>
      <c r="F369" s="126"/>
      <c r="G369" s="125"/>
      <c r="H369" s="125"/>
      <c r="I369" s="125"/>
      <c r="J369" s="125"/>
      <c r="K369" s="125"/>
      <c r="L369" s="125"/>
      <c r="M369" s="125"/>
      <c r="N369" s="129"/>
      <c r="O369" s="125"/>
      <c r="P369" s="173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spans="1:26" ht="15.75" customHeight="1">
      <c r="A370" s="125"/>
      <c r="B370" s="125"/>
      <c r="C370" s="125"/>
      <c r="D370" s="125"/>
      <c r="E370" s="125"/>
      <c r="F370" s="126"/>
      <c r="G370" s="125"/>
      <c r="H370" s="125"/>
      <c r="I370" s="125"/>
      <c r="J370" s="125"/>
      <c r="K370" s="125"/>
      <c r="L370" s="125"/>
      <c r="M370" s="125"/>
      <c r="N370" s="129"/>
      <c r="O370" s="125"/>
      <c r="P370" s="173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spans="1:26" ht="15.75" customHeight="1">
      <c r="A371" s="125"/>
      <c r="B371" s="125"/>
      <c r="C371" s="125"/>
      <c r="D371" s="125"/>
      <c r="E371" s="125"/>
      <c r="F371" s="126"/>
      <c r="G371" s="125"/>
      <c r="H371" s="125"/>
      <c r="I371" s="125"/>
      <c r="J371" s="125"/>
      <c r="K371" s="125"/>
      <c r="L371" s="125"/>
      <c r="M371" s="125"/>
      <c r="N371" s="129"/>
      <c r="O371" s="125"/>
      <c r="P371" s="173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spans="1:26" ht="15.75" customHeight="1">
      <c r="A372" s="125"/>
      <c r="B372" s="125"/>
      <c r="C372" s="125"/>
      <c r="D372" s="125"/>
      <c r="E372" s="125"/>
      <c r="F372" s="126"/>
      <c r="G372" s="125"/>
      <c r="H372" s="125"/>
      <c r="I372" s="125"/>
      <c r="J372" s="125"/>
      <c r="K372" s="125"/>
      <c r="L372" s="125"/>
      <c r="M372" s="125"/>
      <c r="N372" s="129"/>
      <c r="O372" s="125"/>
      <c r="P372" s="173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spans="1:26" ht="15.75" customHeight="1">
      <c r="A373" s="125"/>
      <c r="B373" s="125"/>
      <c r="C373" s="125"/>
      <c r="D373" s="125"/>
      <c r="E373" s="125"/>
      <c r="F373" s="126"/>
      <c r="G373" s="125"/>
      <c r="H373" s="125"/>
      <c r="I373" s="125"/>
      <c r="J373" s="125"/>
      <c r="K373" s="125"/>
      <c r="L373" s="125"/>
      <c r="M373" s="125"/>
      <c r="N373" s="129"/>
      <c r="O373" s="125"/>
      <c r="P373" s="173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spans="1:26" ht="15.75" customHeight="1">
      <c r="A374" s="125"/>
      <c r="B374" s="125"/>
      <c r="C374" s="125"/>
      <c r="D374" s="125"/>
      <c r="E374" s="125"/>
      <c r="F374" s="126"/>
      <c r="G374" s="125"/>
      <c r="H374" s="125"/>
      <c r="I374" s="125"/>
      <c r="J374" s="125"/>
      <c r="K374" s="125"/>
      <c r="L374" s="125"/>
      <c r="M374" s="125"/>
      <c r="N374" s="129"/>
      <c r="O374" s="125"/>
      <c r="P374" s="173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spans="1:26" ht="15.75" customHeight="1">
      <c r="A375" s="125"/>
      <c r="B375" s="125"/>
      <c r="C375" s="125"/>
      <c r="D375" s="125"/>
      <c r="E375" s="125"/>
      <c r="F375" s="126"/>
      <c r="G375" s="125"/>
      <c r="H375" s="125"/>
      <c r="I375" s="125"/>
      <c r="J375" s="125"/>
      <c r="K375" s="125"/>
      <c r="L375" s="125"/>
      <c r="M375" s="125"/>
      <c r="N375" s="129"/>
      <c r="O375" s="125"/>
      <c r="P375" s="173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spans="1:26" ht="15.75" customHeight="1">
      <c r="A376" s="125"/>
      <c r="B376" s="125"/>
      <c r="C376" s="125"/>
      <c r="D376" s="125"/>
      <c r="E376" s="125"/>
      <c r="F376" s="126"/>
      <c r="G376" s="125"/>
      <c r="H376" s="125"/>
      <c r="I376" s="125"/>
      <c r="J376" s="125"/>
      <c r="K376" s="125"/>
      <c r="L376" s="125"/>
      <c r="M376" s="125"/>
      <c r="N376" s="129"/>
      <c r="O376" s="125"/>
      <c r="P376" s="173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spans="1:26" ht="15.75" customHeight="1">
      <c r="A377" s="125"/>
      <c r="B377" s="125"/>
      <c r="C377" s="125"/>
      <c r="D377" s="125"/>
      <c r="E377" s="125"/>
      <c r="F377" s="126"/>
      <c r="G377" s="125"/>
      <c r="H377" s="125"/>
      <c r="I377" s="125"/>
      <c r="J377" s="125"/>
      <c r="K377" s="125"/>
      <c r="L377" s="125"/>
      <c r="M377" s="125"/>
      <c r="N377" s="129"/>
      <c r="O377" s="125"/>
      <c r="P377" s="173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spans="1:26" ht="15.75" customHeight="1">
      <c r="A378" s="125"/>
      <c r="B378" s="125"/>
      <c r="C378" s="125"/>
      <c r="D378" s="125"/>
      <c r="E378" s="125"/>
      <c r="F378" s="126"/>
      <c r="G378" s="125"/>
      <c r="H378" s="125"/>
      <c r="I378" s="125"/>
      <c r="J378" s="125"/>
      <c r="K378" s="125"/>
      <c r="L378" s="125"/>
      <c r="M378" s="125"/>
      <c r="N378" s="129"/>
      <c r="O378" s="125"/>
      <c r="P378" s="173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spans="1:26" ht="15.75" customHeight="1">
      <c r="A379" s="125"/>
      <c r="B379" s="125"/>
      <c r="C379" s="125"/>
      <c r="D379" s="125"/>
      <c r="E379" s="125"/>
      <c r="F379" s="126"/>
      <c r="G379" s="125"/>
      <c r="H379" s="125"/>
      <c r="I379" s="125"/>
      <c r="J379" s="125"/>
      <c r="K379" s="125"/>
      <c r="L379" s="125"/>
      <c r="M379" s="125"/>
      <c r="N379" s="129"/>
      <c r="O379" s="125"/>
      <c r="P379" s="173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spans="1:26" ht="15.75" customHeight="1">
      <c r="A380" s="125"/>
      <c r="B380" s="125"/>
      <c r="C380" s="125"/>
      <c r="D380" s="125"/>
      <c r="E380" s="125"/>
      <c r="F380" s="126"/>
      <c r="G380" s="125"/>
      <c r="H380" s="125"/>
      <c r="I380" s="125"/>
      <c r="J380" s="125"/>
      <c r="K380" s="125"/>
      <c r="L380" s="125"/>
      <c r="M380" s="125"/>
      <c r="N380" s="129"/>
      <c r="O380" s="125"/>
      <c r="P380" s="173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spans="1:26" ht="15.75" customHeight="1">
      <c r="A381" s="125"/>
      <c r="B381" s="125"/>
      <c r="C381" s="125"/>
      <c r="D381" s="125"/>
      <c r="E381" s="125"/>
      <c r="F381" s="126"/>
      <c r="G381" s="125"/>
      <c r="H381" s="125"/>
      <c r="I381" s="125"/>
      <c r="J381" s="125"/>
      <c r="K381" s="125"/>
      <c r="L381" s="125"/>
      <c r="M381" s="125"/>
      <c r="N381" s="129"/>
      <c r="O381" s="125"/>
      <c r="P381" s="173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spans="1:26" ht="15.75" customHeight="1">
      <c r="A382" s="125"/>
      <c r="B382" s="125"/>
      <c r="C382" s="125"/>
      <c r="D382" s="125"/>
      <c r="E382" s="125"/>
      <c r="F382" s="126"/>
      <c r="G382" s="125"/>
      <c r="H382" s="125"/>
      <c r="I382" s="125"/>
      <c r="J382" s="125"/>
      <c r="K382" s="125"/>
      <c r="L382" s="125"/>
      <c r="M382" s="125"/>
      <c r="N382" s="129"/>
      <c r="O382" s="125"/>
      <c r="P382" s="173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spans="1:26" ht="15.75" customHeight="1">
      <c r="A383" s="125"/>
      <c r="B383" s="125"/>
      <c r="C383" s="125"/>
      <c r="D383" s="125"/>
      <c r="E383" s="125"/>
      <c r="F383" s="126"/>
      <c r="G383" s="125"/>
      <c r="H383" s="125"/>
      <c r="I383" s="125"/>
      <c r="J383" s="125"/>
      <c r="K383" s="125"/>
      <c r="L383" s="125"/>
      <c r="M383" s="125"/>
      <c r="N383" s="129"/>
      <c r="O383" s="125"/>
      <c r="P383" s="173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spans="1:26" ht="15.75" customHeight="1">
      <c r="A384" s="125"/>
      <c r="B384" s="125"/>
      <c r="C384" s="125"/>
      <c r="D384" s="125"/>
      <c r="E384" s="125"/>
      <c r="F384" s="126"/>
      <c r="G384" s="125"/>
      <c r="H384" s="125"/>
      <c r="I384" s="125"/>
      <c r="J384" s="125"/>
      <c r="K384" s="125"/>
      <c r="L384" s="125"/>
      <c r="M384" s="125"/>
      <c r="N384" s="129"/>
      <c r="O384" s="125"/>
      <c r="P384" s="173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spans="1:26" ht="15.75" customHeight="1">
      <c r="A385" s="125"/>
      <c r="B385" s="125"/>
      <c r="C385" s="125"/>
      <c r="D385" s="125"/>
      <c r="E385" s="125"/>
      <c r="F385" s="126"/>
      <c r="G385" s="125"/>
      <c r="H385" s="125"/>
      <c r="I385" s="125"/>
      <c r="J385" s="125"/>
      <c r="K385" s="125"/>
      <c r="L385" s="125"/>
      <c r="M385" s="125"/>
      <c r="N385" s="129"/>
      <c r="O385" s="125"/>
      <c r="P385" s="173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spans="1:26" ht="15.75" customHeight="1">
      <c r="A386" s="125"/>
      <c r="B386" s="125"/>
      <c r="C386" s="125"/>
      <c r="D386" s="125"/>
      <c r="E386" s="125"/>
      <c r="F386" s="126"/>
      <c r="G386" s="125"/>
      <c r="H386" s="125"/>
      <c r="I386" s="125"/>
      <c r="J386" s="125"/>
      <c r="K386" s="125"/>
      <c r="L386" s="125"/>
      <c r="M386" s="125"/>
      <c r="N386" s="129"/>
      <c r="O386" s="125"/>
      <c r="P386" s="173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spans="1:26" ht="15.75" customHeight="1">
      <c r="A387" s="125"/>
      <c r="B387" s="125"/>
      <c r="C387" s="125"/>
      <c r="D387" s="125"/>
      <c r="E387" s="125"/>
      <c r="F387" s="126"/>
      <c r="G387" s="125"/>
      <c r="H387" s="125"/>
      <c r="I387" s="125"/>
      <c r="J387" s="125"/>
      <c r="K387" s="125"/>
      <c r="L387" s="125"/>
      <c r="M387" s="125"/>
      <c r="N387" s="129"/>
      <c r="O387" s="125"/>
      <c r="P387" s="173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spans="1:26" ht="15.75" customHeight="1">
      <c r="A388" s="125"/>
      <c r="B388" s="125"/>
      <c r="C388" s="125"/>
      <c r="D388" s="125"/>
      <c r="E388" s="125"/>
      <c r="F388" s="126"/>
      <c r="G388" s="125"/>
      <c r="H388" s="125"/>
      <c r="I388" s="125"/>
      <c r="J388" s="125"/>
      <c r="K388" s="125"/>
      <c r="L388" s="125"/>
      <c r="M388" s="125"/>
      <c r="N388" s="129"/>
      <c r="O388" s="125"/>
      <c r="P388" s="173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spans="1:26" ht="15.75" customHeight="1">
      <c r="A389" s="125"/>
      <c r="B389" s="125"/>
      <c r="C389" s="125"/>
      <c r="D389" s="125"/>
      <c r="E389" s="125"/>
      <c r="F389" s="126"/>
      <c r="G389" s="125"/>
      <c r="H389" s="125"/>
      <c r="I389" s="125"/>
      <c r="J389" s="125"/>
      <c r="K389" s="125"/>
      <c r="L389" s="125"/>
      <c r="M389" s="125"/>
      <c r="N389" s="129"/>
      <c r="O389" s="125"/>
      <c r="P389" s="173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spans="1:26" ht="15.75" customHeight="1">
      <c r="A390" s="125"/>
      <c r="B390" s="125"/>
      <c r="C390" s="125"/>
      <c r="D390" s="125"/>
      <c r="E390" s="125"/>
      <c r="F390" s="126"/>
      <c r="G390" s="125"/>
      <c r="H390" s="125"/>
      <c r="I390" s="125"/>
      <c r="J390" s="125"/>
      <c r="K390" s="125"/>
      <c r="L390" s="125"/>
      <c r="M390" s="125"/>
      <c r="N390" s="129"/>
      <c r="O390" s="125"/>
      <c r="P390" s="173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spans="1:26" ht="15.75" customHeight="1">
      <c r="A391" s="125"/>
      <c r="B391" s="125"/>
      <c r="C391" s="125"/>
      <c r="D391" s="125"/>
      <c r="E391" s="125"/>
      <c r="F391" s="126"/>
      <c r="G391" s="125"/>
      <c r="H391" s="125"/>
      <c r="I391" s="125"/>
      <c r="J391" s="125"/>
      <c r="K391" s="125"/>
      <c r="L391" s="125"/>
      <c r="M391" s="125"/>
      <c r="N391" s="129"/>
      <c r="O391" s="125"/>
      <c r="P391" s="173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spans="1:26" ht="15.75" customHeight="1">
      <c r="A392" s="125"/>
      <c r="B392" s="125"/>
      <c r="C392" s="125"/>
      <c r="D392" s="125"/>
      <c r="E392" s="125"/>
      <c r="F392" s="126"/>
      <c r="G392" s="125"/>
      <c r="H392" s="125"/>
      <c r="I392" s="125"/>
      <c r="J392" s="125"/>
      <c r="K392" s="125"/>
      <c r="L392" s="125"/>
      <c r="M392" s="125"/>
      <c r="N392" s="129"/>
      <c r="O392" s="125"/>
      <c r="P392" s="173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spans="1:26" ht="15.75" customHeight="1">
      <c r="A393" s="125"/>
      <c r="B393" s="125"/>
      <c r="C393" s="125"/>
      <c r="D393" s="125"/>
      <c r="E393" s="125"/>
      <c r="F393" s="126"/>
      <c r="G393" s="125"/>
      <c r="H393" s="125"/>
      <c r="I393" s="125"/>
      <c r="J393" s="125"/>
      <c r="K393" s="125"/>
      <c r="L393" s="125"/>
      <c r="M393" s="125"/>
      <c r="N393" s="129"/>
      <c r="O393" s="125"/>
      <c r="P393" s="173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spans="1:26" ht="15.75" customHeight="1">
      <c r="A394" s="125"/>
      <c r="B394" s="125"/>
      <c r="C394" s="125"/>
      <c r="D394" s="125"/>
      <c r="E394" s="125"/>
      <c r="F394" s="126"/>
      <c r="G394" s="125"/>
      <c r="H394" s="125"/>
      <c r="I394" s="125"/>
      <c r="J394" s="125"/>
      <c r="K394" s="125"/>
      <c r="L394" s="125"/>
      <c r="M394" s="125"/>
      <c r="N394" s="129"/>
      <c r="O394" s="125"/>
      <c r="P394" s="173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spans="1:26" ht="15.75" customHeight="1">
      <c r="A395" s="125"/>
      <c r="B395" s="125"/>
      <c r="C395" s="125"/>
      <c r="D395" s="125"/>
      <c r="E395" s="125"/>
      <c r="F395" s="126"/>
      <c r="G395" s="125"/>
      <c r="H395" s="125"/>
      <c r="I395" s="125"/>
      <c r="J395" s="125"/>
      <c r="K395" s="125"/>
      <c r="L395" s="125"/>
      <c r="M395" s="125"/>
      <c r="N395" s="129"/>
      <c r="O395" s="125"/>
      <c r="P395" s="173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spans="1:26" ht="15.75" customHeight="1">
      <c r="A396" s="125"/>
      <c r="B396" s="125"/>
      <c r="C396" s="125"/>
      <c r="D396" s="125"/>
      <c r="E396" s="125"/>
      <c r="F396" s="126"/>
      <c r="G396" s="125"/>
      <c r="H396" s="125"/>
      <c r="I396" s="125"/>
      <c r="J396" s="125"/>
      <c r="K396" s="125"/>
      <c r="L396" s="125"/>
      <c r="M396" s="125"/>
      <c r="N396" s="129"/>
      <c r="O396" s="125"/>
      <c r="P396" s="173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spans="1:26" ht="15.75" customHeight="1">
      <c r="A397" s="125"/>
      <c r="B397" s="125"/>
      <c r="C397" s="125"/>
      <c r="D397" s="125"/>
      <c r="E397" s="125"/>
      <c r="F397" s="126"/>
      <c r="G397" s="125"/>
      <c r="H397" s="125"/>
      <c r="I397" s="125"/>
      <c r="J397" s="125"/>
      <c r="K397" s="125"/>
      <c r="L397" s="125"/>
      <c r="M397" s="125"/>
      <c r="N397" s="129"/>
      <c r="O397" s="125"/>
      <c r="P397" s="173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spans="1:26" ht="15.75" customHeight="1">
      <c r="A398" s="125"/>
      <c r="B398" s="125"/>
      <c r="C398" s="125"/>
      <c r="D398" s="125"/>
      <c r="E398" s="125"/>
      <c r="F398" s="126"/>
      <c r="G398" s="125"/>
      <c r="H398" s="125"/>
      <c r="I398" s="125"/>
      <c r="J398" s="125"/>
      <c r="K398" s="125"/>
      <c r="L398" s="125"/>
      <c r="M398" s="125"/>
      <c r="N398" s="129"/>
      <c r="O398" s="125"/>
      <c r="P398" s="173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spans="1:26" ht="15.75" customHeight="1">
      <c r="A399" s="125"/>
      <c r="B399" s="125"/>
      <c r="C399" s="125"/>
      <c r="D399" s="125"/>
      <c r="E399" s="125"/>
      <c r="F399" s="126"/>
      <c r="G399" s="125"/>
      <c r="H399" s="125"/>
      <c r="I399" s="125"/>
      <c r="J399" s="125"/>
      <c r="K399" s="125"/>
      <c r="L399" s="125"/>
      <c r="M399" s="125"/>
      <c r="N399" s="129"/>
      <c r="O399" s="125"/>
      <c r="P399" s="173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spans="1:26" ht="15.75" customHeight="1">
      <c r="A400" s="125"/>
      <c r="B400" s="125"/>
      <c r="C400" s="125"/>
      <c r="D400" s="125"/>
      <c r="E400" s="125"/>
      <c r="F400" s="126"/>
      <c r="G400" s="125"/>
      <c r="H400" s="125"/>
      <c r="I400" s="125"/>
      <c r="J400" s="125"/>
      <c r="K400" s="125"/>
      <c r="L400" s="125"/>
      <c r="M400" s="125"/>
      <c r="N400" s="129"/>
      <c r="O400" s="125"/>
      <c r="P400" s="173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spans="1:26" ht="15.75" customHeight="1">
      <c r="A401" s="125"/>
      <c r="B401" s="125"/>
      <c r="C401" s="125"/>
      <c r="D401" s="125"/>
      <c r="E401" s="125"/>
      <c r="F401" s="126"/>
      <c r="G401" s="125"/>
      <c r="H401" s="125"/>
      <c r="I401" s="125"/>
      <c r="J401" s="125"/>
      <c r="K401" s="125"/>
      <c r="L401" s="125"/>
      <c r="M401" s="125"/>
      <c r="N401" s="129"/>
      <c r="O401" s="125"/>
      <c r="P401" s="173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spans="1:26" ht="15.75" customHeight="1">
      <c r="A402" s="125"/>
      <c r="B402" s="125"/>
      <c r="C402" s="125"/>
      <c r="D402" s="125"/>
      <c r="E402" s="125"/>
      <c r="F402" s="126"/>
      <c r="G402" s="125"/>
      <c r="H402" s="125"/>
      <c r="I402" s="125"/>
      <c r="J402" s="125"/>
      <c r="K402" s="125"/>
      <c r="L402" s="125"/>
      <c r="M402" s="125"/>
      <c r="N402" s="129"/>
      <c r="O402" s="125"/>
      <c r="P402" s="173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spans="1:26" ht="15.75" customHeight="1">
      <c r="A403" s="125"/>
      <c r="B403" s="125"/>
      <c r="C403" s="125"/>
      <c r="D403" s="125"/>
      <c r="E403" s="125"/>
      <c r="F403" s="126"/>
      <c r="G403" s="125"/>
      <c r="H403" s="125"/>
      <c r="I403" s="125"/>
      <c r="J403" s="125"/>
      <c r="K403" s="125"/>
      <c r="L403" s="125"/>
      <c r="M403" s="125"/>
      <c r="N403" s="129"/>
      <c r="O403" s="125"/>
      <c r="P403" s="173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spans="1:26" ht="15.75" customHeight="1">
      <c r="A404" s="125"/>
      <c r="B404" s="125"/>
      <c r="C404" s="125"/>
      <c r="D404" s="125"/>
      <c r="E404" s="125"/>
      <c r="F404" s="126"/>
      <c r="G404" s="125"/>
      <c r="H404" s="125"/>
      <c r="I404" s="125"/>
      <c r="J404" s="125"/>
      <c r="K404" s="125"/>
      <c r="L404" s="125"/>
      <c r="M404" s="125"/>
      <c r="N404" s="129"/>
      <c r="O404" s="125"/>
      <c r="P404" s="173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spans="1:26" ht="15.75" customHeight="1">
      <c r="A405" s="125"/>
      <c r="B405" s="125"/>
      <c r="C405" s="125"/>
      <c r="D405" s="125"/>
      <c r="E405" s="125"/>
      <c r="F405" s="126"/>
      <c r="G405" s="125"/>
      <c r="H405" s="125"/>
      <c r="I405" s="125"/>
      <c r="J405" s="125"/>
      <c r="K405" s="125"/>
      <c r="L405" s="125"/>
      <c r="M405" s="125"/>
      <c r="N405" s="129"/>
      <c r="O405" s="125"/>
      <c r="P405" s="173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spans="1:26" ht="15.75" customHeight="1">
      <c r="A406" s="125"/>
      <c r="B406" s="125"/>
      <c r="C406" s="125"/>
      <c r="D406" s="125"/>
      <c r="E406" s="125"/>
      <c r="F406" s="126"/>
      <c r="G406" s="125"/>
      <c r="H406" s="125"/>
      <c r="I406" s="125"/>
      <c r="J406" s="125"/>
      <c r="K406" s="125"/>
      <c r="L406" s="125"/>
      <c r="M406" s="125"/>
      <c r="N406" s="129"/>
      <c r="O406" s="125"/>
      <c r="P406" s="173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spans="1:26" ht="15.75" customHeight="1">
      <c r="A407" s="125"/>
      <c r="B407" s="125"/>
      <c r="C407" s="125"/>
      <c r="D407" s="125"/>
      <c r="E407" s="125"/>
      <c r="F407" s="126"/>
      <c r="G407" s="125"/>
      <c r="H407" s="125"/>
      <c r="I407" s="125"/>
      <c r="J407" s="125"/>
      <c r="K407" s="125"/>
      <c r="L407" s="125"/>
      <c r="M407" s="125"/>
      <c r="N407" s="129"/>
      <c r="O407" s="125"/>
      <c r="P407" s="173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spans="1:26" ht="15.75" customHeight="1">
      <c r="A408" s="125"/>
      <c r="B408" s="125"/>
      <c r="C408" s="125"/>
      <c r="D408" s="125"/>
      <c r="E408" s="125"/>
      <c r="F408" s="126"/>
      <c r="G408" s="125"/>
      <c r="H408" s="125"/>
      <c r="I408" s="125"/>
      <c r="J408" s="125"/>
      <c r="K408" s="125"/>
      <c r="L408" s="125"/>
      <c r="M408" s="125"/>
      <c r="N408" s="129"/>
      <c r="O408" s="125"/>
      <c r="P408" s="173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spans="1:26" ht="15.75" customHeight="1">
      <c r="A409" s="125"/>
      <c r="B409" s="125"/>
      <c r="C409" s="125"/>
      <c r="D409" s="125"/>
      <c r="E409" s="125"/>
      <c r="F409" s="126"/>
      <c r="G409" s="125"/>
      <c r="H409" s="125"/>
      <c r="I409" s="125"/>
      <c r="J409" s="125"/>
      <c r="K409" s="125"/>
      <c r="L409" s="125"/>
      <c r="M409" s="125"/>
      <c r="N409" s="129"/>
      <c r="O409" s="125"/>
      <c r="P409" s="173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spans="1:26" ht="15.75" customHeight="1">
      <c r="A410" s="125"/>
      <c r="B410" s="125"/>
      <c r="C410" s="125"/>
      <c r="D410" s="125"/>
      <c r="E410" s="125"/>
      <c r="F410" s="126"/>
      <c r="G410" s="125"/>
      <c r="H410" s="125"/>
      <c r="I410" s="125"/>
      <c r="J410" s="125"/>
      <c r="K410" s="125"/>
      <c r="L410" s="125"/>
      <c r="M410" s="125"/>
      <c r="N410" s="129"/>
      <c r="O410" s="125"/>
      <c r="P410" s="173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spans="1:26" ht="15.75" customHeight="1">
      <c r="A411" s="125"/>
      <c r="B411" s="125"/>
      <c r="C411" s="125"/>
      <c r="D411" s="125"/>
      <c r="E411" s="125"/>
      <c r="F411" s="126"/>
      <c r="G411" s="125"/>
      <c r="H411" s="125"/>
      <c r="I411" s="125"/>
      <c r="J411" s="125"/>
      <c r="K411" s="125"/>
      <c r="L411" s="125"/>
      <c r="M411" s="125"/>
      <c r="N411" s="129"/>
      <c r="O411" s="125"/>
      <c r="P411" s="173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spans="1:26" ht="15.75" customHeight="1">
      <c r="A412" s="125"/>
      <c r="B412" s="125"/>
      <c r="C412" s="125"/>
      <c r="D412" s="125"/>
      <c r="E412" s="125"/>
      <c r="F412" s="126"/>
      <c r="G412" s="125"/>
      <c r="H412" s="125"/>
      <c r="I412" s="125"/>
      <c r="J412" s="125"/>
      <c r="K412" s="125"/>
      <c r="L412" s="125"/>
      <c r="M412" s="125"/>
      <c r="N412" s="129"/>
      <c r="O412" s="125"/>
      <c r="P412" s="173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spans="1:26" ht="15.75" customHeight="1">
      <c r="A413" s="125"/>
      <c r="B413" s="125"/>
      <c r="C413" s="125"/>
      <c r="D413" s="125"/>
      <c r="E413" s="125"/>
      <c r="F413" s="126"/>
      <c r="G413" s="125"/>
      <c r="H413" s="125"/>
      <c r="I413" s="125"/>
      <c r="J413" s="125"/>
      <c r="K413" s="125"/>
      <c r="L413" s="125"/>
      <c r="M413" s="125"/>
      <c r="N413" s="129"/>
      <c r="O413" s="125"/>
      <c r="P413" s="173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spans="1:26" ht="15.75" customHeight="1">
      <c r="A414" s="125"/>
      <c r="B414" s="125"/>
      <c r="C414" s="125"/>
      <c r="D414" s="125"/>
      <c r="E414" s="125"/>
      <c r="F414" s="126"/>
      <c r="G414" s="125"/>
      <c r="H414" s="125"/>
      <c r="I414" s="125"/>
      <c r="J414" s="125"/>
      <c r="K414" s="125"/>
      <c r="L414" s="125"/>
      <c r="M414" s="125"/>
      <c r="N414" s="129"/>
      <c r="O414" s="125"/>
      <c r="P414" s="173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spans="1:26" ht="15.75" customHeight="1">
      <c r="A415" s="125"/>
      <c r="B415" s="125"/>
      <c r="C415" s="125"/>
      <c r="D415" s="125"/>
      <c r="E415" s="125"/>
      <c r="F415" s="126"/>
      <c r="G415" s="125"/>
      <c r="H415" s="125"/>
      <c r="I415" s="125"/>
      <c r="J415" s="125"/>
      <c r="K415" s="125"/>
      <c r="L415" s="125"/>
      <c r="M415" s="125"/>
      <c r="N415" s="129"/>
      <c r="O415" s="125"/>
      <c r="P415" s="173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spans="1:26" ht="15.75" customHeight="1">
      <c r="A416" s="125"/>
      <c r="B416" s="125"/>
      <c r="C416" s="125"/>
      <c r="D416" s="125"/>
      <c r="E416" s="125"/>
      <c r="F416" s="126"/>
      <c r="G416" s="125"/>
      <c r="H416" s="125"/>
      <c r="I416" s="125"/>
      <c r="J416" s="125"/>
      <c r="K416" s="125"/>
      <c r="L416" s="125"/>
      <c r="M416" s="125"/>
      <c r="N416" s="129"/>
      <c r="O416" s="125"/>
      <c r="P416" s="173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spans="1:26" ht="15.75" customHeight="1">
      <c r="A417" s="125"/>
      <c r="B417" s="125"/>
      <c r="C417" s="125"/>
      <c r="D417" s="125"/>
      <c r="E417" s="125"/>
      <c r="F417" s="126"/>
      <c r="G417" s="125"/>
      <c r="H417" s="125"/>
      <c r="I417" s="125"/>
      <c r="J417" s="125"/>
      <c r="K417" s="125"/>
      <c r="L417" s="125"/>
      <c r="M417" s="125"/>
      <c r="N417" s="129"/>
      <c r="O417" s="125"/>
      <c r="P417" s="173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spans="1:26" ht="15.75" customHeight="1">
      <c r="A418" s="125"/>
      <c r="B418" s="125"/>
      <c r="C418" s="125"/>
      <c r="D418" s="125"/>
      <c r="E418" s="125"/>
      <c r="F418" s="126"/>
      <c r="G418" s="125"/>
      <c r="H418" s="125"/>
      <c r="I418" s="125"/>
      <c r="J418" s="125"/>
      <c r="K418" s="125"/>
      <c r="L418" s="125"/>
      <c r="M418" s="125"/>
      <c r="N418" s="129"/>
      <c r="O418" s="125"/>
      <c r="P418" s="173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spans="1:26" ht="15.75" customHeight="1">
      <c r="A419" s="125"/>
      <c r="B419" s="125"/>
      <c r="C419" s="125"/>
      <c r="D419" s="125"/>
      <c r="E419" s="125"/>
      <c r="F419" s="126"/>
      <c r="G419" s="125"/>
      <c r="H419" s="125"/>
      <c r="I419" s="125"/>
      <c r="J419" s="125"/>
      <c r="K419" s="125"/>
      <c r="L419" s="125"/>
      <c r="M419" s="125"/>
      <c r="N419" s="129"/>
      <c r="O419" s="125"/>
      <c r="P419" s="173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spans="1:26" ht="15.75" customHeight="1">
      <c r="A420" s="125"/>
      <c r="B420" s="125"/>
      <c r="C420" s="125"/>
      <c r="D420" s="125"/>
      <c r="E420" s="125"/>
      <c r="F420" s="126"/>
      <c r="G420" s="125"/>
      <c r="H420" s="125"/>
      <c r="I420" s="125"/>
      <c r="J420" s="125"/>
      <c r="K420" s="125"/>
      <c r="L420" s="125"/>
      <c r="M420" s="125"/>
      <c r="N420" s="129"/>
      <c r="O420" s="125"/>
      <c r="P420" s="173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spans="1:26" ht="15.75" customHeight="1">
      <c r="A421" s="125"/>
      <c r="B421" s="125"/>
      <c r="C421" s="125"/>
      <c r="D421" s="125"/>
      <c r="E421" s="125"/>
      <c r="F421" s="126"/>
      <c r="G421" s="125"/>
      <c r="H421" s="125"/>
      <c r="I421" s="125"/>
      <c r="J421" s="125"/>
      <c r="K421" s="125"/>
      <c r="L421" s="125"/>
      <c r="M421" s="125"/>
      <c r="N421" s="129"/>
      <c r="O421" s="125"/>
      <c r="P421" s="173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spans="1:26" ht="15.75" customHeight="1">
      <c r="A422" s="125"/>
      <c r="B422" s="125"/>
      <c r="C422" s="125"/>
      <c r="D422" s="125"/>
      <c r="E422" s="125"/>
      <c r="F422" s="126"/>
      <c r="G422" s="125"/>
      <c r="H422" s="125"/>
      <c r="I422" s="125"/>
      <c r="J422" s="125"/>
      <c r="K422" s="125"/>
      <c r="L422" s="125"/>
      <c r="M422" s="125"/>
      <c r="N422" s="129"/>
      <c r="O422" s="125"/>
      <c r="P422" s="173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spans="1:26" ht="15.75" customHeight="1">
      <c r="A423" s="125"/>
      <c r="B423" s="125"/>
      <c r="C423" s="125"/>
      <c r="D423" s="125"/>
      <c r="E423" s="125"/>
      <c r="F423" s="126"/>
      <c r="G423" s="125"/>
      <c r="H423" s="125"/>
      <c r="I423" s="125"/>
      <c r="J423" s="125"/>
      <c r="K423" s="125"/>
      <c r="L423" s="125"/>
      <c r="M423" s="125"/>
      <c r="N423" s="129"/>
      <c r="O423" s="125"/>
      <c r="P423" s="173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spans="1:26" ht="15.75" customHeight="1">
      <c r="A424" s="125"/>
      <c r="B424" s="125"/>
      <c r="C424" s="125"/>
      <c r="D424" s="125"/>
      <c r="E424" s="125"/>
      <c r="F424" s="126"/>
      <c r="G424" s="125"/>
      <c r="H424" s="125"/>
      <c r="I424" s="125"/>
      <c r="J424" s="125"/>
      <c r="K424" s="125"/>
      <c r="L424" s="125"/>
      <c r="M424" s="125"/>
      <c r="N424" s="129"/>
      <c r="O424" s="125"/>
      <c r="P424" s="173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spans="1:26" ht="15.75" customHeight="1">
      <c r="A425" s="125"/>
      <c r="B425" s="125"/>
      <c r="C425" s="125"/>
      <c r="D425" s="125"/>
      <c r="E425" s="125"/>
      <c r="F425" s="126"/>
      <c r="G425" s="125"/>
      <c r="H425" s="125"/>
      <c r="I425" s="125"/>
      <c r="J425" s="125"/>
      <c r="K425" s="125"/>
      <c r="L425" s="125"/>
      <c r="M425" s="125"/>
      <c r="N425" s="129"/>
      <c r="O425" s="125"/>
      <c r="P425" s="173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spans="1:26" ht="15.75" customHeight="1">
      <c r="A426" s="125"/>
      <c r="B426" s="125"/>
      <c r="C426" s="125"/>
      <c r="D426" s="125"/>
      <c r="E426" s="125"/>
      <c r="F426" s="126"/>
      <c r="G426" s="125"/>
      <c r="H426" s="125"/>
      <c r="I426" s="125"/>
      <c r="J426" s="125"/>
      <c r="K426" s="125"/>
      <c r="L426" s="125"/>
      <c r="M426" s="125"/>
      <c r="N426" s="129"/>
      <c r="O426" s="125"/>
      <c r="P426" s="173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spans="1:26" ht="15.75" customHeight="1">
      <c r="A427" s="125"/>
      <c r="B427" s="125"/>
      <c r="C427" s="125"/>
      <c r="D427" s="125"/>
      <c r="E427" s="125"/>
      <c r="F427" s="126"/>
      <c r="G427" s="125"/>
      <c r="H427" s="125"/>
      <c r="I427" s="125"/>
      <c r="J427" s="125"/>
      <c r="K427" s="125"/>
      <c r="L427" s="125"/>
      <c r="M427" s="125"/>
      <c r="N427" s="129"/>
      <c r="O427" s="125"/>
      <c r="P427" s="173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spans="1:26" ht="15.75" customHeight="1">
      <c r="A428" s="125"/>
      <c r="B428" s="125"/>
      <c r="C428" s="125"/>
      <c r="D428" s="125"/>
      <c r="E428" s="125"/>
      <c r="F428" s="126"/>
      <c r="G428" s="125"/>
      <c r="H428" s="125"/>
      <c r="I428" s="125"/>
      <c r="J428" s="125"/>
      <c r="K428" s="125"/>
      <c r="L428" s="125"/>
      <c r="M428" s="125"/>
      <c r="N428" s="129"/>
      <c r="O428" s="125"/>
      <c r="P428" s="173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spans="1:26" ht="15.75" customHeight="1">
      <c r="A429" s="125"/>
      <c r="B429" s="125"/>
      <c r="C429" s="125"/>
      <c r="D429" s="125"/>
      <c r="E429" s="125"/>
      <c r="F429" s="126"/>
      <c r="G429" s="125"/>
      <c r="H429" s="125"/>
      <c r="I429" s="125"/>
      <c r="J429" s="125"/>
      <c r="K429" s="125"/>
      <c r="L429" s="125"/>
      <c r="M429" s="125"/>
      <c r="N429" s="129"/>
      <c r="O429" s="125"/>
      <c r="P429" s="173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spans="1:26" ht="15.75" customHeight="1">
      <c r="A430" s="125"/>
      <c r="B430" s="125"/>
      <c r="C430" s="125"/>
      <c r="D430" s="125"/>
      <c r="E430" s="125"/>
      <c r="F430" s="126"/>
      <c r="G430" s="125"/>
      <c r="H430" s="125"/>
      <c r="I430" s="125"/>
      <c r="J430" s="125"/>
      <c r="K430" s="125"/>
      <c r="L430" s="125"/>
      <c r="M430" s="125"/>
      <c r="N430" s="129"/>
      <c r="O430" s="125"/>
      <c r="P430" s="173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spans="1:26" ht="15.75" customHeight="1">
      <c r="A431" s="125"/>
      <c r="B431" s="125"/>
      <c r="C431" s="125"/>
      <c r="D431" s="125"/>
      <c r="E431" s="125"/>
      <c r="F431" s="126"/>
      <c r="G431" s="125"/>
      <c r="H431" s="125"/>
      <c r="I431" s="125"/>
      <c r="J431" s="125"/>
      <c r="K431" s="125"/>
      <c r="L431" s="125"/>
      <c r="M431" s="125"/>
      <c r="N431" s="129"/>
      <c r="O431" s="125"/>
      <c r="P431" s="173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spans="1:26" ht="15.75" customHeight="1">
      <c r="A432" s="125"/>
      <c r="B432" s="125"/>
      <c r="C432" s="125"/>
      <c r="D432" s="125"/>
      <c r="E432" s="125"/>
      <c r="F432" s="126"/>
      <c r="G432" s="125"/>
      <c r="H432" s="125"/>
      <c r="I432" s="125"/>
      <c r="J432" s="125"/>
      <c r="K432" s="125"/>
      <c r="L432" s="125"/>
      <c r="M432" s="125"/>
      <c r="N432" s="129"/>
      <c r="O432" s="125"/>
      <c r="P432" s="173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spans="1:26" ht="15.75" customHeight="1">
      <c r="A433" s="125"/>
      <c r="B433" s="125"/>
      <c r="C433" s="125"/>
      <c r="D433" s="125"/>
      <c r="E433" s="125"/>
      <c r="F433" s="126"/>
      <c r="G433" s="125"/>
      <c r="H433" s="125"/>
      <c r="I433" s="125"/>
      <c r="J433" s="125"/>
      <c r="K433" s="125"/>
      <c r="L433" s="125"/>
      <c r="M433" s="125"/>
      <c r="N433" s="129"/>
      <c r="O433" s="125"/>
      <c r="P433" s="173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spans="1:26" ht="15.75" customHeight="1">
      <c r="A434" s="125"/>
      <c r="B434" s="125"/>
      <c r="C434" s="125"/>
      <c r="D434" s="125"/>
      <c r="E434" s="125"/>
      <c r="F434" s="126"/>
      <c r="G434" s="125"/>
      <c r="H434" s="125"/>
      <c r="I434" s="125"/>
      <c r="J434" s="125"/>
      <c r="K434" s="125"/>
      <c r="L434" s="125"/>
      <c r="M434" s="125"/>
      <c r="N434" s="129"/>
      <c r="O434" s="125"/>
      <c r="P434" s="173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spans="1:26" ht="15.75" customHeight="1">
      <c r="A435" s="125"/>
      <c r="B435" s="125"/>
      <c r="C435" s="125"/>
      <c r="D435" s="125"/>
      <c r="E435" s="125"/>
      <c r="F435" s="126"/>
      <c r="G435" s="125"/>
      <c r="H435" s="125"/>
      <c r="I435" s="125"/>
      <c r="J435" s="125"/>
      <c r="K435" s="125"/>
      <c r="L435" s="125"/>
      <c r="M435" s="125"/>
      <c r="N435" s="129"/>
      <c r="O435" s="125"/>
      <c r="P435" s="173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spans="1:26" ht="15.75" customHeight="1">
      <c r="A436" s="125"/>
      <c r="B436" s="125"/>
      <c r="C436" s="125"/>
      <c r="D436" s="125"/>
      <c r="E436" s="125"/>
      <c r="F436" s="126"/>
      <c r="G436" s="125"/>
      <c r="H436" s="125"/>
      <c r="I436" s="125"/>
      <c r="J436" s="125"/>
      <c r="K436" s="125"/>
      <c r="L436" s="125"/>
      <c r="M436" s="125"/>
      <c r="N436" s="129"/>
      <c r="O436" s="125"/>
      <c r="P436" s="173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spans="1:26" ht="15.75" customHeight="1">
      <c r="A437" s="125"/>
      <c r="B437" s="125"/>
      <c r="C437" s="125"/>
      <c r="D437" s="125"/>
      <c r="E437" s="125"/>
      <c r="F437" s="126"/>
      <c r="G437" s="125"/>
      <c r="H437" s="125"/>
      <c r="I437" s="125"/>
      <c r="J437" s="125"/>
      <c r="K437" s="125"/>
      <c r="L437" s="125"/>
      <c r="M437" s="125"/>
      <c r="N437" s="129"/>
      <c r="O437" s="125"/>
      <c r="P437" s="173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spans="1:26" ht="15.75" customHeight="1">
      <c r="A438" s="125"/>
      <c r="B438" s="125"/>
      <c r="C438" s="125"/>
      <c r="D438" s="125"/>
      <c r="E438" s="125"/>
      <c r="F438" s="126"/>
      <c r="G438" s="125"/>
      <c r="H438" s="125"/>
      <c r="I438" s="125"/>
      <c r="J438" s="125"/>
      <c r="K438" s="125"/>
      <c r="L438" s="125"/>
      <c r="M438" s="125"/>
      <c r="N438" s="129"/>
      <c r="O438" s="125"/>
      <c r="P438" s="173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spans="1:26" ht="15.75" customHeight="1">
      <c r="A439" s="125"/>
      <c r="B439" s="125"/>
      <c r="C439" s="125"/>
      <c r="D439" s="125"/>
      <c r="E439" s="125"/>
      <c r="F439" s="126"/>
      <c r="G439" s="125"/>
      <c r="H439" s="125"/>
      <c r="I439" s="125"/>
      <c r="J439" s="125"/>
      <c r="K439" s="125"/>
      <c r="L439" s="125"/>
      <c r="M439" s="125"/>
      <c r="N439" s="129"/>
      <c r="O439" s="125"/>
      <c r="P439" s="173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spans="1:26" ht="15.75" customHeight="1">
      <c r="A440" s="125"/>
      <c r="B440" s="125"/>
      <c r="C440" s="125"/>
      <c r="D440" s="125"/>
      <c r="E440" s="125"/>
      <c r="F440" s="126"/>
      <c r="G440" s="125"/>
      <c r="H440" s="125"/>
      <c r="I440" s="125"/>
      <c r="J440" s="125"/>
      <c r="K440" s="125"/>
      <c r="L440" s="125"/>
      <c r="M440" s="125"/>
      <c r="N440" s="129"/>
      <c r="O440" s="125"/>
      <c r="P440" s="173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spans="1:26" ht="15.75" customHeight="1">
      <c r="A441" s="125"/>
      <c r="B441" s="125"/>
      <c r="C441" s="125"/>
      <c r="D441" s="125"/>
      <c r="E441" s="125"/>
      <c r="F441" s="126"/>
      <c r="G441" s="125"/>
      <c r="H441" s="125"/>
      <c r="I441" s="125"/>
      <c r="J441" s="125"/>
      <c r="K441" s="125"/>
      <c r="L441" s="125"/>
      <c r="M441" s="125"/>
      <c r="N441" s="129"/>
      <c r="O441" s="125"/>
      <c r="P441" s="173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spans="1:26" ht="15.75" customHeight="1">
      <c r="A442" s="125"/>
      <c r="B442" s="125"/>
      <c r="C442" s="125"/>
      <c r="D442" s="125"/>
      <c r="E442" s="125"/>
      <c r="F442" s="126"/>
      <c r="G442" s="125"/>
      <c r="H442" s="125"/>
      <c r="I442" s="125"/>
      <c r="J442" s="125"/>
      <c r="K442" s="125"/>
      <c r="L442" s="125"/>
      <c r="M442" s="125"/>
      <c r="N442" s="129"/>
      <c r="O442" s="125"/>
      <c r="P442" s="173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spans="1:26" ht="15.75" customHeight="1">
      <c r="A443" s="125"/>
      <c r="B443" s="125"/>
      <c r="C443" s="125"/>
      <c r="D443" s="125"/>
      <c r="E443" s="125"/>
      <c r="F443" s="126"/>
      <c r="G443" s="125"/>
      <c r="H443" s="125"/>
      <c r="I443" s="125"/>
      <c r="J443" s="125"/>
      <c r="K443" s="125"/>
      <c r="L443" s="125"/>
      <c r="M443" s="125"/>
      <c r="N443" s="129"/>
      <c r="O443" s="125"/>
      <c r="P443" s="173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spans="1:26" ht="15.75" customHeight="1">
      <c r="A444" s="125"/>
      <c r="B444" s="125"/>
      <c r="C444" s="125"/>
      <c r="D444" s="125"/>
      <c r="E444" s="125"/>
      <c r="F444" s="126"/>
      <c r="G444" s="125"/>
      <c r="H444" s="125"/>
      <c r="I444" s="125"/>
      <c r="J444" s="125"/>
      <c r="K444" s="125"/>
      <c r="L444" s="125"/>
      <c r="M444" s="125"/>
      <c r="N444" s="129"/>
      <c r="O444" s="125"/>
      <c r="P444" s="173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spans="1:26" ht="15.75" customHeight="1">
      <c r="A445" s="125"/>
      <c r="B445" s="125"/>
      <c r="C445" s="125"/>
      <c r="D445" s="125"/>
      <c r="E445" s="125"/>
      <c r="F445" s="126"/>
      <c r="G445" s="125"/>
      <c r="H445" s="125"/>
      <c r="I445" s="125"/>
      <c r="J445" s="125"/>
      <c r="K445" s="125"/>
      <c r="L445" s="125"/>
      <c r="M445" s="125"/>
      <c r="N445" s="129"/>
      <c r="O445" s="125"/>
      <c r="P445" s="173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spans="1:26" ht="15.75" customHeight="1">
      <c r="A446" s="125"/>
      <c r="B446" s="125"/>
      <c r="C446" s="125"/>
      <c r="D446" s="125"/>
      <c r="E446" s="125"/>
      <c r="F446" s="126"/>
      <c r="G446" s="125"/>
      <c r="H446" s="125"/>
      <c r="I446" s="125"/>
      <c r="J446" s="125"/>
      <c r="K446" s="125"/>
      <c r="L446" s="125"/>
      <c r="M446" s="125"/>
      <c r="N446" s="129"/>
      <c r="O446" s="125"/>
      <c r="P446" s="173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spans="1:26" ht="15.75" customHeight="1">
      <c r="A447" s="125"/>
      <c r="B447" s="125"/>
      <c r="C447" s="125"/>
      <c r="D447" s="125"/>
      <c r="E447" s="125"/>
      <c r="F447" s="126"/>
      <c r="G447" s="125"/>
      <c r="H447" s="125"/>
      <c r="I447" s="125"/>
      <c r="J447" s="125"/>
      <c r="K447" s="125"/>
      <c r="L447" s="125"/>
      <c r="M447" s="125"/>
      <c r="N447" s="129"/>
      <c r="O447" s="125"/>
      <c r="P447" s="173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spans="1:26" ht="15.75" customHeight="1">
      <c r="A448" s="125"/>
      <c r="B448" s="125"/>
      <c r="C448" s="125"/>
      <c r="D448" s="125"/>
      <c r="E448" s="125"/>
      <c r="F448" s="126"/>
      <c r="G448" s="125"/>
      <c r="H448" s="125"/>
      <c r="I448" s="125"/>
      <c r="J448" s="125"/>
      <c r="K448" s="125"/>
      <c r="L448" s="125"/>
      <c r="M448" s="125"/>
      <c r="N448" s="129"/>
      <c r="O448" s="125"/>
      <c r="P448" s="173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spans="1:26" ht="15.75" customHeight="1">
      <c r="A449" s="125"/>
      <c r="B449" s="125"/>
      <c r="C449" s="125"/>
      <c r="D449" s="125"/>
      <c r="E449" s="125"/>
      <c r="F449" s="126"/>
      <c r="G449" s="125"/>
      <c r="H449" s="125"/>
      <c r="I449" s="125"/>
      <c r="J449" s="125"/>
      <c r="K449" s="125"/>
      <c r="L449" s="125"/>
      <c r="M449" s="125"/>
      <c r="N449" s="129"/>
      <c r="O449" s="125"/>
      <c r="P449" s="173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spans="1:26" ht="15.75" customHeight="1">
      <c r="A450" s="125"/>
      <c r="B450" s="125"/>
      <c r="C450" s="125"/>
      <c r="D450" s="125"/>
      <c r="E450" s="125"/>
      <c r="F450" s="126"/>
      <c r="G450" s="125"/>
      <c r="H450" s="125"/>
      <c r="I450" s="125"/>
      <c r="J450" s="125"/>
      <c r="K450" s="125"/>
      <c r="L450" s="125"/>
      <c r="M450" s="125"/>
      <c r="N450" s="129"/>
      <c r="O450" s="125"/>
      <c r="P450" s="173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spans="1:26" ht="15.75" customHeight="1">
      <c r="A451" s="125"/>
      <c r="B451" s="125"/>
      <c r="C451" s="125"/>
      <c r="D451" s="125"/>
      <c r="E451" s="125"/>
      <c r="F451" s="126"/>
      <c r="G451" s="125"/>
      <c r="H451" s="125"/>
      <c r="I451" s="125"/>
      <c r="J451" s="125"/>
      <c r="K451" s="125"/>
      <c r="L451" s="125"/>
      <c r="M451" s="125"/>
      <c r="N451" s="129"/>
      <c r="O451" s="125"/>
      <c r="P451" s="173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spans="1:26" ht="15.75" customHeight="1">
      <c r="A452" s="125"/>
      <c r="B452" s="125"/>
      <c r="C452" s="125"/>
      <c r="D452" s="125"/>
      <c r="E452" s="125"/>
      <c r="F452" s="126"/>
      <c r="G452" s="125"/>
      <c r="H452" s="125"/>
      <c r="I452" s="125"/>
      <c r="J452" s="125"/>
      <c r="K452" s="125"/>
      <c r="L452" s="125"/>
      <c r="M452" s="125"/>
      <c r="N452" s="129"/>
      <c r="O452" s="125"/>
      <c r="P452" s="173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spans="1:26" ht="15.75" customHeight="1">
      <c r="A453" s="125"/>
      <c r="B453" s="125"/>
      <c r="C453" s="125"/>
      <c r="D453" s="125"/>
      <c r="E453" s="125"/>
      <c r="F453" s="126"/>
      <c r="G453" s="125"/>
      <c r="H453" s="125"/>
      <c r="I453" s="125"/>
      <c r="J453" s="125"/>
      <c r="K453" s="125"/>
      <c r="L453" s="125"/>
      <c r="M453" s="125"/>
      <c r="N453" s="129"/>
      <c r="O453" s="125"/>
      <c r="P453" s="173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spans="1:26" ht="15.75" customHeight="1">
      <c r="A454" s="125"/>
      <c r="B454" s="125"/>
      <c r="C454" s="125"/>
      <c r="D454" s="125"/>
      <c r="E454" s="125"/>
      <c r="F454" s="126"/>
      <c r="G454" s="125"/>
      <c r="H454" s="125"/>
      <c r="I454" s="125"/>
      <c r="J454" s="125"/>
      <c r="K454" s="125"/>
      <c r="L454" s="125"/>
      <c r="M454" s="125"/>
      <c r="N454" s="129"/>
      <c r="O454" s="125"/>
      <c r="P454" s="173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spans="1:26" ht="15.75" customHeight="1">
      <c r="A455" s="125"/>
      <c r="B455" s="125"/>
      <c r="C455" s="125"/>
      <c r="D455" s="125"/>
      <c r="E455" s="125"/>
      <c r="F455" s="126"/>
      <c r="G455" s="125"/>
      <c r="H455" s="125"/>
      <c r="I455" s="125"/>
      <c r="J455" s="125"/>
      <c r="K455" s="125"/>
      <c r="L455" s="125"/>
      <c r="M455" s="125"/>
      <c r="N455" s="129"/>
      <c r="O455" s="125"/>
      <c r="P455" s="173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spans="1:26" ht="15.75" customHeight="1">
      <c r="A456" s="125"/>
      <c r="B456" s="125"/>
      <c r="C456" s="125"/>
      <c r="D456" s="125"/>
      <c r="E456" s="125"/>
      <c r="F456" s="126"/>
      <c r="G456" s="125"/>
      <c r="H456" s="125"/>
      <c r="I456" s="125"/>
      <c r="J456" s="125"/>
      <c r="K456" s="125"/>
      <c r="L456" s="125"/>
      <c r="M456" s="125"/>
      <c r="N456" s="129"/>
      <c r="O456" s="125"/>
      <c r="P456" s="173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spans="1:26" ht="15.75" customHeight="1">
      <c r="A457" s="125"/>
      <c r="B457" s="125"/>
      <c r="C457" s="125"/>
      <c r="D457" s="125"/>
      <c r="E457" s="125"/>
      <c r="F457" s="126"/>
      <c r="G457" s="125"/>
      <c r="H457" s="125"/>
      <c r="I457" s="125"/>
      <c r="J457" s="125"/>
      <c r="K457" s="125"/>
      <c r="L457" s="125"/>
      <c r="M457" s="125"/>
      <c r="N457" s="129"/>
      <c r="O457" s="125"/>
      <c r="P457" s="173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spans="1:26" ht="15.75" customHeight="1">
      <c r="A458" s="125"/>
      <c r="B458" s="125"/>
      <c r="C458" s="125"/>
      <c r="D458" s="125"/>
      <c r="E458" s="125"/>
      <c r="F458" s="126"/>
      <c r="G458" s="125"/>
      <c r="H458" s="125"/>
      <c r="I458" s="125"/>
      <c r="J458" s="125"/>
      <c r="K458" s="125"/>
      <c r="L458" s="125"/>
      <c r="M458" s="125"/>
      <c r="N458" s="129"/>
      <c r="O458" s="125"/>
      <c r="P458" s="173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spans="1:26" ht="15.75" customHeight="1">
      <c r="A459" s="125"/>
      <c r="B459" s="125"/>
      <c r="C459" s="125"/>
      <c r="D459" s="125"/>
      <c r="E459" s="125"/>
      <c r="F459" s="126"/>
      <c r="G459" s="125"/>
      <c r="H459" s="125"/>
      <c r="I459" s="125"/>
      <c r="J459" s="125"/>
      <c r="K459" s="125"/>
      <c r="L459" s="125"/>
      <c r="M459" s="125"/>
      <c r="N459" s="129"/>
      <c r="O459" s="125"/>
      <c r="P459" s="173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6" ht="15.75" customHeight="1">
      <c r="A460" s="125"/>
      <c r="B460" s="125"/>
      <c r="C460" s="125"/>
      <c r="D460" s="125"/>
      <c r="E460" s="125"/>
      <c r="F460" s="126"/>
      <c r="G460" s="125"/>
      <c r="H460" s="125"/>
      <c r="I460" s="125"/>
      <c r="J460" s="125"/>
      <c r="K460" s="125"/>
      <c r="L460" s="125"/>
      <c r="M460" s="125"/>
      <c r="N460" s="129"/>
      <c r="O460" s="125"/>
      <c r="P460" s="173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spans="1:26" ht="15.75" customHeight="1">
      <c r="A461" s="125"/>
      <c r="B461" s="125"/>
      <c r="C461" s="125"/>
      <c r="D461" s="125"/>
      <c r="E461" s="125"/>
      <c r="F461" s="126"/>
      <c r="G461" s="125"/>
      <c r="H461" s="125"/>
      <c r="I461" s="125"/>
      <c r="J461" s="125"/>
      <c r="K461" s="125"/>
      <c r="L461" s="125"/>
      <c r="M461" s="125"/>
      <c r="N461" s="129"/>
      <c r="O461" s="125"/>
      <c r="P461" s="173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spans="1:26" ht="15.75" customHeight="1">
      <c r="A462" s="125"/>
      <c r="B462" s="125"/>
      <c r="C462" s="125"/>
      <c r="D462" s="125"/>
      <c r="E462" s="125"/>
      <c r="F462" s="126"/>
      <c r="G462" s="125"/>
      <c r="H462" s="125"/>
      <c r="I462" s="125"/>
      <c r="J462" s="125"/>
      <c r="K462" s="125"/>
      <c r="L462" s="125"/>
      <c r="M462" s="125"/>
      <c r="N462" s="129"/>
      <c r="O462" s="125"/>
      <c r="P462" s="173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spans="1:26" ht="15.75" customHeight="1">
      <c r="A463" s="125"/>
      <c r="B463" s="125"/>
      <c r="C463" s="125"/>
      <c r="D463" s="125"/>
      <c r="E463" s="125"/>
      <c r="F463" s="126"/>
      <c r="G463" s="125"/>
      <c r="H463" s="125"/>
      <c r="I463" s="125"/>
      <c r="J463" s="125"/>
      <c r="K463" s="125"/>
      <c r="L463" s="125"/>
      <c r="M463" s="125"/>
      <c r="N463" s="129"/>
      <c r="O463" s="125"/>
      <c r="P463" s="173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spans="1:26" ht="15.75" customHeight="1">
      <c r="A464" s="125"/>
      <c r="B464" s="125"/>
      <c r="C464" s="125"/>
      <c r="D464" s="125"/>
      <c r="E464" s="125"/>
      <c r="F464" s="126"/>
      <c r="G464" s="125"/>
      <c r="H464" s="125"/>
      <c r="I464" s="125"/>
      <c r="J464" s="125"/>
      <c r="K464" s="125"/>
      <c r="L464" s="125"/>
      <c r="M464" s="125"/>
      <c r="N464" s="129"/>
      <c r="O464" s="125"/>
      <c r="P464" s="173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spans="1:26" ht="15.75" customHeight="1">
      <c r="A465" s="125"/>
      <c r="B465" s="125"/>
      <c r="C465" s="125"/>
      <c r="D465" s="125"/>
      <c r="E465" s="125"/>
      <c r="F465" s="126"/>
      <c r="G465" s="125"/>
      <c r="H465" s="125"/>
      <c r="I465" s="125"/>
      <c r="J465" s="125"/>
      <c r="K465" s="125"/>
      <c r="L465" s="125"/>
      <c r="M465" s="125"/>
      <c r="N465" s="129"/>
      <c r="O465" s="125"/>
      <c r="P465" s="173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spans="1:26" ht="15.75" customHeight="1">
      <c r="A466" s="125"/>
      <c r="B466" s="125"/>
      <c r="C466" s="125"/>
      <c r="D466" s="125"/>
      <c r="E466" s="125"/>
      <c r="F466" s="126"/>
      <c r="G466" s="125"/>
      <c r="H466" s="125"/>
      <c r="I466" s="125"/>
      <c r="J466" s="125"/>
      <c r="K466" s="125"/>
      <c r="L466" s="125"/>
      <c r="M466" s="125"/>
      <c r="N466" s="129"/>
      <c r="O466" s="125"/>
      <c r="P466" s="173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spans="1:26" ht="15.75" customHeight="1">
      <c r="A467" s="125"/>
      <c r="B467" s="125"/>
      <c r="C467" s="125"/>
      <c r="D467" s="125"/>
      <c r="E467" s="125"/>
      <c r="F467" s="126"/>
      <c r="G467" s="125"/>
      <c r="H467" s="125"/>
      <c r="I467" s="125"/>
      <c r="J467" s="125"/>
      <c r="K467" s="125"/>
      <c r="L467" s="125"/>
      <c r="M467" s="125"/>
      <c r="N467" s="129"/>
      <c r="O467" s="125"/>
      <c r="P467" s="173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spans="1:26" ht="15.75" customHeight="1">
      <c r="A468" s="125"/>
      <c r="B468" s="125"/>
      <c r="C468" s="125"/>
      <c r="D468" s="125"/>
      <c r="E468" s="125"/>
      <c r="F468" s="126"/>
      <c r="G468" s="125"/>
      <c r="H468" s="125"/>
      <c r="I468" s="125"/>
      <c r="J468" s="125"/>
      <c r="K468" s="125"/>
      <c r="L468" s="125"/>
      <c r="M468" s="125"/>
      <c r="N468" s="129"/>
      <c r="O468" s="125"/>
      <c r="P468" s="173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spans="1:26" ht="15.75" customHeight="1">
      <c r="A469" s="125"/>
      <c r="B469" s="125"/>
      <c r="C469" s="125"/>
      <c r="D469" s="125"/>
      <c r="E469" s="125"/>
      <c r="F469" s="126"/>
      <c r="G469" s="125"/>
      <c r="H469" s="125"/>
      <c r="I469" s="125"/>
      <c r="J469" s="125"/>
      <c r="K469" s="125"/>
      <c r="L469" s="125"/>
      <c r="M469" s="125"/>
      <c r="N469" s="129"/>
      <c r="O469" s="125"/>
      <c r="P469" s="173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spans="1:26" ht="15.75" customHeight="1">
      <c r="A470" s="125"/>
      <c r="B470" s="125"/>
      <c r="C470" s="125"/>
      <c r="D470" s="125"/>
      <c r="E470" s="125"/>
      <c r="F470" s="126"/>
      <c r="G470" s="125"/>
      <c r="H470" s="125"/>
      <c r="I470" s="125"/>
      <c r="J470" s="125"/>
      <c r="K470" s="125"/>
      <c r="L470" s="125"/>
      <c r="M470" s="125"/>
      <c r="N470" s="129"/>
      <c r="O470" s="125"/>
      <c r="P470" s="173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spans="1:26" ht="15.75" customHeight="1">
      <c r="A471" s="125"/>
      <c r="B471" s="125"/>
      <c r="C471" s="125"/>
      <c r="D471" s="125"/>
      <c r="E471" s="125"/>
      <c r="F471" s="126"/>
      <c r="G471" s="125"/>
      <c r="H471" s="125"/>
      <c r="I471" s="125"/>
      <c r="J471" s="125"/>
      <c r="K471" s="125"/>
      <c r="L471" s="125"/>
      <c r="M471" s="125"/>
      <c r="N471" s="129"/>
      <c r="O471" s="125"/>
      <c r="P471" s="173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spans="1:26" ht="15.75" customHeight="1">
      <c r="A472" s="125"/>
      <c r="B472" s="125"/>
      <c r="C472" s="125"/>
      <c r="D472" s="125"/>
      <c r="E472" s="125"/>
      <c r="F472" s="126"/>
      <c r="G472" s="125"/>
      <c r="H472" s="125"/>
      <c r="I472" s="125"/>
      <c r="J472" s="125"/>
      <c r="K472" s="125"/>
      <c r="L472" s="125"/>
      <c r="M472" s="125"/>
      <c r="N472" s="129"/>
      <c r="O472" s="125"/>
      <c r="P472" s="173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spans="1:26" ht="15.75" customHeight="1">
      <c r="A473" s="125"/>
      <c r="B473" s="125"/>
      <c r="C473" s="125"/>
      <c r="D473" s="125"/>
      <c r="E473" s="125"/>
      <c r="F473" s="126"/>
      <c r="G473" s="125"/>
      <c r="H473" s="125"/>
      <c r="I473" s="125"/>
      <c r="J473" s="125"/>
      <c r="K473" s="125"/>
      <c r="L473" s="125"/>
      <c r="M473" s="125"/>
      <c r="N473" s="129"/>
      <c r="O473" s="125"/>
      <c r="P473" s="173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spans="1:26" ht="15.75" customHeight="1">
      <c r="A474" s="125"/>
      <c r="B474" s="125"/>
      <c r="C474" s="125"/>
      <c r="D474" s="125"/>
      <c r="E474" s="125"/>
      <c r="F474" s="126"/>
      <c r="G474" s="125"/>
      <c r="H474" s="125"/>
      <c r="I474" s="125"/>
      <c r="J474" s="125"/>
      <c r="K474" s="125"/>
      <c r="L474" s="125"/>
      <c r="M474" s="125"/>
      <c r="N474" s="129"/>
      <c r="O474" s="125"/>
      <c r="P474" s="173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spans="1:26" ht="15.75" customHeight="1">
      <c r="A475" s="125"/>
      <c r="B475" s="125"/>
      <c r="C475" s="125"/>
      <c r="D475" s="125"/>
      <c r="E475" s="125"/>
      <c r="F475" s="126"/>
      <c r="G475" s="125"/>
      <c r="H475" s="125"/>
      <c r="I475" s="125"/>
      <c r="J475" s="125"/>
      <c r="K475" s="125"/>
      <c r="L475" s="125"/>
      <c r="M475" s="125"/>
      <c r="N475" s="129"/>
      <c r="O475" s="125"/>
      <c r="P475" s="173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spans="1:26" ht="15.75" customHeight="1">
      <c r="A476" s="125"/>
      <c r="B476" s="125"/>
      <c r="C476" s="125"/>
      <c r="D476" s="125"/>
      <c r="E476" s="125"/>
      <c r="F476" s="126"/>
      <c r="G476" s="125"/>
      <c r="H476" s="125"/>
      <c r="I476" s="125"/>
      <c r="J476" s="125"/>
      <c r="K476" s="125"/>
      <c r="L476" s="125"/>
      <c r="M476" s="125"/>
      <c r="N476" s="129"/>
      <c r="O476" s="125"/>
      <c r="P476" s="173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spans="1:26" ht="15.75" customHeight="1">
      <c r="A477" s="125"/>
      <c r="B477" s="125"/>
      <c r="C477" s="125"/>
      <c r="D477" s="125"/>
      <c r="E477" s="125"/>
      <c r="F477" s="126"/>
      <c r="G477" s="125"/>
      <c r="H477" s="125"/>
      <c r="I477" s="125"/>
      <c r="J477" s="125"/>
      <c r="K477" s="125"/>
      <c r="L477" s="125"/>
      <c r="M477" s="125"/>
      <c r="N477" s="129"/>
      <c r="O477" s="125"/>
      <c r="P477" s="173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spans="1:26" ht="15.75" customHeight="1">
      <c r="A478" s="125"/>
      <c r="B478" s="125"/>
      <c r="C478" s="125"/>
      <c r="D478" s="125"/>
      <c r="E478" s="125"/>
      <c r="F478" s="126"/>
      <c r="G478" s="125"/>
      <c r="H478" s="125"/>
      <c r="I478" s="125"/>
      <c r="J478" s="125"/>
      <c r="K478" s="125"/>
      <c r="L478" s="125"/>
      <c r="M478" s="125"/>
      <c r="N478" s="129"/>
      <c r="O478" s="125"/>
      <c r="P478" s="173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spans="1:26" ht="15.75" customHeight="1">
      <c r="A479" s="125"/>
      <c r="B479" s="125"/>
      <c r="C479" s="125"/>
      <c r="D479" s="125"/>
      <c r="E479" s="125"/>
      <c r="F479" s="126"/>
      <c r="G479" s="125"/>
      <c r="H479" s="125"/>
      <c r="I479" s="125"/>
      <c r="J479" s="125"/>
      <c r="K479" s="125"/>
      <c r="L479" s="125"/>
      <c r="M479" s="125"/>
      <c r="N479" s="129"/>
      <c r="O479" s="125"/>
      <c r="P479" s="173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spans="1:26" ht="15.75" customHeight="1">
      <c r="A480" s="125"/>
      <c r="B480" s="125"/>
      <c r="C480" s="125"/>
      <c r="D480" s="125"/>
      <c r="E480" s="125"/>
      <c r="F480" s="126"/>
      <c r="G480" s="125"/>
      <c r="H480" s="125"/>
      <c r="I480" s="125"/>
      <c r="J480" s="125"/>
      <c r="K480" s="125"/>
      <c r="L480" s="125"/>
      <c r="M480" s="125"/>
      <c r="N480" s="129"/>
      <c r="O480" s="125"/>
      <c r="P480" s="173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spans="1:26" ht="15.75" customHeight="1">
      <c r="A481" s="125"/>
      <c r="B481" s="125"/>
      <c r="C481" s="125"/>
      <c r="D481" s="125"/>
      <c r="E481" s="125"/>
      <c r="F481" s="126"/>
      <c r="G481" s="125"/>
      <c r="H481" s="125"/>
      <c r="I481" s="125"/>
      <c r="J481" s="125"/>
      <c r="K481" s="125"/>
      <c r="L481" s="125"/>
      <c r="M481" s="125"/>
      <c r="N481" s="129"/>
      <c r="O481" s="125"/>
      <c r="P481" s="173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spans="1:26" ht="15.75" customHeight="1">
      <c r="A482" s="125"/>
      <c r="B482" s="125"/>
      <c r="C482" s="125"/>
      <c r="D482" s="125"/>
      <c r="E482" s="125"/>
      <c r="F482" s="126"/>
      <c r="G482" s="125"/>
      <c r="H482" s="125"/>
      <c r="I482" s="125"/>
      <c r="J482" s="125"/>
      <c r="K482" s="125"/>
      <c r="L482" s="125"/>
      <c r="M482" s="125"/>
      <c r="N482" s="129"/>
      <c r="O482" s="125"/>
      <c r="P482" s="173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spans="1:26" ht="15.75" customHeight="1">
      <c r="A483" s="125"/>
      <c r="B483" s="125"/>
      <c r="C483" s="125"/>
      <c r="D483" s="125"/>
      <c r="E483" s="125"/>
      <c r="F483" s="126"/>
      <c r="G483" s="125"/>
      <c r="H483" s="125"/>
      <c r="I483" s="125"/>
      <c r="J483" s="125"/>
      <c r="K483" s="125"/>
      <c r="L483" s="125"/>
      <c r="M483" s="125"/>
      <c r="N483" s="129"/>
      <c r="O483" s="125"/>
      <c r="P483" s="173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spans="1:26" ht="15.75" customHeight="1">
      <c r="A484" s="125"/>
      <c r="B484" s="125"/>
      <c r="C484" s="125"/>
      <c r="D484" s="125"/>
      <c r="E484" s="125"/>
      <c r="F484" s="126"/>
      <c r="G484" s="125"/>
      <c r="H484" s="125"/>
      <c r="I484" s="125"/>
      <c r="J484" s="125"/>
      <c r="K484" s="125"/>
      <c r="L484" s="125"/>
      <c r="M484" s="125"/>
      <c r="N484" s="129"/>
      <c r="O484" s="125"/>
      <c r="P484" s="173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spans="1:26" ht="15.75" customHeight="1">
      <c r="A485" s="125"/>
      <c r="B485" s="125"/>
      <c r="C485" s="125"/>
      <c r="D485" s="125"/>
      <c r="E485" s="125"/>
      <c r="F485" s="126"/>
      <c r="G485" s="125"/>
      <c r="H485" s="125"/>
      <c r="I485" s="125"/>
      <c r="J485" s="125"/>
      <c r="K485" s="125"/>
      <c r="L485" s="125"/>
      <c r="M485" s="125"/>
      <c r="N485" s="129"/>
      <c r="O485" s="125"/>
      <c r="P485" s="173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spans="1:26" ht="15.75" customHeight="1">
      <c r="A486" s="125"/>
      <c r="B486" s="125"/>
      <c r="C486" s="125"/>
      <c r="D486" s="125"/>
      <c r="E486" s="125"/>
      <c r="F486" s="126"/>
      <c r="G486" s="125"/>
      <c r="H486" s="125"/>
      <c r="I486" s="125"/>
      <c r="J486" s="125"/>
      <c r="K486" s="125"/>
      <c r="L486" s="125"/>
      <c r="M486" s="125"/>
      <c r="N486" s="129"/>
      <c r="O486" s="125"/>
      <c r="P486" s="173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spans="1:26" ht="15.75" customHeight="1">
      <c r="A487" s="125"/>
      <c r="B487" s="125"/>
      <c r="C487" s="125"/>
      <c r="D487" s="125"/>
      <c r="E487" s="125"/>
      <c r="F487" s="126"/>
      <c r="G487" s="125"/>
      <c r="H487" s="125"/>
      <c r="I487" s="125"/>
      <c r="J487" s="125"/>
      <c r="K487" s="125"/>
      <c r="L487" s="125"/>
      <c r="M487" s="125"/>
      <c r="N487" s="129"/>
      <c r="O487" s="125"/>
      <c r="P487" s="173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spans="1:26" ht="15.75" customHeight="1">
      <c r="A488" s="125"/>
      <c r="B488" s="125"/>
      <c r="C488" s="125"/>
      <c r="D488" s="125"/>
      <c r="E488" s="125"/>
      <c r="F488" s="126"/>
      <c r="G488" s="125"/>
      <c r="H488" s="125"/>
      <c r="I488" s="125"/>
      <c r="J488" s="125"/>
      <c r="K488" s="125"/>
      <c r="L488" s="125"/>
      <c r="M488" s="125"/>
      <c r="N488" s="129"/>
      <c r="O488" s="125"/>
      <c r="P488" s="173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spans="1:26" ht="15.75" customHeight="1">
      <c r="A489" s="125"/>
      <c r="B489" s="125"/>
      <c r="C489" s="125"/>
      <c r="D489" s="125"/>
      <c r="E489" s="125"/>
      <c r="F489" s="126"/>
      <c r="G489" s="125"/>
      <c r="H489" s="125"/>
      <c r="I489" s="125"/>
      <c r="J489" s="125"/>
      <c r="K489" s="125"/>
      <c r="L489" s="125"/>
      <c r="M489" s="125"/>
      <c r="N489" s="129"/>
      <c r="O489" s="125"/>
      <c r="P489" s="173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spans="1:26" ht="15.75" customHeight="1">
      <c r="A490" s="125"/>
      <c r="B490" s="125"/>
      <c r="C490" s="125"/>
      <c r="D490" s="125"/>
      <c r="E490" s="125"/>
      <c r="F490" s="126"/>
      <c r="G490" s="125"/>
      <c r="H490" s="125"/>
      <c r="I490" s="125"/>
      <c r="J490" s="125"/>
      <c r="K490" s="125"/>
      <c r="L490" s="125"/>
      <c r="M490" s="125"/>
      <c r="N490" s="129"/>
      <c r="O490" s="125"/>
      <c r="P490" s="173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spans="1:26" ht="15.75" customHeight="1">
      <c r="A491" s="125"/>
      <c r="B491" s="125"/>
      <c r="C491" s="125"/>
      <c r="D491" s="125"/>
      <c r="E491" s="125"/>
      <c r="F491" s="126"/>
      <c r="G491" s="125"/>
      <c r="H491" s="125"/>
      <c r="I491" s="125"/>
      <c r="J491" s="125"/>
      <c r="K491" s="125"/>
      <c r="L491" s="125"/>
      <c r="M491" s="125"/>
      <c r="N491" s="129"/>
      <c r="O491" s="125"/>
      <c r="P491" s="173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spans="1:26" ht="15.75" customHeight="1">
      <c r="A492" s="125"/>
      <c r="B492" s="125"/>
      <c r="C492" s="125"/>
      <c r="D492" s="125"/>
      <c r="E492" s="125"/>
      <c r="F492" s="126"/>
      <c r="G492" s="125"/>
      <c r="H492" s="125"/>
      <c r="I492" s="125"/>
      <c r="J492" s="125"/>
      <c r="K492" s="125"/>
      <c r="L492" s="125"/>
      <c r="M492" s="125"/>
      <c r="N492" s="129"/>
      <c r="O492" s="125"/>
      <c r="P492" s="173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spans="1:26" ht="15.75" customHeight="1">
      <c r="A493" s="125"/>
      <c r="B493" s="125"/>
      <c r="C493" s="125"/>
      <c r="D493" s="125"/>
      <c r="E493" s="125"/>
      <c r="F493" s="126"/>
      <c r="G493" s="125"/>
      <c r="H493" s="125"/>
      <c r="I493" s="125"/>
      <c r="J493" s="125"/>
      <c r="K493" s="125"/>
      <c r="L493" s="125"/>
      <c r="M493" s="125"/>
      <c r="N493" s="129"/>
      <c r="O493" s="125"/>
      <c r="P493" s="173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spans="1:26" ht="15.75" customHeight="1">
      <c r="A494" s="125"/>
      <c r="B494" s="125"/>
      <c r="C494" s="125"/>
      <c r="D494" s="125"/>
      <c r="E494" s="125"/>
      <c r="F494" s="126"/>
      <c r="G494" s="125"/>
      <c r="H494" s="125"/>
      <c r="I494" s="125"/>
      <c r="J494" s="125"/>
      <c r="K494" s="125"/>
      <c r="L494" s="125"/>
      <c r="M494" s="125"/>
      <c r="N494" s="129"/>
      <c r="O494" s="125"/>
      <c r="P494" s="173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spans="1:26" ht="15.75" customHeight="1">
      <c r="A495" s="125"/>
      <c r="B495" s="125"/>
      <c r="C495" s="125"/>
      <c r="D495" s="125"/>
      <c r="E495" s="125"/>
      <c r="F495" s="126"/>
      <c r="G495" s="125"/>
      <c r="H495" s="125"/>
      <c r="I495" s="125"/>
      <c r="J495" s="125"/>
      <c r="K495" s="125"/>
      <c r="L495" s="125"/>
      <c r="M495" s="125"/>
      <c r="N495" s="129"/>
      <c r="O495" s="125"/>
      <c r="P495" s="173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spans="1:26" ht="15.75" customHeight="1">
      <c r="A496" s="125"/>
      <c r="B496" s="125"/>
      <c r="C496" s="125"/>
      <c r="D496" s="125"/>
      <c r="E496" s="125"/>
      <c r="F496" s="126"/>
      <c r="G496" s="125"/>
      <c r="H496" s="125"/>
      <c r="I496" s="125"/>
      <c r="J496" s="125"/>
      <c r="K496" s="125"/>
      <c r="L496" s="125"/>
      <c r="M496" s="125"/>
      <c r="N496" s="129"/>
      <c r="O496" s="125"/>
      <c r="P496" s="173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spans="1:26" ht="15.75" customHeight="1">
      <c r="A497" s="125"/>
      <c r="B497" s="125"/>
      <c r="C497" s="125"/>
      <c r="D497" s="125"/>
      <c r="E497" s="125"/>
      <c r="F497" s="126"/>
      <c r="G497" s="125"/>
      <c r="H497" s="125"/>
      <c r="I497" s="125"/>
      <c r="J497" s="125"/>
      <c r="K497" s="125"/>
      <c r="L497" s="125"/>
      <c r="M497" s="125"/>
      <c r="N497" s="129"/>
      <c r="O497" s="125"/>
      <c r="P497" s="173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spans="1:26" ht="15.75" customHeight="1">
      <c r="A498" s="125"/>
      <c r="B498" s="125"/>
      <c r="C498" s="125"/>
      <c r="D498" s="125"/>
      <c r="E498" s="125"/>
      <c r="F498" s="126"/>
      <c r="G498" s="125"/>
      <c r="H498" s="125"/>
      <c r="I498" s="125"/>
      <c r="J498" s="125"/>
      <c r="K498" s="125"/>
      <c r="L498" s="125"/>
      <c r="M498" s="125"/>
      <c r="N498" s="129"/>
      <c r="O498" s="125"/>
      <c r="P498" s="173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spans="1:26" ht="15.75" customHeight="1">
      <c r="A499" s="125"/>
      <c r="B499" s="125"/>
      <c r="C499" s="125"/>
      <c r="D499" s="125"/>
      <c r="E499" s="125"/>
      <c r="F499" s="126"/>
      <c r="G499" s="125"/>
      <c r="H499" s="125"/>
      <c r="I499" s="125"/>
      <c r="J499" s="125"/>
      <c r="K499" s="125"/>
      <c r="L499" s="125"/>
      <c r="M499" s="125"/>
      <c r="N499" s="129"/>
      <c r="O499" s="125"/>
      <c r="P499" s="173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spans="1:26" ht="15.75" customHeight="1">
      <c r="A500" s="125"/>
      <c r="B500" s="125"/>
      <c r="C500" s="125"/>
      <c r="D500" s="125"/>
      <c r="E500" s="125"/>
      <c r="F500" s="126"/>
      <c r="G500" s="125"/>
      <c r="H500" s="125"/>
      <c r="I500" s="125"/>
      <c r="J500" s="125"/>
      <c r="K500" s="125"/>
      <c r="L500" s="125"/>
      <c r="M500" s="125"/>
      <c r="N500" s="129"/>
      <c r="O500" s="125"/>
      <c r="P500" s="173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spans="1:26" ht="15.75" customHeight="1">
      <c r="A501" s="125"/>
      <c r="B501" s="125"/>
      <c r="C501" s="125"/>
      <c r="D501" s="125"/>
      <c r="E501" s="125"/>
      <c r="F501" s="126"/>
      <c r="G501" s="125"/>
      <c r="H501" s="125"/>
      <c r="I501" s="125"/>
      <c r="J501" s="125"/>
      <c r="K501" s="125"/>
      <c r="L501" s="125"/>
      <c r="M501" s="125"/>
      <c r="N501" s="129"/>
      <c r="O501" s="125"/>
      <c r="P501" s="173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spans="1:26" ht="15.75" customHeight="1">
      <c r="A502" s="125"/>
      <c r="B502" s="125"/>
      <c r="C502" s="125"/>
      <c r="D502" s="125"/>
      <c r="E502" s="125"/>
      <c r="F502" s="126"/>
      <c r="G502" s="125"/>
      <c r="H502" s="125"/>
      <c r="I502" s="125"/>
      <c r="J502" s="125"/>
      <c r="K502" s="125"/>
      <c r="L502" s="125"/>
      <c r="M502" s="125"/>
      <c r="N502" s="129"/>
      <c r="O502" s="125"/>
      <c r="P502" s="173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spans="1:26" ht="15.75" customHeight="1">
      <c r="A503" s="125"/>
      <c r="B503" s="125"/>
      <c r="C503" s="125"/>
      <c r="D503" s="125"/>
      <c r="E503" s="125"/>
      <c r="F503" s="126"/>
      <c r="G503" s="125"/>
      <c r="H503" s="125"/>
      <c r="I503" s="125"/>
      <c r="J503" s="125"/>
      <c r="K503" s="125"/>
      <c r="L503" s="125"/>
      <c r="M503" s="125"/>
      <c r="N503" s="129"/>
      <c r="O503" s="125"/>
      <c r="P503" s="173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spans="1:26" ht="15.75" customHeight="1">
      <c r="A504" s="125"/>
      <c r="B504" s="125"/>
      <c r="C504" s="125"/>
      <c r="D504" s="125"/>
      <c r="E504" s="125"/>
      <c r="F504" s="126"/>
      <c r="G504" s="125"/>
      <c r="H504" s="125"/>
      <c r="I504" s="125"/>
      <c r="J504" s="125"/>
      <c r="K504" s="125"/>
      <c r="L504" s="125"/>
      <c r="M504" s="125"/>
      <c r="N504" s="129"/>
      <c r="O504" s="125"/>
      <c r="P504" s="173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spans="1:26" ht="15.75" customHeight="1">
      <c r="A505" s="125"/>
      <c r="B505" s="125"/>
      <c r="C505" s="125"/>
      <c r="D505" s="125"/>
      <c r="E505" s="125"/>
      <c r="F505" s="126"/>
      <c r="G505" s="125"/>
      <c r="H505" s="125"/>
      <c r="I505" s="125"/>
      <c r="J505" s="125"/>
      <c r="K505" s="125"/>
      <c r="L505" s="125"/>
      <c r="M505" s="125"/>
      <c r="N505" s="129"/>
      <c r="O505" s="125"/>
      <c r="P505" s="173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spans="1:26" ht="15.75" customHeight="1">
      <c r="A506" s="125"/>
      <c r="B506" s="125"/>
      <c r="C506" s="125"/>
      <c r="D506" s="125"/>
      <c r="E506" s="125"/>
      <c r="F506" s="126"/>
      <c r="G506" s="125"/>
      <c r="H506" s="125"/>
      <c r="I506" s="125"/>
      <c r="J506" s="125"/>
      <c r="K506" s="125"/>
      <c r="L506" s="125"/>
      <c r="M506" s="125"/>
      <c r="N506" s="129"/>
      <c r="O506" s="125"/>
      <c r="P506" s="173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spans="1:26" ht="15.75" customHeight="1">
      <c r="A507" s="125"/>
      <c r="B507" s="125"/>
      <c r="C507" s="125"/>
      <c r="D507" s="125"/>
      <c r="E507" s="125"/>
      <c r="F507" s="126"/>
      <c r="G507" s="125"/>
      <c r="H507" s="125"/>
      <c r="I507" s="125"/>
      <c r="J507" s="125"/>
      <c r="K507" s="125"/>
      <c r="L507" s="125"/>
      <c r="M507" s="125"/>
      <c r="N507" s="129"/>
      <c r="O507" s="125"/>
      <c r="P507" s="173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spans="1:26" ht="15.75" customHeight="1">
      <c r="A508" s="125"/>
      <c r="B508" s="125"/>
      <c r="C508" s="125"/>
      <c r="D508" s="125"/>
      <c r="E508" s="125"/>
      <c r="F508" s="126"/>
      <c r="G508" s="125"/>
      <c r="H508" s="125"/>
      <c r="I508" s="125"/>
      <c r="J508" s="125"/>
      <c r="K508" s="125"/>
      <c r="L508" s="125"/>
      <c r="M508" s="125"/>
      <c r="N508" s="129"/>
      <c r="O508" s="125"/>
      <c r="P508" s="173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spans="1:26" ht="15.75" customHeight="1">
      <c r="A509" s="125"/>
      <c r="B509" s="125"/>
      <c r="C509" s="125"/>
      <c r="D509" s="125"/>
      <c r="E509" s="125"/>
      <c r="F509" s="126"/>
      <c r="G509" s="125"/>
      <c r="H509" s="125"/>
      <c r="I509" s="125"/>
      <c r="J509" s="125"/>
      <c r="K509" s="125"/>
      <c r="L509" s="125"/>
      <c r="M509" s="125"/>
      <c r="N509" s="129"/>
      <c r="O509" s="125"/>
      <c r="P509" s="173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spans="1:26" ht="15.75" customHeight="1">
      <c r="A510" s="125"/>
      <c r="B510" s="125"/>
      <c r="C510" s="125"/>
      <c r="D510" s="125"/>
      <c r="E510" s="125"/>
      <c r="F510" s="126"/>
      <c r="G510" s="125"/>
      <c r="H510" s="125"/>
      <c r="I510" s="125"/>
      <c r="J510" s="125"/>
      <c r="K510" s="125"/>
      <c r="L510" s="125"/>
      <c r="M510" s="125"/>
      <c r="N510" s="129"/>
      <c r="O510" s="125"/>
      <c r="P510" s="173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spans="1:26" ht="15.75" customHeight="1">
      <c r="A511" s="125"/>
      <c r="B511" s="125"/>
      <c r="C511" s="125"/>
      <c r="D511" s="125"/>
      <c r="E511" s="125"/>
      <c r="F511" s="126"/>
      <c r="G511" s="125"/>
      <c r="H511" s="125"/>
      <c r="I511" s="125"/>
      <c r="J511" s="125"/>
      <c r="K511" s="125"/>
      <c r="L511" s="125"/>
      <c r="M511" s="125"/>
      <c r="N511" s="129"/>
      <c r="O511" s="125"/>
      <c r="P511" s="173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spans="1:26" ht="15.75" customHeight="1">
      <c r="A512" s="125"/>
      <c r="B512" s="125"/>
      <c r="C512" s="125"/>
      <c r="D512" s="125"/>
      <c r="E512" s="125"/>
      <c r="F512" s="126"/>
      <c r="G512" s="125"/>
      <c r="H512" s="125"/>
      <c r="I512" s="125"/>
      <c r="J512" s="125"/>
      <c r="K512" s="125"/>
      <c r="L512" s="125"/>
      <c r="M512" s="125"/>
      <c r="N512" s="129"/>
      <c r="O512" s="125"/>
      <c r="P512" s="173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spans="1:26" ht="15.75" customHeight="1">
      <c r="A513" s="125"/>
      <c r="B513" s="125"/>
      <c r="C513" s="125"/>
      <c r="D513" s="125"/>
      <c r="E513" s="125"/>
      <c r="F513" s="126"/>
      <c r="G513" s="125"/>
      <c r="H513" s="125"/>
      <c r="I513" s="125"/>
      <c r="J513" s="125"/>
      <c r="K513" s="125"/>
      <c r="L513" s="125"/>
      <c r="M513" s="125"/>
      <c r="N513" s="129"/>
      <c r="O513" s="125"/>
      <c r="P513" s="173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spans="1:26" ht="15.75" customHeight="1">
      <c r="A514" s="125"/>
      <c r="B514" s="125"/>
      <c r="C514" s="125"/>
      <c r="D514" s="125"/>
      <c r="E514" s="125"/>
      <c r="F514" s="126"/>
      <c r="G514" s="125"/>
      <c r="H514" s="125"/>
      <c r="I514" s="125"/>
      <c r="J514" s="125"/>
      <c r="K514" s="125"/>
      <c r="L514" s="125"/>
      <c r="M514" s="125"/>
      <c r="N514" s="129"/>
      <c r="O514" s="125"/>
      <c r="P514" s="173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spans="1:26" ht="15.75" customHeight="1">
      <c r="A515" s="125"/>
      <c r="B515" s="125"/>
      <c r="C515" s="125"/>
      <c r="D515" s="125"/>
      <c r="E515" s="125"/>
      <c r="F515" s="126"/>
      <c r="G515" s="125"/>
      <c r="H515" s="125"/>
      <c r="I515" s="125"/>
      <c r="J515" s="125"/>
      <c r="K515" s="125"/>
      <c r="L515" s="125"/>
      <c r="M515" s="125"/>
      <c r="N515" s="129"/>
      <c r="O515" s="125"/>
      <c r="P515" s="173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spans="1:26" ht="15.75" customHeight="1">
      <c r="A516" s="125"/>
      <c r="B516" s="125"/>
      <c r="C516" s="125"/>
      <c r="D516" s="125"/>
      <c r="E516" s="125"/>
      <c r="F516" s="126"/>
      <c r="G516" s="125"/>
      <c r="H516" s="125"/>
      <c r="I516" s="125"/>
      <c r="J516" s="125"/>
      <c r="K516" s="125"/>
      <c r="L516" s="125"/>
      <c r="M516" s="125"/>
      <c r="N516" s="129"/>
      <c r="O516" s="125"/>
      <c r="P516" s="173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spans="1:26" ht="15.75" customHeight="1">
      <c r="A517" s="125"/>
      <c r="B517" s="125"/>
      <c r="C517" s="125"/>
      <c r="D517" s="125"/>
      <c r="E517" s="125"/>
      <c r="F517" s="126"/>
      <c r="G517" s="125"/>
      <c r="H517" s="125"/>
      <c r="I517" s="125"/>
      <c r="J517" s="125"/>
      <c r="K517" s="125"/>
      <c r="L517" s="125"/>
      <c r="M517" s="125"/>
      <c r="N517" s="129"/>
      <c r="O517" s="125"/>
      <c r="P517" s="173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spans="1:26" ht="15.75" customHeight="1">
      <c r="A518" s="125"/>
      <c r="B518" s="125"/>
      <c r="C518" s="125"/>
      <c r="D518" s="125"/>
      <c r="E518" s="125"/>
      <c r="F518" s="126"/>
      <c r="G518" s="125"/>
      <c r="H518" s="125"/>
      <c r="I518" s="125"/>
      <c r="J518" s="125"/>
      <c r="K518" s="125"/>
      <c r="L518" s="125"/>
      <c r="M518" s="125"/>
      <c r="N518" s="129"/>
      <c r="O518" s="125"/>
      <c r="P518" s="173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spans="1:26" ht="15.75" customHeight="1">
      <c r="A519" s="125"/>
      <c r="B519" s="125"/>
      <c r="C519" s="125"/>
      <c r="D519" s="125"/>
      <c r="E519" s="125"/>
      <c r="F519" s="126"/>
      <c r="G519" s="125"/>
      <c r="H519" s="125"/>
      <c r="I519" s="125"/>
      <c r="J519" s="125"/>
      <c r="K519" s="125"/>
      <c r="L519" s="125"/>
      <c r="M519" s="125"/>
      <c r="N519" s="129"/>
      <c r="O519" s="125"/>
      <c r="P519" s="173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spans="1:26" ht="15.75" customHeight="1">
      <c r="A520" s="125"/>
      <c r="B520" s="125"/>
      <c r="C520" s="125"/>
      <c r="D520" s="125"/>
      <c r="E520" s="125"/>
      <c r="F520" s="126"/>
      <c r="G520" s="125"/>
      <c r="H520" s="125"/>
      <c r="I520" s="125"/>
      <c r="J520" s="125"/>
      <c r="K520" s="125"/>
      <c r="L520" s="125"/>
      <c r="M520" s="125"/>
      <c r="N520" s="129"/>
      <c r="O520" s="125"/>
      <c r="P520" s="173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spans="1:26" ht="15.75" customHeight="1">
      <c r="A521" s="125"/>
      <c r="B521" s="125"/>
      <c r="C521" s="125"/>
      <c r="D521" s="125"/>
      <c r="E521" s="125"/>
      <c r="F521" s="126"/>
      <c r="G521" s="125"/>
      <c r="H521" s="125"/>
      <c r="I521" s="125"/>
      <c r="J521" s="125"/>
      <c r="K521" s="125"/>
      <c r="L521" s="125"/>
      <c r="M521" s="125"/>
      <c r="N521" s="129"/>
      <c r="O521" s="125"/>
      <c r="P521" s="173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spans="1:26" ht="15.75" customHeight="1">
      <c r="A522" s="125"/>
      <c r="B522" s="125"/>
      <c r="C522" s="125"/>
      <c r="D522" s="125"/>
      <c r="E522" s="125"/>
      <c r="F522" s="126"/>
      <c r="G522" s="125"/>
      <c r="H522" s="125"/>
      <c r="I522" s="125"/>
      <c r="J522" s="125"/>
      <c r="K522" s="125"/>
      <c r="L522" s="125"/>
      <c r="M522" s="125"/>
      <c r="N522" s="129"/>
      <c r="O522" s="125"/>
      <c r="P522" s="173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spans="1:26" ht="15.75" customHeight="1">
      <c r="A523" s="125"/>
      <c r="B523" s="125"/>
      <c r="C523" s="125"/>
      <c r="D523" s="125"/>
      <c r="E523" s="125"/>
      <c r="F523" s="126"/>
      <c r="G523" s="125"/>
      <c r="H523" s="125"/>
      <c r="I523" s="125"/>
      <c r="J523" s="125"/>
      <c r="K523" s="125"/>
      <c r="L523" s="125"/>
      <c r="M523" s="125"/>
      <c r="N523" s="129"/>
      <c r="O523" s="125"/>
      <c r="P523" s="173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spans="1:26" ht="15.75" customHeight="1">
      <c r="A524" s="125"/>
      <c r="B524" s="125"/>
      <c r="C524" s="125"/>
      <c r="D524" s="125"/>
      <c r="E524" s="125"/>
      <c r="F524" s="126"/>
      <c r="G524" s="125"/>
      <c r="H524" s="125"/>
      <c r="I524" s="125"/>
      <c r="J524" s="125"/>
      <c r="K524" s="125"/>
      <c r="L524" s="125"/>
      <c r="M524" s="125"/>
      <c r="N524" s="129"/>
      <c r="O524" s="125"/>
      <c r="P524" s="173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spans="1:26" ht="15.75" customHeight="1">
      <c r="A525" s="125"/>
      <c r="B525" s="125"/>
      <c r="C525" s="125"/>
      <c r="D525" s="125"/>
      <c r="E525" s="125"/>
      <c r="F525" s="126"/>
      <c r="G525" s="125"/>
      <c r="H525" s="125"/>
      <c r="I525" s="125"/>
      <c r="J525" s="125"/>
      <c r="K525" s="125"/>
      <c r="L525" s="125"/>
      <c r="M525" s="125"/>
      <c r="N525" s="129"/>
      <c r="O525" s="125"/>
      <c r="P525" s="173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spans="1:26" ht="15.75" customHeight="1">
      <c r="A526" s="125"/>
      <c r="B526" s="125"/>
      <c r="C526" s="125"/>
      <c r="D526" s="125"/>
      <c r="E526" s="125"/>
      <c r="F526" s="126"/>
      <c r="G526" s="125"/>
      <c r="H526" s="125"/>
      <c r="I526" s="125"/>
      <c r="J526" s="125"/>
      <c r="K526" s="125"/>
      <c r="L526" s="125"/>
      <c r="M526" s="125"/>
      <c r="N526" s="129"/>
      <c r="O526" s="125"/>
      <c r="P526" s="173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spans="1:26" ht="15.75" customHeight="1">
      <c r="A527" s="125"/>
      <c r="B527" s="125"/>
      <c r="C527" s="125"/>
      <c r="D527" s="125"/>
      <c r="E527" s="125"/>
      <c r="F527" s="126"/>
      <c r="G527" s="125"/>
      <c r="H527" s="125"/>
      <c r="I527" s="125"/>
      <c r="J527" s="125"/>
      <c r="K527" s="125"/>
      <c r="L527" s="125"/>
      <c r="M527" s="125"/>
      <c r="N527" s="129"/>
      <c r="O527" s="125"/>
      <c r="P527" s="173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spans="1:26" ht="15.75" customHeight="1">
      <c r="A528" s="125"/>
      <c r="B528" s="125"/>
      <c r="C528" s="125"/>
      <c r="D528" s="125"/>
      <c r="E528" s="125"/>
      <c r="F528" s="126"/>
      <c r="G528" s="125"/>
      <c r="H528" s="125"/>
      <c r="I528" s="125"/>
      <c r="J528" s="125"/>
      <c r="K528" s="125"/>
      <c r="L528" s="125"/>
      <c r="M528" s="125"/>
      <c r="N528" s="129"/>
      <c r="O528" s="125"/>
      <c r="P528" s="173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spans="1:26" ht="15.75" customHeight="1">
      <c r="A529" s="125"/>
      <c r="B529" s="125"/>
      <c r="C529" s="125"/>
      <c r="D529" s="125"/>
      <c r="E529" s="125"/>
      <c r="F529" s="126"/>
      <c r="G529" s="125"/>
      <c r="H529" s="125"/>
      <c r="I529" s="125"/>
      <c r="J529" s="125"/>
      <c r="K529" s="125"/>
      <c r="L529" s="125"/>
      <c r="M529" s="125"/>
      <c r="N529" s="129"/>
      <c r="O529" s="125"/>
      <c r="P529" s="173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spans="1:26" ht="15.75" customHeight="1">
      <c r="A530" s="125"/>
      <c r="B530" s="125"/>
      <c r="C530" s="125"/>
      <c r="D530" s="125"/>
      <c r="E530" s="125"/>
      <c r="F530" s="126"/>
      <c r="G530" s="125"/>
      <c r="H530" s="125"/>
      <c r="I530" s="125"/>
      <c r="J530" s="125"/>
      <c r="K530" s="125"/>
      <c r="L530" s="125"/>
      <c r="M530" s="125"/>
      <c r="N530" s="129"/>
      <c r="O530" s="125"/>
      <c r="P530" s="173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spans="1:26" ht="15.75" customHeight="1">
      <c r="A531" s="125"/>
      <c r="B531" s="125"/>
      <c r="C531" s="125"/>
      <c r="D531" s="125"/>
      <c r="E531" s="125"/>
      <c r="F531" s="126"/>
      <c r="G531" s="125"/>
      <c r="H531" s="125"/>
      <c r="I531" s="125"/>
      <c r="J531" s="125"/>
      <c r="K531" s="125"/>
      <c r="L531" s="125"/>
      <c r="M531" s="125"/>
      <c r="N531" s="129"/>
      <c r="O531" s="125"/>
      <c r="P531" s="173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spans="1:26" ht="15.75" customHeight="1">
      <c r="A532" s="125"/>
      <c r="B532" s="125"/>
      <c r="C532" s="125"/>
      <c r="D532" s="125"/>
      <c r="E532" s="125"/>
      <c r="F532" s="126"/>
      <c r="G532" s="125"/>
      <c r="H532" s="125"/>
      <c r="I532" s="125"/>
      <c r="J532" s="125"/>
      <c r="K532" s="125"/>
      <c r="L532" s="125"/>
      <c r="M532" s="125"/>
      <c r="N532" s="129"/>
      <c r="O532" s="125"/>
      <c r="P532" s="173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spans="1:26" ht="15.75" customHeight="1">
      <c r="A533" s="125"/>
      <c r="B533" s="125"/>
      <c r="C533" s="125"/>
      <c r="D533" s="125"/>
      <c r="E533" s="125"/>
      <c r="F533" s="126"/>
      <c r="G533" s="125"/>
      <c r="H533" s="125"/>
      <c r="I533" s="125"/>
      <c r="J533" s="125"/>
      <c r="K533" s="125"/>
      <c r="L533" s="125"/>
      <c r="M533" s="125"/>
      <c r="N533" s="129"/>
      <c r="O533" s="125"/>
      <c r="P533" s="173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spans="1:26" ht="15.75" customHeight="1">
      <c r="A534" s="125"/>
      <c r="B534" s="125"/>
      <c r="C534" s="125"/>
      <c r="D534" s="125"/>
      <c r="E534" s="125"/>
      <c r="F534" s="126"/>
      <c r="G534" s="125"/>
      <c r="H534" s="125"/>
      <c r="I534" s="125"/>
      <c r="J534" s="125"/>
      <c r="K534" s="125"/>
      <c r="L534" s="125"/>
      <c r="M534" s="125"/>
      <c r="N534" s="129"/>
      <c r="O534" s="125"/>
      <c r="P534" s="173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spans="1:26" ht="15.75" customHeight="1">
      <c r="A535" s="125"/>
      <c r="B535" s="125"/>
      <c r="C535" s="125"/>
      <c r="D535" s="125"/>
      <c r="E535" s="125"/>
      <c r="F535" s="126"/>
      <c r="G535" s="125"/>
      <c r="H535" s="125"/>
      <c r="I535" s="125"/>
      <c r="J535" s="125"/>
      <c r="K535" s="125"/>
      <c r="L535" s="125"/>
      <c r="M535" s="125"/>
      <c r="N535" s="129"/>
      <c r="O535" s="125"/>
      <c r="P535" s="173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spans="1:26" ht="15.75" customHeight="1">
      <c r="A536" s="125"/>
      <c r="B536" s="125"/>
      <c r="C536" s="125"/>
      <c r="D536" s="125"/>
      <c r="E536" s="125"/>
      <c r="F536" s="126"/>
      <c r="G536" s="125"/>
      <c r="H536" s="125"/>
      <c r="I536" s="125"/>
      <c r="J536" s="125"/>
      <c r="K536" s="125"/>
      <c r="L536" s="125"/>
      <c r="M536" s="125"/>
      <c r="N536" s="129"/>
      <c r="O536" s="125"/>
      <c r="P536" s="173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spans="1:26" ht="15.75" customHeight="1">
      <c r="A537" s="125"/>
      <c r="B537" s="125"/>
      <c r="C537" s="125"/>
      <c r="D537" s="125"/>
      <c r="E537" s="125"/>
      <c r="F537" s="126"/>
      <c r="G537" s="125"/>
      <c r="H537" s="125"/>
      <c r="I537" s="125"/>
      <c r="J537" s="125"/>
      <c r="K537" s="125"/>
      <c r="L537" s="125"/>
      <c r="M537" s="125"/>
      <c r="N537" s="129"/>
      <c r="O537" s="125"/>
      <c r="P537" s="173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spans="1:26" ht="15.75" customHeight="1">
      <c r="A538" s="125"/>
      <c r="B538" s="125"/>
      <c r="C538" s="125"/>
      <c r="D538" s="125"/>
      <c r="E538" s="125"/>
      <c r="F538" s="126"/>
      <c r="G538" s="125"/>
      <c r="H538" s="125"/>
      <c r="I538" s="125"/>
      <c r="J538" s="125"/>
      <c r="K538" s="125"/>
      <c r="L538" s="125"/>
      <c r="M538" s="125"/>
      <c r="N538" s="129"/>
      <c r="O538" s="125"/>
      <c r="P538" s="173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spans="1:26" ht="15.75" customHeight="1">
      <c r="A539" s="125"/>
      <c r="B539" s="125"/>
      <c r="C539" s="125"/>
      <c r="D539" s="125"/>
      <c r="E539" s="125"/>
      <c r="F539" s="126"/>
      <c r="G539" s="125"/>
      <c r="H539" s="125"/>
      <c r="I539" s="125"/>
      <c r="J539" s="125"/>
      <c r="K539" s="125"/>
      <c r="L539" s="125"/>
      <c r="M539" s="125"/>
      <c r="N539" s="129"/>
      <c r="O539" s="125"/>
      <c r="P539" s="173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spans="1:26" ht="15.75" customHeight="1">
      <c r="A540" s="125"/>
      <c r="B540" s="125"/>
      <c r="C540" s="125"/>
      <c r="D540" s="125"/>
      <c r="E540" s="125"/>
      <c r="F540" s="126"/>
      <c r="G540" s="125"/>
      <c r="H540" s="125"/>
      <c r="I540" s="125"/>
      <c r="J540" s="125"/>
      <c r="K540" s="125"/>
      <c r="L540" s="125"/>
      <c r="M540" s="125"/>
      <c r="N540" s="129"/>
      <c r="O540" s="125"/>
      <c r="P540" s="173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spans="1:26" ht="15.75" customHeight="1">
      <c r="A541" s="125"/>
      <c r="B541" s="125"/>
      <c r="C541" s="125"/>
      <c r="D541" s="125"/>
      <c r="E541" s="125"/>
      <c r="F541" s="126"/>
      <c r="G541" s="125"/>
      <c r="H541" s="125"/>
      <c r="I541" s="125"/>
      <c r="J541" s="125"/>
      <c r="K541" s="125"/>
      <c r="L541" s="125"/>
      <c r="M541" s="125"/>
      <c r="N541" s="129"/>
      <c r="O541" s="125"/>
      <c r="P541" s="173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spans="1:26" ht="15.75" customHeight="1">
      <c r="A542" s="125"/>
      <c r="B542" s="125"/>
      <c r="C542" s="125"/>
      <c r="D542" s="125"/>
      <c r="E542" s="125"/>
      <c r="F542" s="126"/>
      <c r="G542" s="125"/>
      <c r="H542" s="125"/>
      <c r="I542" s="125"/>
      <c r="J542" s="125"/>
      <c r="K542" s="125"/>
      <c r="L542" s="125"/>
      <c r="M542" s="125"/>
      <c r="N542" s="129"/>
      <c r="O542" s="125"/>
      <c r="P542" s="173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spans="1:26" ht="15.75" customHeight="1">
      <c r="A543" s="125"/>
      <c r="B543" s="125"/>
      <c r="C543" s="125"/>
      <c r="D543" s="125"/>
      <c r="E543" s="125"/>
      <c r="F543" s="126"/>
      <c r="G543" s="125"/>
      <c r="H543" s="125"/>
      <c r="I543" s="125"/>
      <c r="J543" s="125"/>
      <c r="K543" s="125"/>
      <c r="L543" s="125"/>
      <c r="M543" s="125"/>
      <c r="N543" s="129"/>
      <c r="O543" s="125"/>
      <c r="P543" s="173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spans="1:26" ht="15.75" customHeight="1">
      <c r="A544" s="125"/>
      <c r="B544" s="125"/>
      <c r="C544" s="125"/>
      <c r="D544" s="125"/>
      <c r="E544" s="125"/>
      <c r="F544" s="126"/>
      <c r="G544" s="125"/>
      <c r="H544" s="125"/>
      <c r="I544" s="125"/>
      <c r="J544" s="125"/>
      <c r="K544" s="125"/>
      <c r="L544" s="125"/>
      <c r="M544" s="125"/>
      <c r="N544" s="129"/>
      <c r="O544" s="125"/>
      <c r="P544" s="173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spans="1:26" ht="15.75" customHeight="1">
      <c r="A545" s="125"/>
      <c r="B545" s="125"/>
      <c r="C545" s="125"/>
      <c r="D545" s="125"/>
      <c r="E545" s="125"/>
      <c r="F545" s="126"/>
      <c r="G545" s="125"/>
      <c r="H545" s="125"/>
      <c r="I545" s="125"/>
      <c r="J545" s="125"/>
      <c r="K545" s="125"/>
      <c r="L545" s="125"/>
      <c r="M545" s="125"/>
      <c r="N545" s="129"/>
      <c r="O545" s="125"/>
      <c r="P545" s="173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spans="1:26" ht="15.75" customHeight="1">
      <c r="A546" s="125"/>
      <c r="B546" s="125"/>
      <c r="C546" s="125"/>
      <c r="D546" s="125"/>
      <c r="E546" s="125"/>
      <c r="F546" s="126"/>
      <c r="G546" s="125"/>
      <c r="H546" s="125"/>
      <c r="I546" s="125"/>
      <c r="J546" s="125"/>
      <c r="K546" s="125"/>
      <c r="L546" s="125"/>
      <c r="M546" s="125"/>
      <c r="N546" s="129"/>
      <c r="O546" s="125"/>
      <c r="P546" s="173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spans="1:26" ht="15.75" customHeight="1">
      <c r="A547" s="125"/>
      <c r="B547" s="125"/>
      <c r="C547" s="125"/>
      <c r="D547" s="125"/>
      <c r="E547" s="125"/>
      <c r="F547" s="126"/>
      <c r="G547" s="125"/>
      <c r="H547" s="125"/>
      <c r="I547" s="125"/>
      <c r="J547" s="125"/>
      <c r="K547" s="125"/>
      <c r="L547" s="125"/>
      <c r="M547" s="125"/>
      <c r="N547" s="129"/>
      <c r="O547" s="125"/>
      <c r="P547" s="173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spans="1:26" ht="15.75" customHeight="1">
      <c r="A548" s="125"/>
      <c r="B548" s="125"/>
      <c r="C548" s="125"/>
      <c r="D548" s="125"/>
      <c r="E548" s="125"/>
      <c r="F548" s="126"/>
      <c r="G548" s="125"/>
      <c r="H548" s="125"/>
      <c r="I548" s="125"/>
      <c r="J548" s="125"/>
      <c r="K548" s="125"/>
      <c r="L548" s="125"/>
      <c r="M548" s="125"/>
      <c r="N548" s="129"/>
      <c r="O548" s="125"/>
      <c r="P548" s="173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spans="1:26" ht="15.75" customHeight="1">
      <c r="A549" s="125"/>
      <c r="B549" s="125"/>
      <c r="C549" s="125"/>
      <c r="D549" s="125"/>
      <c r="E549" s="125"/>
      <c r="F549" s="126"/>
      <c r="G549" s="125"/>
      <c r="H549" s="125"/>
      <c r="I549" s="125"/>
      <c r="J549" s="125"/>
      <c r="K549" s="125"/>
      <c r="L549" s="125"/>
      <c r="M549" s="125"/>
      <c r="N549" s="129"/>
      <c r="O549" s="125"/>
      <c r="P549" s="173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spans="1:26" ht="15.75" customHeight="1">
      <c r="A550" s="125"/>
      <c r="B550" s="125"/>
      <c r="C550" s="125"/>
      <c r="D550" s="125"/>
      <c r="E550" s="125"/>
      <c r="F550" s="126"/>
      <c r="G550" s="125"/>
      <c r="H550" s="125"/>
      <c r="I550" s="125"/>
      <c r="J550" s="125"/>
      <c r="K550" s="125"/>
      <c r="L550" s="125"/>
      <c r="M550" s="125"/>
      <c r="N550" s="129"/>
      <c r="O550" s="125"/>
      <c r="P550" s="173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spans="1:26" ht="15.75" customHeight="1">
      <c r="A551" s="125"/>
      <c r="B551" s="125"/>
      <c r="C551" s="125"/>
      <c r="D551" s="125"/>
      <c r="E551" s="125"/>
      <c r="F551" s="126"/>
      <c r="G551" s="125"/>
      <c r="H551" s="125"/>
      <c r="I551" s="125"/>
      <c r="J551" s="125"/>
      <c r="K551" s="125"/>
      <c r="L551" s="125"/>
      <c r="M551" s="125"/>
      <c r="N551" s="129"/>
      <c r="O551" s="125"/>
      <c r="P551" s="173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spans="1:26" ht="15.75" customHeight="1">
      <c r="A552" s="125"/>
      <c r="B552" s="125"/>
      <c r="C552" s="125"/>
      <c r="D552" s="125"/>
      <c r="E552" s="125"/>
      <c r="F552" s="126"/>
      <c r="G552" s="125"/>
      <c r="H552" s="125"/>
      <c r="I552" s="125"/>
      <c r="J552" s="125"/>
      <c r="K552" s="125"/>
      <c r="L552" s="125"/>
      <c r="M552" s="125"/>
      <c r="N552" s="129"/>
      <c r="O552" s="125"/>
      <c r="P552" s="173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26" ht="15.75" customHeight="1">
      <c r="A553" s="125"/>
      <c r="B553" s="125"/>
      <c r="C553" s="125"/>
      <c r="D553" s="125"/>
      <c r="E553" s="125"/>
      <c r="F553" s="126"/>
      <c r="G553" s="125"/>
      <c r="H553" s="125"/>
      <c r="I553" s="125"/>
      <c r="J553" s="125"/>
      <c r="K553" s="125"/>
      <c r="L553" s="125"/>
      <c r="M553" s="125"/>
      <c r="N553" s="129"/>
      <c r="O553" s="125"/>
      <c r="P553" s="173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spans="1:26" ht="15.75" customHeight="1">
      <c r="A554" s="125"/>
      <c r="B554" s="125"/>
      <c r="C554" s="125"/>
      <c r="D554" s="125"/>
      <c r="E554" s="125"/>
      <c r="F554" s="126"/>
      <c r="G554" s="125"/>
      <c r="H554" s="125"/>
      <c r="I554" s="125"/>
      <c r="J554" s="125"/>
      <c r="K554" s="125"/>
      <c r="L554" s="125"/>
      <c r="M554" s="125"/>
      <c r="N554" s="129"/>
      <c r="O554" s="125"/>
      <c r="P554" s="173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spans="1:26" ht="15.75" customHeight="1">
      <c r="A555" s="125"/>
      <c r="B555" s="125"/>
      <c r="C555" s="125"/>
      <c r="D555" s="125"/>
      <c r="E555" s="125"/>
      <c r="F555" s="126"/>
      <c r="G555" s="125"/>
      <c r="H555" s="125"/>
      <c r="I555" s="125"/>
      <c r="J555" s="125"/>
      <c r="K555" s="125"/>
      <c r="L555" s="125"/>
      <c r="M555" s="125"/>
      <c r="N555" s="129"/>
      <c r="O555" s="125"/>
      <c r="P555" s="173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spans="1:26" ht="15.75" customHeight="1">
      <c r="A556" s="125"/>
      <c r="B556" s="125"/>
      <c r="C556" s="125"/>
      <c r="D556" s="125"/>
      <c r="E556" s="125"/>
      <c r="F556" s="126"/>
      <c r="G556" s="125"/>
      <c r="H556" s="125"/>
      <c r="I556" s="125"/>
      <c r="J556" s="125"/>
      <c r="K556" s="125"/>
      <c r="L556" s="125"/>
      <c r="M556" s="125"/>
      <c r="N556" s="129"/>
      <c r="O556" s="125"/>
      <c r="P556" s="173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spans="1:26" ht="15.75" customHeight="1">
      <c r="A557" s="125"/>
      <c r="B557" s="125"/>
      <c r="C557" s="125"/>
      <c r="D557" s="125"/>
      <c r="E557" s="125"/>
      <c r="F557" s="126"/>
      <c r="G557" s="125"/>
      <c r="H557" s="125"/>
      <c r="I557" s="125"/>
      <c r="J557" s="125"/>
      <c r="K557" s="125"/>
      <c r="L557" s="125"/>
      <c r="M557" s="125"/>
      <c r="N557" s="129"/>
      <c r="O557" s="125"/>
      <c r="P557" s="173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spans="1:26" ht="15.75" customHeight="1">
      <c r="A558" s="125"/>
      <c r="B558" s="125"/>
      <c r="C558" s="125"/>
      <c r="D558" s="125"/>
      <c r="E558" s="125"/>
      <c r="F558" s="126"/>
      <c r="G558" s="125"/>
      <c r="H558" s="125"/>
      <c r="I558" s="125"/>
      <c r="J558" s="125"/>
      <c r="K558" s="125"/>
      <c r="L558" s="125"/>
      <c r="M558" s="125"/>
      <c r="N558" s="129"/>
      <c r="O558" s="125"/>
      <c r="P558" s="173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spans="1:26" ht="15.75" customHeight="1">
      <c r="A559" s="125"/>
      <c r="B559" s="125"/>
      <c r="C559" s="125"/>
      <c r="D559" s="125"/>
      <c r="E559" s="125"/>
      <c r="F559" s="126"/>
      <c r="G559" s="125"/>
      <c r="H559" s="125"/>
      <c r="I559" s="125"/>
      <c r="J559" s="125"/>
      <c r="K559" s="125"/>
      <c r="L559" s="125"/>
      <c r="M559" s="125"/>
      <c r="N559" s="129"/>
      <c r="O559" s="125"/>
      <c r="P559" s="173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spans="1:26" ht="15.75" customHeight="1">
      <c r="A560" s="125"/>
      <c r="B560" s="125"/>
      <c r="C560" s="125"/>
      <c r="D560" s="125"/>
      <c r="E560" s="125"/>
      <c r="F560" s="126"/>
      <c r="G560" s="125"/>
      <c r="H560" s="125"/>
      <c r="I560" s="125"/>
      <c r="J560" s="125"/>
      <c r="K560" s="125"/>
      <c r="L560" s="125"/>
      <c r="M560" s="125"/>
      <c r="N560" s="129"/>
      <c r="O560" s="125"/>
      <c r="P560" s="173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spans="1:26" ht="15.75" customHeight="1">
      <c r="A561" s="125"/>
      <c r="B561" s="125"/>
      <c r="C561" s="125"/>
      <c r="D561" s="125"/>
      <c r="E561" s="125"/>
      <c r="F561" s="126"/>
      <c r="G561" s="125"/>
      <c r="H561" s="125"/>
      <c r="I561" s="125"/>
      <c r="J561" s="125"/>
      <c r="K561" s="125"/>
      <c r="L561" s="125"/>
      <c r="M561" s="125"/>
      <c r="N561" s="129"/>
      <c r="O561" s="125"/>
      <c r="P561" s="173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spans="1:26" ht="15.75" customHeight="1">
      <c r="A562" s="125"/>
      <c r="B562" s="125"/>
      <c r="C562" s="125"/>
      <c r="D562" s="125"/>
      <c r="E562" s="125"/>
      <c r="F562" s="126"/>
      <c r="G562" s="125"/>
      <c r="H562" s="125"/>
      <c r="I562" s="125"/>
      <c r="J562" s="125"/>
      <c r="K562" s="125"/>
      <c r="L562" s="125"/>
      <c r="M562" s="125"/>
      <c r="N562" s="129"/>
      <c r="O562" s="125"/>
      <c r="P562" s="173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spans="1:26" ht="15.75" customHeight="1">
      <c r="A563" s="125"/>
      <c r="B563" s="125"/>
      <c r="C563" s="125"/>
      <c r="D563" s="125"/>
      <c r="E563" s="125"/>
      <c r="F563" s="126"/>
      <c r="G563" s="125"/>
      <c r="H563" s="125"/>
      <c r="I563" s="125"/>
      <c r="J563" s="125"/>
      <c r="K563" s="125"/>
      <c r="L563" s="125"/>
      <c r="M563" s="125"/>
      <c r="N563" s="129"/>
      <c r="O563" s="125"/>
      <c r="P563" s="173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spans="1:26" ht="15.75" customHeight="1">
      <c r="A564" s="125"/>
      <c r="B564" s="125"/>
      <c r="C564" s="125"/>
      <c r="D564" s="125"/>
      <c r="E564" s="125"/>
      <c r="F564" s="126"/>
      <c r="G564" s="125"/>
      <c r="H564" s="125"/>
      <c r="I564" s="125"/>
      <c r="J564" s="125"/>
      <c r="K564" s="125"/>
      <c r="L564" s="125"/>
      <c r="M564" s="125"/>
      <c r="N564" s="129"/>
      <c r="O564" s="125"/>
      <c r="P564" s="173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spans="1:26" ht="15.75" customHeight="1">
      <c r="A565" s="125"/>
      <c r="B565" s="125"/>
      <c r="C565" s="125"/>
      <c r="D565" s="125"/>
      <c r="E565" s="125"/>
      <c r="F565" s="126"/>
      <c r="G565" s="125"/>
      <c r="H565" s="125"/>
      <c r="I565" s="125"/>
      <c r="J565" s="125"/>
      <c r="K565" s="125"/>
      <c r="L565" s="125"/>
      <c r="M565" s="125"/>
      <c r="N565" s="129"/>
      <c r="O565" s="125"/>
      <c r="P565" s="173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spans="1:26" ht="15.75" customHeight="1">
      <c r="A566" s="125"/>
      <c r="B566" s="125"/>
      <c r="C566" s="125"/>
      <c r="D566" s="125"/>
      <c r="E566" s="125"/>
      <c r="F566" s="126"/>
      <c r="G566" s="125"/>
      <c r="H566" s="125"/>
      <c r="I566" s="125"/>
      <c r="J566" s="125"/>
      <c r="K566" s="125"/>
      <c r="L566" s="125"/>
      <c r="M566" s="125"/>
      <c r="N566" s="129"/>
      <c r="O566" s="125"/>
      <c r="P566" s="173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spans="1:26" ht="15.75" customHeight="1">
      <c r="A567" s="125"/>
      <c r="B567" s="125"/>
      <c r="C567" s="125"/>
      <c r="D567" s="125"/>
      <c r="E567" s="125"/>
      <c r="F567" s="126"/>
      <c r="G567" s="125"/>
      <c r="H567" s="125"/>
      <c r="I567" s="125"/>
      <c r="J567" s="125"/>
      <c r="K567" s="125"/>
      <c r="L567" s="125"/>
      <c r="M567" s="125"/>
      <c r="N567" s="129"/>
      <c r="O567" s="125"/>
      <c r="P567" s="173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spans="1:26" ht="15.75" customHeight="1">
      <c r="A568" s="125"/>
      <c r="B568" s="125"/>
      <c r="C568" s="125"/>
      <c r="D568" s="125"/>
      <c r="E568" s="125"/>
      <c r="F568" s="126"/>
      <c r="G568" s="125"/>
      <c r="H568" s="125"/>
      <c r="I568" s="125"/>
      <c r="J568" s="125"/>
      <c r="K568" s="125"/>
      <c r="L568" s="125"/>
      <c r="M568" s="125"/>
      <c r="N568" s="129"/>
      <c r="O568" s="125"/>
      <c r="P568" s="173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spans="1:26" ht="15.75" customHeight="1">
      <c r="A569" s="125"/>
      <c r="B569" s="125"/>
      <c r="C569" s="125"/>
      <c r="D569" s="125"/>
      <c r="E569" s="125"/>
      <c r="F569" s="126"/>
      <c r="G569" s="125"/>
      <c r="H569" s="125"/>
      <c r="I569" s="125"/>
      <c r="J569" s="125"/>
      <c r="K569" s="125"/>
      <c r="L569" s="125"/>
      <c r="M569" s="125"/>
      <c r="N569" s="129"/>
      <c r="O569" s="125"/>
      <c r="P569" s="173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spans="1:26" ht="15.75" customHeight="1">
      <c r="A570" s="125"/>
      <c r="B570" s="125"/>
      <c r="C570" s="125"/>
      <c r="D570" s="125"/>
      <c r="E570" s="125"/>
      <c r="F570" s="126"/>
      <c r="G570" s="125"/>
      <c r="H570" s="125"/>
      <c r="I570" s="125"/>
      <c r="J570" s="125"/>
      <c r="K570" s="125"/>
      <c r="L570" s="125"/>
      <c r="M570" s="125"/>
      <c r="N570" s="129"/>
      <c r="O570" s="125"/>
      <c r="P570" s="173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spans="1:26" ht="15.75" customHeight="1">
      <c r="A571" s="125"/>
      <c r="B571" s="125"/>
      <c r="C571" s="125"/>
      <c r="D571" s="125"/>
      <c r="E571" s="125"/>
      <c r="F571" s="126"/>
      <c r="G571" s="125"/>
      <c r="H571" s="125"/>
      <c r="I571" s="125"/>
      <c r="J571" s="125"/>
      <c r="K571" s="125"/>
      <c r="L571" s="125"/>
      <c r="M571" s="125"/>
      <c r="N571" s="129"/>
      <c r="O571" s="125"/>
      <c r="P571" s="173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spans="1:26" ht="15.75" customHeight="1">
      <c r="A572" s="125"/>
      <c r="B572" s="125"/>
      <c r="C572" s="125"/>
      <c r="D572" s="125"/>
      <c r="E572" s="125"/>
      <c r="F572" s="126"/>
      <c r="G572" s="125"/>
      <c r="H572" s="125"/>
      <c r="I572" s="125"/>
      <c r="J572" s="125"/>
      <c r="K572" s="125"/>
      <c r="L572" s="125"/>
      <c r="M572" s="125"/>
      <c r="N572" s="129"/>
      <c r="O572" s="125"/>
      <c r="P572" s="173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spans="1:26" ht="15.75" customHeight="1">
      <c r="A573" s="125"/>
      <c r="B573" s="125"/>
      <c r="C573" s="125"/>
      <c r="D573" s="125"/>
      <c r="E573" s="125"/>
      <c r="F573" s="126"/>
      <c r="G573" s="125"/>
      <c r="H573" s="125"/>
      <c r="I573" s="125"/>
      <c r="J573" s="125"/>
      <c r="K573" s="125"/>
      <c r="L573" s="125"/>
      <c r="M573" s="125"/>
      <c r="N573" s="129"/>
      <c r="O573" s="125"/>
      <c r="P573" s="173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spans="1:26" ht="15.75" customHeight="1">
      <c r="A574" s="125"/>
      <c r="B574" s="125"/>
      <c r="C574" s="125"/>
      <c r="D574" s="125"/>
      <c r="E574" s="125"/>
      <c r="F574" s="126"/>
      <c r="G574" s="125"/>
      <c r="H574" s="125"/>
      <c r="I574" s="125"/>
      <c r="J574" s="125"/>
      <c r="K574" s="125"/>
      <c r="L574" s="125"/>
      <c r="M574" s="125"/>
      <c r="N574" s="129"/>
      <c r="O574" s="125"/>
      <c r="P574" s="173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spans="1:26" ht="15.75" customHeight="1">
      <c r="A575" s="125"/>
      <c r="B575" s="125"/>
      <c r="C575" s="125"/>
      <c r="D575" s="125"/>
      <c r="E575" s="125"/>
      <c r="F575" s="126"/>
      <c r="G575" s="125"/>
      <c r="H575" s="125"/>
      <c r="I575" s="125"/>
      <c r="J575" s="125"/>
      <c r="K575" s="125"/>
      <c r="L575" s="125"/>
      <c r="M575" s="125"/>
      <c r="N575" s="129"/>
      <c r="O575" s="125"/>
      <c r="P575" s="173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spans="1:26" ht="15.75" customHeight="1">
      <c r="A576" s="125"/>
      <c r="B576" s="125"/>
      <c r="C576" s="125"/>
      <c r="D576" s="125"/>
      <c r="E576" s="125"/>
      <c r="F576" s="126"/>
      <c r="G576" s="125"/>
      <c r="H576" s="125"/>
      <c r="I576" s="125"/>
      <c r="J576" s="125"/>
      <c r="K576" s="125"/>
      <c r="L576" s="125"/>
      <c r="M576" s="125"/>
      <c r="N576" s="129"/>
      <c r="O576" s="125"/>
      <c r="P576" s="173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spans="1:26" ht="15.75" customHeight="1">
      <c r="A577" s="125"/>
      <c r="B577" s="125"/>
      <c r="C577" s="125"/>
      <c r="D577" s="125"/>
      <c r="E577" s="125"/>
      <c r="F577" s="126"/>
      <c r="G577" s="125"/>
      <c r="H577" s="125"/>
      <c r="I577" s="125"/>
      <c r="J577" s="125"/>
      <c r="K577" s="125"/>
      <c r="L577" s="125"/>
      <c r="M577" s="125"/>
      <c r="N577" s="129"/>
      <c r="O577" s="125"/>
      <c r="P577" s="173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spans="1:26" ht="15.75" customHeight="1">
      <c r="A578" s="125"/>
      <c r="B578" s="125"/>
      <c r="C578" s="125"/>
      <c r="D578" s="125"/>
      <c r="E578" s="125"/>
      <c r="F578" s="126"/>
      <c r="G578" s="125"/>
      <c r="H578" s="125"/>
      <c r="I578" s="125"/>
      <c r="J578" s="125"/>
      <c r="K578" s="125"/>
      <c r="L578" s="125"/>
      <c r="M578" s="125"/>
      <c r="N578" s="129"/>
      <c r="O578" s="125"/>
      <c r="P578" s="173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spans="1:26" ht="15.75" customHeight="1">
      <c r="A579" s="125"/>
      <c r="B579" s="125"/>
      <c r="C579" s="125"/>
      <c r="D579" s="125"/>
      <c r="E579" s="125"/>
      <c r="F579" s="126"/>
      <c r="G579" s="125"/>
      <c r="H579" s="125"/>
      <c r="I579" s="125"/>
      <c r="J579" s="125"/>
      <c r="K579" s="125"/>
      <c r="L579" s="125"/>
      <c r="M579" s="125"/>
      <c r="N579" s="129"/>
      <c r="O579" s="125"/>
      <c r="P579" s="173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spans="1:26" ht="15.75" customHeight="1">
      <c r="A580" s="125"/>
      <c r="B580" s="125"/>
      <c r="C580" s="125"/>
      <c r="D580" s="125"/>
      <c r="E580" s="125"/>
      <c r="F580" s="126"/>
      <c r="G580" s="125"/>
      <c r="H580" s="125"/>
      <c r="I580" s="125"/>
      <c r="J580" s="125"/>
      <c r="K580" s="125"/>
      <c r="L580" s="125"/>
      <c r="M580" s="125"/>
      <c r="N580" s="129"/>
      <c r="O580" s="125"/>
      <c r="P580" s="173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spans="1:26" ht="15.75" customHeight="1">
      <c r="A581" s="125"/>
      <c r="B581" s="125"/>
      <c r="C581" s="125"/>
      <c r="D581" s="125"/>
      <c r="E581" s="125"/>
      <c r="F581" s="126"/>
      <c r="G581" s="125"/>
      <c r="H581" s="125"/>
      <c r="I581" s="125"/>
      <c r="J581" s="125"/>
      <c r="K581" s="125"/>
      <c r="L581" s="125"/>
      <c r="M581" s="125"/>
      <c r="N581" s="129"/>
      <c r="O581" s="125"/>
      <c r="P581" s="173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spans="1:26" ht="15.75" customHeight="1">
      <c r="A582" s="125"/>
      <c r="B582" s="125"/>
      <c r="C582" s="125"/>
      <c r="D582" s="125"/>
      <c r="E582" s="125"/>
      <c r="F582" s="126"/>
      <c r="G582" s="125"/>
      <c r="H582" s="125"/>
      <c r="I582" s="125"/>
      <c r="J582" s="125"/>
      <c r="K582" s="125"/>
      <c r="L582" s="125"/>
      <c r="M582" s="125"/>
      <c r="N582" s="129"/>
      <c r="O582" s="125"/>
      <c r="P582" s="173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spans="1:26" ht="15.75" customHeight="1">
      <c r="A583" s="125"/>
      <c r="B583" s="125"/>
      <c r="C583" s="125"/>
      <c r="D583" s="125"/>
      <c r="E583" s="125"/>
      <c r="F583" s="126"/>
      <c r="G583" s="125"/>
      <c r="H583" s="125"/>
      <c r="I583" s="125"/>
      <c r="J583" s="125"/>
      <c r="K583" s="125"/>
      <c r="L583" s="125"/>
      <c r="M583" s="125"/>
      <c r="N583" s="129"/>
      <c r="O583" s="125"/>
      <c r="P583" s="173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spans="1:26" ht="15.75" customHeight="1">
      <c r="A584" s="125"/>
      <c r="B584" s="125"/>
      <c r="C584" s="125"/>
      <c r="D584" s="125"/>
      <c r="E584" s="125"/>
      <c r="F584" s="126"/>
      <c r="G584" s="125"/>
      <c r="H584" s="125"/>
      <c r="I584" s="125"/>
      <c r="J584" s="125"/>
      <c r="K584" s="125"/>
      <c r="L584" s="125"/>
      <c r="M584" s="125"/>
      <c r="N584" s="129"/>
      <c r="O584" s="125"/>
      <c r="P584" s="173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spans="1:26" ht="15.75" customHeight="1">
      <c r="A585" s="125"/>
      <c r="B585" s="125"/>
      <c r="C585" s="125"/>
      <c r="D585" s="125"/>
      <c r="E585" s="125"/>
      <c r="F585" s="126"/>
      <c r="G585" s="125"/>
      <c r="H585" s="125"/>
      <c r="I585" s="125"/>
      <c r="J585" s="125"/>
      <c r="K585" s="125"/>
      <c r="L585" s="125"/>
      <c r="M585" s="125"/>
      <c r="N585" s="129"/>
      <c r="O585" s="125"/>
      <c r="P585" s="173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spans="1:26" ht="15.75" customHeight="1">
      <c r="A586" s="125"/>
      <c r="B586" s="125"/>
      <c r="C586" s="125"/>
      <c r="D586" s="125"/>
      <c r="E586" s="125"/>
      <c r="F586" s="126"/>
      <c r="G586" s="125"/>
      <c r="H586" s="125"/>
      <c r="I586" s="125"/>
      <c r="J586" s="125"/>
      <c r="K586" s="125"/>
      <c r="L586" s="125"/>
      <c r="M586" s="125"/>
      <c r="N586" s="129"/>
      <c r="O586" s="125"/>
      <c r="P586" s="173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spans="1:26" ht="15.75" customHeight="1">
      <c r="A587" s="125"/>
      <c r="B587" s="125"/>
      <c r="C587" s="125"/>
      <c r="D587" s="125"/>
      <c r="E587" s="125"/>
      <c r="F587" s="126"/>
      <c r="G587" s="125"/>
      <c r="H587" s="125"/>
      <c r="I587" s="125"/>
      <c r="J587" s="125"/>
      <c r="K587" s="125"/>
      <c r="L587" s="125"/>
      <c r="M587" s="125"/>
      <c r="N587" s="129"/>
      <c r="O587" s="125"/>
      <c r="P587" s="173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spans="1:26" ht="15.75" customHeight="1">
      <c r="A588" s="125"/>
      <c r="B588" s="125"/>
      <c r="C588" s="125"/>
      <c r="D588" s="125"/>
      <c r="E588" s="125"/>
      <c r="F588" s="126"/>
      <c r="G588" s="125"/>
      <c r="H588" s="125"/>
      <c r="I588" s="125"/>
      <c r="J588" s="125"/>
      <c r="K588" s="125"/>
      <c r="L588" s="125"/>
      <c r="M588" s="125"/>
      <c r="N588" s="129"/>
      <c r="O588" s="125"/>
      <c r="P588" s="173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spans="1:26" ht="15.75" customHeight="1">
      <c r="A589" s="125"/>
      <c r="B589" s="125"/>
      <c r="C589" s="125"/>
      <c r="D589" s="125"/>
      <c r="E589" s="125"/>
      <c r="F589" s="126"/>
      <c r="G589" s="125"/>
      <c r="H589" s="125"/>
      <c r="I589" s="125"/>
      <c r="J589" s="125"/>
      <c r="K589" s="125"/>
      <c r="L589" s="125"/>
      <c r="M589" s="125"/>
      <c r="N589" s="129"/>
      <c r="O589" s="125"/>
      <c r="P589" s="173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spans="1:26" ht="15.75" customHeight="1">
      <c r="A590" s="125"/>
      <c r="B590" s="125"/>
      <c r="C590" s="125"/>
      <c r="D590" s="125"/>
      <c r="E590" s="125"/>
      <c r="F590" s="126"/>
      <c r="G590" s="125"/>
      <c r="H590" s="125"/>
      <c r="I590" s="125"/>
      <c r="J590" s="125"/>
      <c r="K590" s="125"/>
      <c r="L590" s="125"/>
      <c r="M590" s="125"/>
      <c r="N590" s="129"/>
      <c r="O590" s="125"/>
      <c r="P590" s="173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spans="1:26" ht="15.75" customHeight="1">
      <c r="A591" s="125"/>
      <c r="B591" s="125"/>
      <c r="C591" s="125"/>
      <c r="D591" s="125"/>
      <c r="E591" s="125"/>
      <c r="F591" s="126"/>
      <c r="G591" s="125"/>
      <c r="H591" s="125"/>
      <c r="I591" s="125"/>
      <c r="J591" s="125"/>
      <c r="K591" s="125"/>
      <c r="L591" s="125"/>
      <c r="M591" s="125"/>
      <c r="N591" s="129"/>
      <c r="O591" s="125"/>
      <c r="P591" s="173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spans="1:26" ht="15.75" customHeight="1">
      <c r="A592" s="125"/>
      <c r="B592" s="125"/>
      <c r="C592" s="125"/>
      <c r="D592" s="125"/>
      <c r="E592" s="125"/>
      <c r="F592" s="126"/>
      <c r="G592" s="125"/>
      <c r="H592" s="125"/>
      <c r="I592" s="125"/>
      <c r="J592" s="125"/>
      <c r="K592" s="125"/>
      <c r="L592" s="125"/>
      <c r="M592" s="125"/>
      <c r="N592" s="129"/>
      <c r="O592" s="125"/>
      <c r="P592" s="173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spans="1:26" ht="15.75" customHeight="1">
      <c r="A593" s="125"/>
      <c r="B593" s="125"/>
      <c r="C593" s="125"/>
      <c r="D593" s="125"/>
      <c r="E593" s="125"/>
      <c r="F593" s="126"/>
      <c r="G593" s="125"/>
      <c r="H593" s="125"/>
      <c r="I593" s="125"/>
      <c r="J593" s="125"/>
      <c r="K593" s="125"/>
      <c r="L593" s="125"/>
      <c r="M593" s="125"/>
      <c r="N593" s="129"/>
      <c r="O593" s="125"/>
      <c r="P593" s="173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spans="1:26" ht="15.75" customHeight="1">
      <c r="A594" s="125"/>
      <c r="B594" s="125"/>
      <c r="C594" s="125"/>
      <c r="D594" s="125"/>
      <c r="E594" s="125"/>
      <c r="F594" s="126"/>
      <c r="G594" s="125"/>
      <c r="H594" s="125"/>
      <c r="I594" s="125"/>
      <c r="J594" s="125"/>
      <c r="K594" s="125"/>
      <c r="L594" s="125"/>
      <c r="M594" s="125"/>
      <c r="N594" s="129"/>
      <c r="O594" s="125"/>
      <c r="P594" s="173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spans="1:26" ht="15.75" customHeight="1">
      <c r="A595" s="125"/>
      <c r="B595" s="125"/>
      <c r="C595" s="125"/>
      <c r="D595" s="125"/>
      <c r="E595" s="125"/>
      <c r="F595" s="126"/>
      <c r="G595" s="125"/>
      <c r="H595" s="125"/>
      <c r="I595" s="125"/>
      <c r="J595" s="125"/>
      <c r="K595" s="125"/>
      <c r="L595" s="125"/>
      <c r="M595" s="125"/>
      <c r="N595" s="129"/>
      <c r="O595" s="125"/>
      <c r="P595" s="173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spans="1:26" ht="15.75" customHeight="1">
      <c r="A596" s="125"/>
      <c r="B596" s="125"/>
      <c r="C596" s="125"/>
      <c r="D596" s="125"/>
      <c r="E596" s="125"/>
      <c r="F596" s="126"/>
      <c r="G596" s="125"/>
      <c r="H596" s="125"/>
      <c r="I596" s="125"/>
      <c r="J596" s="125"/>
      <c r="K596" s="125"/>
      <c r="L596" s="125"/>
      <c r="M596" s="125"/>
      <c r="N596" s="129"/>
      <c r="O596" s="125"/>
      <c r="P596" s="173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spans="1:26" ht="15.75" customHeight="1">
      <c r="A597" s="125"/>
      <c r="B597" s="125"/>
      <c r="C597" s="125"/>
      <c r="D597" s="125"/>
      <c r="E597" s="125"/>
      <c r="F597" s="126"/>
      <c r="G597" s="125"/>
      <c r="H597" s="125"/>
      <c r="I597" s="125"/>
      <c r="J597" s="125"/>
      <c r="K597" s="125"/>
      <c r="L597" s="125"/>
      <c r="M597" s="125"/>
      <c r="N597" s="129"/>
      <c r="O597" s="125"/>
      <c r="P597" s="173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spans="1:26" ht="15.75" customHeight="1">
      <c r="A598" s="125"/>
      <c r="B598" s="125"/>
      <c r="C598" s="125"/>
      <c r="D598" s="125"/>
      <c r="E598" s="125"/>
      <c r="F598" s="126"/>
      <c r="G598" s="125"/>
      <c r="H598" s="125"/>
      <c r="I598" s="125"/>
      <c r="J598" s="125"/>
      <c r="K598" s="125"/>
      <c r="L598" s="125"/>
      <c r="M598" s="125"/>
      <c r="N598" s="129"/>
      <c r="O598" s="125"/>
      <c r="P598" s="173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spans="1:26" ht="15.75" customHeight="1">
      <c r="A599" s="125"/>
      <c r="B599" s="125"/>
      <c r="C599" s="125"/>
      <c r="D599" s="125"/>
      <c r="E599" s="125"/>
      <c r="F599" s="126"/>
      <c r="G599" s="125"/>
      <c r="H599" s="125"/>
      <c r="I599" s="125"/>
      <c r="J599" s="125"/>
      <c r="K599" s="125"/>
      <c r="L599" s="125"/>
      <c r="M599" s="125"/>
      <c r="N599" s="129"/>
      <c r="O599" s="125"/>
      <c r="P599" s="173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spans="1:26" ht="15.75" customHeight="1">
      <c r="A600" s="125"/>
      <c r="B600" s="125"/>
      <c r="C600" s="125"/>
      <c r="D600" s="125"/>
      <c r="E600" s="125"/>
      <c r="F600" s="126"/>
      <c r="G600" s="125"/>
      <c r="H600" s="125"/>
      <c r="I600" s="125"/>
      <c r="J600" s="125"/>
      <c r="K600" s="125"/>
      <c r="L600" s="125"/>
      <c r="M600" s="125"/>
      <c r="N600" s="129"/>
      <c r="O600" s="125"/>
      <c r="P600" s="173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spans="1:26" ht="15.75" customHeight="1">
      <c r="A601" s="125"/>
      <c r="B601" s="125"/>
      <c r="C601" s="125"/>
      <c r="D601" s="125"/>
      <c r="E601" s="125"/>
      <c r="F601" s="126"/>
      <c r="G601" s="125"/>
      <c r="H601" s="125"/>
      <c r="I601" s="125"/>
      <c r="J601" s="125"/>
      <c r="K601" s="125"/>
      <c r="L601" s="125"/>
      <c r="M601" s="125"/>
      <c r="N601" s="129"/>
      <c r="O601" s="125"/>
      <c r="P601" s="173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spans="1:26" ht="15.75" customHeight="1">
      <c r="A602" s="125"/>
      <c r="B602" s="125"/>
      <c r="C602" s="125"/>
      <c r="D602" s="125"/>
      <c r="E602" s="125"/>
      <c r="F602" s="126"/>
      <c r="G602" s="125"/>
      <c r="H602" s="125"/>
      <c r="I602" s="125"/>
      <c r="J602" s="125"/>
      <c r="K602" s="125"/>
      <c r="L602" s="125"/>
      <c r="M602" s="125"/>
      <c r="N602" s="129"/>
      <c r="O602" s="125"/>
      <c r="P602" s="173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spans="1:26" ht="15.75" customHeight="1">
      <c r="A603" s="125"/>
      <c r="B603" s="125"/>
      <c r="C603" s="125"/>
      <c r="D603" s="125"/>
      <c r="E603" s="125"/>
      <c r="F603" s="126"/>
      <c r="G603" s="125"/>
      <c r="H603" s="125"/>
      <c r="I603" s="125"/>
      <c r="J603" s="125"/>
      <c r="K603" s="125"/>
      <c r="L603" s="125"/>
      <c r="M603" s="125"/>
      <c r="N603" s="129"/>
      <c r="O603" s="125"/>
      <c r="P603" s="173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spans="1:26" ht="15.75" customHeight="1">
      <c r="A604" s="125"/>
      <c r="B604" s="125"/>
      <c r="C604" s="125"/>
      <c r="D604" s="125"/>
      <c r="E604" s="125"/>
      <c r="F604" s="126"/>
      <c r="G604" s="125"/>
      <c r="H604" s="125"/>
      <c r="I604" s="125"/>
      <c r="J604" s="125"/>
      <c r="K604" s="125"/>
      <c r="L604" s="125"/>
      <c r="M604" s="125"/>
      <c r="N604" s="129"/>
      <c r="O604" s="125"/>
      <c r="P604" s="173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spans="1:26" ht="15.75" customHeight="1">
      <c r="A605" s="125"/>
      <c r="B605" s="125"/>
      <c r="C605" s="125"/>
      <c r="D605" s="125"/>
      <c r="E605" s="125"/>
      <c r="F605" s="126"/>
      <c r="G605" s="125"/>
      <c r="H605" s="125"/>
      <c r="I605" s="125"/>
      <c r="J605" s="125"/>
      <c r="K605" s="125"/>
      <c r="L605" s="125"/>
      <c r="M605" s="125"/>
      <c r="N605" s="129"/>
      <c r="O605" s="125"/>
      <c r="P605" s="173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spans="1:26" ht="15.75" customHeight="1">
      <c r="A606" s="125"/>
      <c r="B606" s="125"/>
      <c r="C606" s="125"/>
      <c r="D606" s="125"/>
      <c r="E606" s="125"/>
      <c r="F606" s="126"/>
      <c r="G606" s="125"/>
      <c r="H606" s="125"/>
      <c r="I606" s="125"/>
      <c r="J606" s="125"/>
      <c r="K606" s="125"/>
      <c r="L606" s="125"/>
      <c r="M606" s="125"/>
      <c r="N606" s="129"/>
      <c r="O606" s="125"/>
      <c r="P606" s="173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spans="1:26" ht="15.75" customHeight="1">
      <c r="A607" s="125"/>
      <c r="B607" s="125"/>
      <c r="C607" s="125"/>
      <c r="D607" s="125"/>
      <c r="E607" s="125"/>
      <c r="F607" s="126"/>
      <c r="G607" s="125"/>
      <c r="H607" s="125"/>
      <c r="I607" s="125"/>
      <c r="J607" s="125"/>
      <c r="K607" s="125"/>
      <c r="L607" s="125"/>
      <c r="M607" s="125"/>
      <c r="N607" s="129"/>
      <c r="O607" s="125"/>
      <c r="P607" s="173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spans="1:26" ht="15.75" customHeight="1">
      <c r="A608" s="125"/>
      <c r="B608" s="125"/>
      <c r="C608" s="125"/>
      <c r="D608" s="125"/>
      <c r="E608" s="125"/>
      <c r="F608" s="126"/>
      <c r="G608" s="125"/>
      <c r="H608" s="125"/>
      <c r="I608" s="125"/>
      <c r="J608" s="125"/>
      <c r="K608" s="125"/>
      <c r="L608" s="125"/>
      <c r="M608" s="125"/>
      <c r="N608" s="129"/>
      <c r="O608" s="125"/>
      <c r="P608" s="173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spans="1:26" ht="15.75" customHeight="1">
      <c r="A609" s="125"/>
      <c r="B609" s="125"/>
      <c r="C609" s="125"/>
      <c r="D609" s="125"/>
      <c r="E609" s="125"/>
      <c r="F609" s="126"/>
      <c r="G609" s="125"/>
      <c r="H609" s="125"/>
      <c r="I609" s="125"/>
      <c r="J609" s="125"/>
      <c r="K609" s="125"/>
      <c r="L609" s="125"/>
      <c r="M609" s="125"/>
      <c r="N609" s="129"/>
      <c r="O609" s="125"/>
      <c r="P609" s="173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spans="1:26" ht="15.75" customHeight="1">
      <c r="A610" s="125"/>
      <c r="B610" s="125"/>
      <c r="C610" s="125"/>
      <c r="D610" s="125"/>
      <c r="E610" s="125"/>
      <c r="F610" s="126"/>
      <c r="G610" s="125"/>
      <c r="H610" s="125"/>
      <c r="I610" s="125"/>
      <c r="J610" s="125"/>
      <c r="K610" s="125"/>
      <c r="L610" s="125"/>
      <c r="M610" s="125"/>
      <c r="N610" s="129"/>
      <c r="O610" s="125"/>
      <c r="P610" s="173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spans="1:26" ht="15.75" customHeight="1">
      <c r="A611" s="125"/>
      <c r="B611" s="125"/>
      <c r="C611" s="125"/>
      <c r="D611" s="125"/>
      <c r="E611" s="125"/>
      <c r="F611" s="126"/>
      <c r="G611" s="125"/>
      <c r="H611" s="125"/>
      <c r="I611" s="125"/>
      <c r="J611" s="125"/>
      <c r="K611" s="125"/>
      <c r="L611" s="125"/>
      <c r="M611" s="125"/>
      <c r="N611" s="129"/>
      <c r="O611" s="125"/>
      <c r="P611" s="173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spans="1:26" ht="15.75" customHeight="1">
      <c r="A612" s="125"/>
      <c r="B612" s="125"/>
      <c r="C612" s="125"/>
      <c r="D612" s="125"/>
      <c r="E612" s="125"/>
      <c r="F612" s="126"/>
      <c r="G612" s="125"/>
      <c r="H612" s="125"/>
      <c r="I612" s="125"/>
      <c r="J612" s="125"/>
      <c r="K612" s="125"/>
      <c r="L612" s="125"/>
      <c r="M612" s="125"/>
      <c r="N612" s="129"/>
      <c r="O612" s="125"/>
      <c r="P612" s="173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spans="1:26" ht="15.75" customHeight="1">
      <c r="A613" s="125"/>
      <c r="B613" s="125"/>
      <c r="C613" s="125"/>
      <c r="D613" s="125"/>
      <c r="E613" s="125"/>
      <c r="F613" s="126"/>
      <c r="G613" s="125"/>
      <c r="H613" s="125"/>
      <c r="I613" s="125"/>
      <c r="J613" s="125"/>
      <c r="K613" s="125"/>
      <c r="L613" s="125"/>
      <c r="M613" s="125"/>
      <c r="N613" s="129"/>
      <c r="O613" s="125"/>
      <c r="P613" s="173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spans="1:26" ht="15.75" customHeight="1">
      <c r="A614" s="125"/>
      <c r="B614" s="125"/>
      <c r="C614" s="125"/>
      <c r="D614" s="125"/>
      <c r="E614" s="125"/>
      <c r="F614" s="126"/>
      <c r="G614" s="125"/>
      <c r="H614" s="125"/>
      <c r="I614" s="125"/>
      <c r="J614" s="125"/>
      <c r="K614" s="125"/>
      <c r="L614" s="125"/>
      <c r="M614" s="125"/>
      <c r="N614" s="129"/>
      <c r="O614" s="125"/>
      <c r="P614" s="173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spans="1:26" ht="15.75" customHeight="1">
      <c r="A615" s="125"/>
      <c r="B615" s="125"/>
      <c r="C615" s="125"/>
      <c r="D615" s="125"/>
      <c r="E615" s="125"/>
      <c r="F615" s="126"/>
      <c r="G615" s="125"/>
      <c r="H615" s="125"/>
      <c r="I615" s="125"/>
      <c r="J615" s="125"/>
      <c r="K615" s="125"/>
      <c r="L615" s="125"/>
      <c r="M615" s="125"/>
      <c r="N615" s="129"/>
      <c r="O615" s="125"/>
      <c r="P615" s="173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spans="1:26" ht="15.75" customHeight="1">
      <c r="A616" s="125"/>
      <c r="B616" s="125"/>
      <c r="C616" s="125"/>
      <c r="D616" s="125"/>
      <c r="E616" s="125"/>
      <c r="F616" s="126"/>
      <c r="G616" s="125"/>
      <c r="H616" s="125"/>
      <c r="I616" s="125"/>
      <c r="J616" s="125"/>
      <c r="K616" s="125"/>
      <c r="L616" s="125"/>
      <c r="M616" s="125"/>
      <c r="N616" s="129"/>
      <c r="O616" s="125"/>
      <c r="P616" s="173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spans="1:26" ht="15.75" customHeight="1">
      <c r="A617" s="125"/>
      <c r="B617" s="125"/>
      <c r="C617" s="125"/>
      <c r="D617" s="125"/>
      <c r="E617" s="125"/>
      <c r="F617" s="126"/>
      <c r="G617" s="125"/>
      <c r="H617" s="125"/>
      <c r="I617" s="125"/>
      <c r="J617" s="125"/>
      <c r="K617" s="125"/>
      <c r="L617" s="125"/>
      <c r="M617" s="125"/>
      <c r="N617" s="129"/>
      <c r="O617" s="125"/>
      <c r="P617" s="173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spans="1:26" ht="15.75" customHeight="1">
      <c r="A618" s="125"/>
      <c r="B618" s="125"/>
      <c r="C618" s="125"/>
      <c r="D618" s="125"/>
      <c r="E618" s="125"/>
      <c r="F618" s="126"/>
      <c r="G618" s="125"/>
      <c r="H618" s="125"/>
      <c r="I618" s="125"/>
      <c r="J618" s="125"/>
      <c r="K618" s="125"/>
      <c r="L618" s="125"/>
      <c r="M618" s="125"/>
      <c r="N618" s="129"/>
      <c r="O618" s="125"/>
      <c r="P618" s="173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spans="1:26" ht="15.75" customHeight="1">
      <c r="A619" s="125"/>
      <c r="B619" s="125"/>
      <c r="C619" s="125"/>
      <c r="D619" s="125"/>
      <c r="E619" s="125"/>
      <c r="F619" s="126"/>
      <c r="G619" s="125"/>
      <c r="H619" s="125"/>
      <c r="I619" s="125"/>
      <c r="J619" s="125"/>
      <c r="K619" s="125"/>
      <c r="L619" s="125"/>
      <c r="M619" s="125"/>
      <c r="N619" s="129"/>
      <c r="O619" s="125"/>
      <c r="P619" s="173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spans="1:26" ht="15.75" customHeight="1">
      <c r="A620" s="125"/>
      <c r="B620" s="125"/>
      <c r="C620" s="125"/>
      <c r="D620" s="125"/>
      <c r="E620" s="125"/>
      <c r="F620" s="126"/>
      <c r="G620" s="125"/>
      <c r="H620" s="125"/>
      <c r="I620" s="125"/>
      <c r="J620" s="125"/>
      <c r="K620" s="125"/>
      <c r="L620" s="125"/>
      <c r="M620" s="125"/>
      <c r="N620" s="129"/>
      <c r="O620" s="125"/>
      <c r="P620" s="173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spans="1:26" ht="15.75" customHeight="1">
      <c r="A621" s="125"/>
      <c r="B621" s="125"/>
      <c r="C621" s="125"/>
      <c r="D621" s="125"/>
      <c r="E621" s="125"/>
      <c r="F621" s="126"/>
      <c r="G621" s="125"/>
      <c r="H621" s="125"/>
      <c r="I621" s="125"/>
      <c r="J621" s="125"/>
      <c r="K621" s="125"/>
      <c r="L621" s="125"/>
      <c r="M621" s="125"/>
      <c r="N621" s="129"/>
      <c r="O621" s="125"/>
      <c r="P621" s="173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spans="1:26" ht="15.75" customHeight="1">
      <c r="A622" s="125"/>
      <c r="B622" s="125"/>
      <c r="C622" s="125"/>
      <c r="D622" s="125"/>
      <c r="E622" s="125"/>
      <c r="F622" s="126"/>
      <c r="G622" s="125"/>
      <c r="H622" s="125"/>
      <c r="I622" s="125"/>
      <c r="J622" s="125"/>
      <c r="K622" s="125"/>
      <c r="L622" s="125"/>
      <c r="M622" s="125"/>
      <c r="N622" s="129"/>
      <c r="O622" s="125"/>
      <c r="P622" s="173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spans="1:26" ht="15.75" customHeight="1">
      <c r="A623" s="125"/>
      <c r="B623" s="125"/>
      <c r="C623" s="125"/>
      <c r="D623" s="125"/>
      <c r="E623" s="125"/>
      <c r="F623" s="126"/>
      <c r="G623" s="125"/>
      <c r="H623" s="125"/>
      <c r="I623" s="125"/>
      <c r="J623" s="125"/>
      <c r="K623" s="125"/>
      <c r="L623" s="125"/>
      <c r="M623" s="125"/>
      <c r="N623" s="129"/>
      <c r="O623" s="125"/>
      <c r="P623" s="173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spans="1:26" ht="15.75" customHeight="1">
      <c r="A624" s="125"/>
      <c r="B624" s="125"/>
      <c r="C624" s="125"/>
      <c r="D624" s="125"/>
      <c r="E624" s="125"/>
      <c r="F624" s="126"/>
      <c r="G624" s="125"/>
      <c r="H624" s="125"/>
      <c r="I624" s="125"/>
      <c r="J624" s="125"/>
      <c r="K624" s="125"/>
      <c r="L624" s="125"/>
      <c r="M624" s="125"/>
      <c r="N624" s="129"/>
      <c r="O624" s="125"/>
      <c r="P624" s="173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spans="1:26" ht="15.75" customHeight="1">
      <c r="A625" s="125"/>
      <c r="B625" s="125"/>
      <c r="C625" s="125"/>
      <c r="D625" s="125"/>
      <c r="E625" s="125"/>
      <c r="F625" s="126"/>
      <c r="G625" s="125"/>
      <c r="H625" s="125"/>
      <c r="I625" s="125"/>
      <c r="J625" s="125"/>
      <c r="K625" s="125"/>
      <c r="L625" s="125"/>
      <c r="M625" s="125"/>
      <c r="N625" s="129"/>
      <c r="O625" s="125"/>
      <c r="P625" s="173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spans="1:26" ht="15.75" customHeight="1">
      <c r="A626" s="125"/>
      <c r="B626" s="125"/>
      <c r="C626" s="125"/>
      <c r="D626" s="125"/>
      <c r="E626" s="125"/>
      <c r="F626" s="126"/>
      <c r="G626" s="125"/>
      <c r="H626" s="125"/>
      <c r="I626" s="125"/>
      <c r="J626" s="125"/>
      <c r="K626" s="125"/>
      <c r="L626" s="125"/>
      <c r="M626" s="125"/>
      <c r="N626" s="129"/>
      <c r="O626" s="125"/>
      <c r="P626" s="173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spans="1:26" ht="15.75" customHeight="1">
      <c r="A627" s="125"/>
      <c r="B627" s="125"/>
      <c r="C627" s="125"/>
      <c r="D627" s="125"/>
      <c r="E627" s="125"/>
      <c r="F627" s="126"/>
      <c r="G627" s="125"/>
      <c r="H627" s="125"/>
      <c r="I627" s="125"/>
      <c r="J627" s="125"/>
      <c r="K627" s="125"/>
      <c r="L627" s="125"/>
      <c r="M627" s="125"/>
      <c r="N627" s="129"/>
      <c r="O627" s="125"/>
      <c r="P627" s="173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spans="1:26" ht="15.75" customHeight="1">
      <c r="A628" s="125"/>
      <c r="B628" s="125"/>
      <c r="C628" s="125"/>
      <c r="D628" s="125"/>
      <c r="E628" s="125"/>
      <c r="F628" s="126"/>
      <c r="G628" s="125"/>
      <c r="H628" s="125"/>
      <c r="I628" s="125"/>
      <c r="J628" s="125"/>
      <c r="K628" s="125"/>
      <c r="L628" s="125"/>
      <c r="M628" s="125"/>
      <c r="N628" s="129"/>
      <c r="O628" s="125"/>
      <c r="P628" s="173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spans="1:26" ht="15.75" customHeight="1">
      <c r="A629" s="125"/>
      <c r="B629" s="125"/>
      <c r="C629" s="125"/>
      <c r="D629" s="125"/>
      <c r="E629" s="125"/>
      <c r="F629" s="126"/>
      <c r="G629" s="125"/>
      <c r="H629" s="125"/>
      <c r="I629" s="125"/>
      <c r="J629" s="125"/>
      <c r="K629" s="125"/>
      <c r="L629" s="125"/>
      <c r="M629" s="125"/>
      <c r="N629" s="129"/>
      <c r="O629" s="125"/>
      <c r="P629" s="173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spans="1:26" ht="15.75" customHeight="1">
      <c r="A630" s="125"/>
      <c r="B630" s="125"/>
      <c r="C630" s="125"/>
      <c r="D630" s="125"/>
      <c r="E630" s="125"/>
      <c r="F630" s="126"/>
      <c r="G630" s="125"/>
      <c r="H630" s="125"/>
      <c r="I630" s="125"/>
      <c r="J630" s="125"/>
      <c r="K630" s="125"/>
      <c r="L630" s="125"/>
      <c r="M630" s="125"/>
      <c r="N630" s="129"/>
      <c r="O630" s="125"/>
      <c r="P630" s="173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spans="1:26" ht="15.75" customHeight="1">
      <c r="A631" s="125"/>
      <c r="B631" s="125"/>
      <c r="C631" s="125"/>
      <c r="D631" s="125"/>
      <c r="E631" s="125"/>
      <c r="F631" s="126"/>
      <c r="G631" s="125"/>
      <c r="H631" s="125"/>
      <c r="I631" s="125"/>
      <c r="J631" s="125"/>
      <c r="K631" s="125"/>
      <c r="L631" s="125"/>
      <c r="M631" s="125"/>
      <c r="N631" s="129"/>
      <c r="O631" s="125"/>
      <c r="P631" s="173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spans="1:26" ht="15.75" customHeight="1">
      <c r="A632" s="125"/>
      <c r="B632" s="125"/>
      <c r="C632" s="125"/>
      <c r="D632" s="125"/>
      <c r="E632" s="125"/>
      <c r="F632" s="126"/>
      <c r="G632" s="125"/>
      <c r="H632" s="125"/>
      <c r="I632" s="125"/>
      <c r="J632" s="125"/>
      <c r="K632" s="125"/>
      <c r="L632" s="125"/>
      <c r="M632" s="125"/>
      <c r="N632" s="129"/>
      <c r="O632" s="125"/>
      <c r="P632" s="173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spans="1:26" ht="15.75" customHeight="1">
      <c r="A633" s="125"/>
      <c r="B633" s="125"/>
      <c r="C633" s="125"/>
      <c r="D633" s="125"/>
      <c r="E633" s="125"/>
      <c r="F633" s="126"/>
      <c r="G633" s="125"/>
      <c r="H633" s="125"/>
      <c r="I633" s="125"/>
      <c r="J633" s="125"/>
      <c r="K633" s="125"/>
      <c r="L633" s="125"/>
      <c r="M633" s="125"/>
      <c r="N633" s="129"/>
      <c r="O633" s="125"/>
      <c r="P633" s="173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spans="1:26" ht="15.75" customHeight="1">
      <c r="A634" s="125"/>
      <c r="B634" s="125"/>
      <c r="C634" s="125"/>
      <c r="D634" s="125"/>
      <c r="E634" s="125"/>
      <c r="F634" s="126"/>
      <c r="G634" s="125"/>
      <c r="H634" s="125"/>
      <c r="I634" s="125"/>
      <c r="J634" s="125"/>
      <c r="K634" s="125"/>
      <c r="L634" s="125"/>
      <c r="M634" s="125"/>
      <c r="N634" s="129"/>
      <c r="O634" s="125"/>
      <c r="P634" s="173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spans="1:26" ht="15.75" customHeight="1">
      <c r="A635" s="125"/>
      <c r="B635" s="125"/>
      <c r="C635" s="125"/>
      <c r="D635" s="125"/>
      <c r="E635" s="125"/>
      <c r="F635" s="126"/>
      <c r="G635" s="125"/>
      <c r="H635" s="125"/>
      <c r="I635" s="125"/>
      <c r="J635" s="125"/>
      <c r="K635" s="125"/>
      <c r="L635" s="125"/>
      <c r="M635" s="125"/>
      <c r="N635" s="129"/>
      <c r="O635" s="125"/>
      <c r="P635" s="173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spans="1:26" ht="15.75" customHeight="1">
      <c r="A636" s="125"/>
      <c r="B636" s="125"/>
      <c r="C636" s="125"/>
      <c r="D636" s="125"/>
      <c r="E636" s="125"/>
      <c r="F636" s="126"/>
      <c r="G636" s="125"/>
      <c r="H636" s="125"/>
      <c r="I636" s="125"/>
      <c r="J636" s="125"/>
      <c r="K636" s="125"/>
      <c r="L636" s="125"/>
      <c r="M636" s="125"/>
      <c r="N636" s="129"/>
      <c r="O636" s="125"/>
      <c r="P636" s="173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spans="1:26" ht="15.75" customHeight="1">
      <c r="A637" s="125"/>
      <c r="B637" s="125"/>
      <c r="C637" s="125"/>
      <c r="D637" s="125"/>
      <c r="E637" s="125"/>
      <c r="F637" s="126"/>
      <c r="G637" s="125"/>
      <c r="H637" s="125"/>
      <c r="I637" s="125"/>
      <c r="J637" s="125"/>
      <c r="K637" s="125"/>
      <c r="L637" s="125"/>
      <c r="M637" s="125"/>
      <c r="N637" s="129"/>
      <c r="O637" s="125"/>
      <c r="P637" s="173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spans="1:26" ht="15.75" customHeight="1">
      <c r="A638" s="125"/>
      <c r="B638" s="125"/>
      <c r="C638" s="125"/>
      <c r="D638" s="125"/>
      <c r="E638" s="125"/>
      <c r="F638" s="126"/>
      <c r="G638" s="125"/>
      <c r="H638" s="125"/>
      <c r="I638" s="125"/>
      <c r="J638" s="125"/>
      <c r="K638" s="125"/>
      <c r="L638" s="125"/>
      <c r="M638" s="125"/>
      <c r="N638" s="129"/>
      <c r="O638" s="125"/>
      <c r="P638" s="173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spans="1:26" ht="15.75" customHeight="1">
      <c r="A639" s="125"/>
      <c r="B639" s="125"/>
      <c r="C639" s="125"/>
      <c r="D639" s="125"/>
      <c r="E639" s="125"/>
      <c r="F639" s="126"/>
      <c r="G639" s="125"/>
      <c r="H639" s="125"/>
      <c r="I639" s="125"/>
      <c r="J639" s="125"/>
      <c r="K639" s="125"/>
      <c r="L639" s="125"/>
      <c r="M639" s="125"/>
      <c r="N639" s="129"/>
      <c r="O639" s="125"/>
      <c r="P639" s="173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spans="1:26" ht="15.75" customHeight="1">
      <c r="A640" s="125"/>
      <c r="B640" s="125"/>
      <c r="C640" s="125"/>
      <c r="D640" s="125"/>
      <c r="E640" s="125"/>
      <c r="F640" s="126"/>
      <c r="G640" s="125"/>
      <c r="H640" s="125"/>
      <c r="I640" s="125"/>
      <c r="J640" s="125"/>
      <c r="K640" s="125"/>
      <c r="L640" s="125"/>
      <c r="M640" s="125"/>
      <c r="N640" s="129"/>
      <c r="O640" s="125"/>
      <c r="P640" s="173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spans="1:26" ht="15.75" customHeight="1">
      <c r="A641" s="125"/>
      <c r="B641" s="125"/>
      <c r="C641" s="125"/>
      <c r="D641" s="125"/>
      <c r="E641" s="125"/>
      <c r="F641" s="126"/>
      <c r="G641" s="125"/>
      <c r="H641" s="125"/>
      <c r="I641" s="125"/>
      <c r="J641" s="125"/>
      <c r="K641" s="125"/>
      <c r="L641" s="125"/>
      <c r="M641" s="125"/>
      <c r="N641" s="129"/>
      <c r="O641" s="125"/>
      <c r="P641" s="173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spans="1:26" ht="15.75" customHeight="1">
      <c r="A642" s="125"/>
      <c r="B642" s="125"/>
      <c r="C642" s="125"/>
      <c r="D642" s="125"/>
      <c r="E642" s="125"/>
      <c r="F642" s="126"/>
      <c r="G642" s="125"/>
      <c r="H642" s="125"/>
      <c r="I642" s="125"/>
      <c r="J642" s="125"/>
      <c r="K642" s="125"/>
      <c r="L642" s="125"/>
      <c r="M642" s="125"/>
      <c r="N642" s="129"/>
      <c r="O642" s="125"/>
      <c r="P642" s="173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spans="1:26" ht="15.75" customHeight="1">
      <c r="A643" s="125"/>
      <c r="B643" s="125"/>
      <c r="C643" s="125"/>
      <c r="D643" s="125"/>
      <c r="E643" s="125"/>
      <c r="F643" s="126"/>
      <c r="G643" s="125"/>
      <c r="H643" s="125"/>
      <c r="I643" s="125"/>
      <c r="J643" s="125"/>
      <c r="K643" s="125"/>
      <c r="L643" s="125"/>
      <c r="M643" s="125"/>
      <c r="N643" s="129"/>
      <c r="O643" s="125"/>
      <c r="P643" s="173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spans="1:26" ht="15.75" customHeight="1">
      <c r="A644" s="125"/>
      <c r="B644" s="125"/>
      <c r="C644" s="125"/>
      <c r="D644" s="125"/>
      <c r="E644" s="125"/>
      <c r="F644" s="126"/>
      <c r="G644" s="125"/>
      <c r="H644" s="125"/>
      <c r="I644" s="125"/>
      <c r="J644" s="125"/>
      <c r="K644" s="125"/>
      <c r="L644" s="125"/>
      <c r="M644" s="125"/>
      <c r="N644" s="129"/>
      <c r="O644" s="125"/>
      <c r="P644" s="173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spans="1:26" ht="15.75" customHeight="1">
      <c r="A645" s="125"/>
      <c r="B645" s="125"/>
      <c r="C645" s="125"/>
      <c r="D645" s="125"/>
      <c r="E645" s="125"/>
      <c r="F645" s="126"/>
      <c r="G645" s="125"/>
      <c r="H645" s="125"/>
      <c r="I645" s="125"/>
      <c r="J645" s="125"/>
      <c r="K645" s="125"/>
      <c r="L645" s="125"/>
      <c r="M645" s="125"/>
      <c r="N645" s="129"/>
      <c r="O645" s="125"/>
      <c r="P645" s="173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6" ht="15.75" customHeight="1">
      <c r="A646" s="125"/>
      <c r="B646" s="125"/>
      <c r="C646" s="125"/>
      <c r="D646" s="125"/>
      <c r="E646" s="125"/>
      <c r="F646" s="126"/>
      <c r="G646" s="125"/>
      <c r="H646" s="125"/>
      <c r="I646" s="125"/>
      <c r="J646" s="125"/>
      <c r="K646" s="125"/>
      <c r="L646" s="125"/>
      <c r="M646" s="125"/>
      <c r="N646" s="129"/>
      <c r="O646" s="125"/>
      <c r="P646" s="173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spans="1:26" ht="15.75" customHeight="1">
      <c r="A647" s="125"/>
      <c r="B647" s="125"/>
      <c r="C647" s="125"/>
      <c r="D647" s="125"/>
      <c r="E647" s="125"/>
      <c r="F647" s="126"/>
      <c r="G647" s="125"/>
      <c r="H647" s="125"/>
      <c r="I647" s="125"/>
      <c r="J647" s="125"/>
      <c r="K647" s="125"/>
      <c r="L647" s="125"/>
      <c r="M647" s="125"/>
      <c r="N647" s="129"/>
      <c r="O647" s="125"/>
      <c r="P647" s="173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spans="1:26" ht="15.75" customHeight="1">
      <c r="A648" s="125"/>
      <c r="B648" s="125"/>
      <c r="C648" s="125"/>
      <c r="D648" s="125"/>
      <c r="E648" s="125"/>
      <c r="F648" s="126"/>
      <c r="G648" s="125"/>
      <c r="H648" s="125"/>
      <c r="I648" s="125"/>
      <c r="J648" s="125"/>
      <c r="K648" s="125"/>
      <c r="L648" s="125"/>
      <c r="M648" s="125"/>
      <c r="N648" s="129"/>
      <c r="O648" s="125"/>
      <c r="P648" s="173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spans="1:26" ht="15.75" customHeight="1">
      <c r="A649" s="125"/>
      <c r="B649" s="125"/>
      <c r="C649" s="125"/>
      <c r="D649" s="125"/>
      <c r="E649" s="125"/>
      <c r="F649" s="126"/>
      <c r="G649" s="125"/>
      <c r="H649" s="125"/>
      <c r="I649" s="125"/>
      <c r="J649" s="125"/>
      <c r="K649" s="125"/>
      <c r="L649" s="125"/>
      <c r="M649" s="125"/>
      <c r="N649" s="129"/>
      <c r="O649" s="125"/>
      <c r="P649" s="173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spans="1:26" ht="15.75" customHeight="1">
      <c r="A650" s="125"/>
      <c r="B650" s="125"/>
      <c r="C650" s="125"/>
      <c r="D650" s="125"/>
      <c r="E650" s="125"/>
      <c r="F650" s="126"/>
      <c r="G650" s="125"/>
      <c r="H650" s="125"/>
      <c r="I650" s="125"/>
      <c r="J650" s="125"/>
      <c r="K650" s="125"/>
      <c r="L650" s="125"/>
      <c r="M650" s="125"/>
      <c r="N650" s="129"/>
      <c r="O650" s="125"/>
      <c r="P650" s="173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spans="1:26" ht="15.75" customHeight="1">
      <c r="A651" s="125"/>
      <c r="B651" s="125"/>
      <c r="C651" s="125"/>
      <c r="D651" s="125"/>
      <c r="E651" s="125"/>
      <c r="F651" s="126"/>
      <c r="G651" s="125"/>
      <c r="H651" s="125"/>
      <c r="I651" s="125"/>
      <c r="J651" s="125"/>
      <c r="K651" s="125"/>
      <c r="L651" s="125"/>
      <c r="M651" s="125"/>
      <c r="N651" s="129"/>
      <c r="O651" s="125"/>
      <c r="P651" s="173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spans="1:26" ht="15.75" customHeight="1">
      <c r="A652" s="125"/>
      <c r="B652" s="125"/>
      <c r="C652" s="125"/>
      <c r="D652" s="125"/>
      <c r="E652" s="125"/>
      <c r="F652" s="126"/>
      <c r="G652" s="125"/>
      <c r="H652" s="125"/>
      <c r="I652" s="125"/>
      <c r="J652" s="125"/>
      <c r="K652" s="125"/>
      <c r="L652" s="125"/>
      <c r="M652" s="125"/>
      <c r="N652" s="129"/>
      <c r="O652" s="125"/>
      <c r="P652" s="173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spans="1:26" ht="15.75" customHeight="1">
      <c r="A653" s="125"/>
      <c r="B653" s="125"/>
      <c r="C653" s="125"/>
      <c r="D653" s="125"/>
      <c r="E653" s="125"/>
      <c r="F653" s="126"/>
      <c r="G653" s="125"/>
      <c r="H653" s="125"/>
      <c r="I653" s="125"/>
      <c r="J653" s="125"/>
      <c r="K653" s="125"/>
      <c r="L653" s="125"/>
      <c r="M653" s="125"/>
      <c r="N653" s="129"/>
      <c r="O653" s="125"/>
      <c r="P653" s="173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spans="1:26" ht="15.75" customHeight="1">
      <c r="A654" s="125"/>
      <c r="B654" s="125"/>
      <c r="C654" s="125"/>
      <c r="D654" s="125"/>
      <c r="E654" s="125"/>
      <c r="F654" s="126"/>
      <c r="G654" s="125"/>
      <c r="H654" s="125"/>
      <c r="I654" s="125"/>
      <c r="J654" s="125"/>
      <c r="K654" s="125"/>
      <c r="L654" s="125"/>
      <c r="M654" s="125"/>
      <c r="N654" s="129"/>
      <c r="O654" s="125"/>
      <c r="P654" s="173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spans="1:26" ht="15.75" customHeight="1">
      <c r="A655" s="125"/>
      <c r="B655" s="125"/>
      <c r="C655" s="125"/>
      <c r="D655" s="125"/>
      <c r="E655" s="125"/>
      <c r="F655" s="126"/>
      <c r="G655" s="125"/>
      <c r="H655" s="125"/>
      <c r="I655" s="125"/>
      <c r="J655" s="125"/>
      <c r="K655" s="125"/>
      <c r="L655" s="125"/>
      <c r="M655" s="125"/>
      <c r="N655" s="129"/>
      <c r="O655" s="125"/>
      <c r="P655" s="173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spans="1:26" ht="15.75" customHeight="1">
      <c r="A656" s="125"/>
      <c r="B656" s="125"/>
      <c r="C656" s="125"/>
      <c r="D656" s="125"/>
      <c r="E656" s="125"/>
      <c r="F656" s="126"/>
      <c r="G656" s="125"/>
      <c r="H656" s="125"/>
      <c r="I656" s="125"/>
      <c r="J656" s="125"/>
      <c r="K656" s="125"/>
      <c r="L656" s="125"/>
      <c r="M656" s="125"/>
      <c r="N656" s="129"/>
      <c r="O656" s="125"/>
      <c r="P656" s="173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spans="1:26" ht="15.75" customHeight="1">
      <c r="A657" s="125"/>
      <c r="B657" s="125"/>
      <c r="C657" s="125"/>
      <c r="D657" s="125"/>
      <c r="E657" s="125"/>
      <c r="F657" s="126"/>
      <c r="G657" s="125"/>
      <c r="H657" s="125"/>
      <c r="I657" s="125"/>
      <c r="J657" s="125"/>
      <c r="K657" s="125"/>
      <c r="L657" s="125"/>
      <c r="M657" s="125"/>
      <c r="N657" s="129"/>
      <c r="O657" s="125"/>
      <c r="P657" s="173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spans="1:26" ht="15.75" customHeight="1">
      <c r="A658" s="125"/>
      <c r="B658" s="125"/>
      <c r="C658" s="125"/>
      <c r="D658" s="125"/>
      <c r="E658" s="125"/>
      <c r="F658" s="126"/>
      <c r="G658" s="125"/>
      <c r="H658" s="125"/>
      <c r="I658" s="125"/>
      <c r="J658" s="125"/>
      <c r="K658" s="125"/>
      <c r="L658" s="125"/>
      <c r="M658" s="125"/>
      <c r="N658" s="129"/>
      <c r="O658" s="125"/>
      <c r="P658" s="173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spans="1:26" ht="15.75" customHeight="1">
      <c r="A659" s="125"/>
      <c r="B659" s="125"/>
      <c r="C659" s="125"/>
      <c r="D659" s="125"/>
      <c r="E659" s="125"/>
      <c r="F659" s="126"/>
      <c r="G659" s="125"/>
      <c r="H659" s="125"/>
      <c r="I659" s="125"/>
      <c r="J659" s="125"/>
      <c r="K659" s="125"/>
      <c r="L659" s="125"/>
      <c r="M659" s="125"/>
      <c r="N659" s="129"/>
      <c r="O659" s="125"/>
      <c r="P659" s="173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spans="1:26" ht="15.75" customHeight="1">
      <c r="A660" s="125"/>
      <c r="B660" s="125"/>
      <c r="C660" s="125"/>
      <c r="D660" s="125"/>
      <c r="E660" s="125"/>
      <c r="F660" s="126"/>
      <c r="G660" s="125"/>
      <c r="H660" s="125"/>
      <c r="I660" s="125"/>
      <c r="J660" s="125"/>
      <c r="K660" s="125"/>
      <c r="L660" s="125"/>
      <c r="M660" s="125"/>
      <c r="N660" s="129"/>
      <c r="O660" s="125"/>
      <c r="P660" s="173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spans="1:26" ht="15.75" customHeight="1">
      <c r="A661" s="125"/>
      <c r="B661" s="125"/>
      <c r="C661" s="125"/>
      <c r="D661" s="125"/>
      <c r="E661" s="125"/>
      <c r="F661" s="126"/>
      <c r="G661" s="125"/>
      <c r="H661" s="125"/>
      <c r="I661" s="125"/>
      <c r="J661" s="125"/>
      <c r="K661" s="125"/>
      <c r="L661" s="125"/>
      <c r="M661" s="125"/>
      <c r="N661" s="129"/>
      <c r="O661" s="125"/>
      <c r="P661" s="173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spans="1:26" ht="15.75" customHeight="1">
      <c r="A662" s="125"/>
      <c r="B662" s="125"/>
      <c r="C662" s="125"/>
      <c r="D662" s="125"/>
      <c r="E662" s="125"/>
      <c r="F662" s="126"/>
      <c r="G662" s="125"/>
      <c r="H662" s="125"/>
      <c r="I662" s="125"/>
      <c r="J662" s="125"/>
      <c r="K662" s="125"/>
      <c r="L662" s="125"/>
      <c r="M662" s="125"/>
      <c r="N662" s="129"/>
      <c r="O662" s="125"/>
      <c r="P662" s="173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spans="1:26" ht="15.75" customHeight="1">
      <c r="A663" s="125"/>
      <c r="B663" s="125"/>
      <c r="C663" s="125"/>
      <c r="D663" s="125"/>
      <c r="E663" s="125"/>
      <c r="F663" s="126"/>
      <c r="G663" s="125"/>
      <c r="H663" s="125"/>
      <c r="I663" s="125"/>
      <c r="J663" s="125"/>
      <c r="K663" s="125"/>
      <c r="L663" s="125"/>
      <c r="M663" s="125"/>
      <c r="N663" s="129"/>
      <c r="O663" s="125"/>
      <c r="P663" s="173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spans="1:26" ht="15.75" customHeight="1">
      <c r="A664" s="125"/>
      <c r="B664" s="125"/>
      <c r="C664" s="125"/>
      <c r="D664" s="125"/>
      <c r="E664" s="125"/>
      <c r="F664" s="126"/>
      <c r="G664" s="125"/>
      <c r="H664" s="125"/>
      <c r="I664" s="125"/>
      <c r="J664" s="125"/>
      <c r="K664" s="125"/>
      <c r="L664" s="125"/>
      <c r="M664" s="125"/>
      <c r="N664" s="129"/>
      <c r="O664" s="125"/>
      <c r="P664" s="173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spans="1:26" ht="15.75" customHeight="1">
      <c r="A665" s="125"/>
      <c r="B665" s="125"/>
      <c r="C665" s="125"/>
      <c r="D665" s="125"/>
      <c r="E665" s="125"/>
      <c r="F665" s="126"/>
      <c r="G665" s="125"/>
      <c r="H665" s="125"/>
      <c r="I665" s="125"/>
      <c r="J665" s="125"/>
      <c r="K665" s="125"/>
      <c r="L665" s="125"/>
      <c r="M665" s="125"/>
      <c r="N665" s="129"/>
      <c r="O665" s="125"/>
      <c r="P665" s="173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spans="1:26" ht="15.75" customHeight="1">
      <c r="A666" s="125"/>
      <c r="B666" s="125"/>
      <c r="C666" s="125"/>
      <c r="D666" s="125"/>
      <c r="E666" s="125"/>
      <c r="F666" s="126"/>
      <c r="G666" s="125"/>
      <c r="H666" s="125"/>
      <c r="I666" s="125"/>
      <c r="J666" s="125"/>
      <c r="K666" s="125"/>
      <c r="L666" s="125"/>
      <c r="M666" s="125"/>
      <c r="N666" s="129"/>
      <c r="O666" s="125"/>
      <c r="P666" s="173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spans="1:26" ht="15.75" customHeight="1">
      <c r="A667" s="125"/>
      <c r="B667" s="125"/>
      <c r="C667" s="125"/>
      <c r="D667" s="125"/>
      <c r="E667" s="125"/>
      <c r="F667" s="126"/>
      <c r="G667" s="125"/>
      <c r="H667" s="125"/>
      <c r="I667" s="125"/>
      <c r="J667" s="125"/>
      <c r="K667" s="125"/>
      <c r="L667" s="125"/>
      <c r="M667" s="125"/>
      <c r="N667" s="129"/>
      <c r="O667" s="125"/>
      <c r="P667" s="173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spans="1:26" ht="15.75" customHeight="1">
      <c r="A668" s="125"/>
      <c r="B668" s="125"/>
      <c r="C668" s="125"/>
      <c r="D668" s="125"/>
      <c r="E668" s="125"/>
      <c r="F668" s="126"/>
      <c r="G668" s="125"/>
      <c r="H668" s="125"/>
      <c r="I668" s="125"/>
      <c r="J668" s="125"/>
      <c r="K668" s="125"/>
      <c r="L668" s="125"/>
      <c r="M668" s="125"/>
      <c r="N668" s="129"/>
      <c r="O668" s="125"/>
      <c r="P668" s="173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spans="1:26" ht="15.75" customHeight="1">
      <c r="A669" s="125"/>
      <c r="B669" s="125"/>
      <c r="C669" s="125"/>
      <c r="D669" s="125"/>
      <c r="E669" s="125"/>
      <c r="F669" s="126"/>
      <c r="G669" s="125"/>
      <c r="H669" s="125"/>
      <c r="I669" s="125"/>
      <c r="J669" s="125"/>
      <c r="K669" s="125"/>
      <c r="L669" s="125"/>
      <c r="M669" s="125"/>
      <c r="N669" s="129"/>
      <c r="O669" s="125"/>
      <c r="P669" s="173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spans="1:26" ht="15.75" customHeight="1">
      <c r="A670" s="125"/>
      <c r="B670" s="125"/>
      <c r="C670" s="125"/>
      <c r="D670" s="125"/>
      <c r="E670" s="125"/>
      <c r="F670" s="126"/>
      <c r="G670" s="125"/>
      <c r="H670" s="125"/>
      <c r="I670" s="125"/>
      <c r="J670" s="125"/>
      <c r="K670" s="125"/>
      <c r="L670" s="125"/>
      <c r="M670" s="125"/>
      <c r="N670" s="129"/>
      <c r="O670" s="125"/>
      <c r="P670" s="173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spans="1:26" ht="15.75" customHeight="1">
      <c r="A671" s="125"/>
      <c r="B671" s="125"/>
      <c r="C671" s="125"/>
      <c r="D671" s="125"/>
      <c r="E671" s="125"/>
      <c r="F671" s="126"/>
      <c r="G671" s="125"/>
      <c r="H671" s="125"/>
      <c r="I671" s="125"/>
      <c r="J671" s="125"/>
      <c r="K671" s="125"/>
      <c r="L671" s="125"/>
      <c r="M671" s="125"/>
      <c r="N671" s="129"/>
      <c r="O671" s="125"/>
      <c r="P671" s="173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spans="1:26" ht="15.75" customHeight="1">
      <c r="A672" s="125"/>
      <c r="B672" s="125"/>
      <c r="C672" s="125"/>
      <c r="D672" s="125"/>
      <c r="E672" s="125"/>
      <c r="F672" s="126"/>
      <c r="G672" s="125"/>
      <c r="H672" s="125"/>
      <c r="I672" s="125"/>
      <c r="J672" s="125"/>
      <c r="K672" s="125"/>
      <c r="L672" s="125"/>
      <c r="M672" s="125"/>
      <c r="N672" s="129"/>
      <c r="O672" s="125"/>
      <c r="P672" s="173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spans="1:26" ht="15.75" customHeight="1">
      <c r="A673" s="125"/>
      <c r="B673" s="125"/>
      <c r="C673" s="125"/>
      <c r="D673" s="125"/>
      <c r="E673" s="125"/>
      <c r="F673" s="126"/>
      <c r="G673" s="125"/>
      <c r="H673" s="125"/>
      <c r="I673" s="125"/>
      <c r="J673" s="125"/>
      <c r="K673" s="125"/>
      <c r="L673" s="125"/>
      <c r="M673" s="125"/>
      <c r="N673" s="129"/>
      <c r="O673" s="125"/>
      <c r="P673" s="173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spans="1:26" ht="15.75" customHeight="1">
      <c r="A674" s="125"/>
      <c r="B674" s="125"/>
      <c r="C674" s="125"/>
      <c r="D674" s="125"/>
      <c r="E674" s="125"/>
      <c r="F674" s="126"/>
      <c r="G674" s="125"/>
      <c r="H674" s="125"/>
      <c r="I674" s="125"/>
      <c r="J674" s="125"/>
      <c r="K674" s="125"/>
      <c r="L674" s="125"/>
      <c r="M674" s="125"/>
      <c r="N674" s="129"/>
      <c r="O674" s="125"/>
      <c r="P674" s="173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spans="1:26" ht="15.75" customHeight="1">
      <c r="A675" s="125"/>
      <c r="B675" s="125"/>
      <c r="C675" s="125"/>
      <c r="D675" s="125"/>
      <c r="E675" s="125"/>
      <c r="F675" s="126"/>
      <c r="G675" s="125"/>
      <c r="H675" s="125"/>
      <c r="I675" s="125"/>
      <c r="J675" s="125"/>
      <c r="K675" s="125"/>
      <c r="L675" s="125"/>
      <c r="M675" s="125"/>
      <c r="N675" s="129"/>
      <c r="O675" s="125"/>
      <c r="P675" s="173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spans="1:26" ht="15.75" customHeight="1">
      <c r="A676" s="125"/>
      <c r="B676" s="125"/>
      <c r="C676" s="125"/>
      <c r="D676" s="125"/>
      <c r="E676" s="125"/>
      <c r="F676" s="126"/>
      <c r="G676" s="125"/>
      <c r="H676" s="125"/>
      <c r="I676" s="125"/>
      <c r="J676" s="125"/>
      <c r="K676" s="125"/>
      <c r="L676" s="125"/>
      <c r="M676" s="125"/>
      <c r="N676" s="129"/>
      <c r="O676" s="125"/>
      <c r="P676" s="173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spans="1:26" ht="15.75" customHeight="1">
      <c r="A677" s="125"/>
      <c r="B677" s="125"/>
      <c r="C677" s="125"/>
      <c r="D677" s="125"/>
      <c r="E677" s="125"/>
      <c r="F677" s="126"/>
      <c r="G677" s="125"/>
      <c r="H677" s="125"/>
      <c r="I677" s="125"/>
      <c r="J677" s="125"/>
      <c r="K677" s="125"/>
      <c r="L677" s="125"/>
      <c r="M677" s="125"/>
      <c r="N677" s="129"/>
      <c r="O677" s="125"/>
      <c r="P677" s="173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spans="1:26" ht="15.75" customHeight="1">
      <c r="A678" s="125"/>
      <c r="B678" s="125"/>
      <c r="C678" s="125"/>
      <c r="D678" s="125"/>
      <c r="E678" s="125"/>
      <c r="F678" s="126"/>
      <c r="G678" s="125"/>
      <c r="H678" s="125"/>
      <c r="I678" s="125"/>
      <c r="J678" s="125"/>
      <c r="K678" s="125"/>
      <c r="L678" s="125"/>
      <c r="M678" s="125"/>
      <c r="N678" s="129"/>
      <c r="O678" s="125"/>
      <c r="P678" s="173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spans="1:26" ht="15.75" customHeight="1">
      <c r="A679" s="125"/>
      <c r="B679" s="125"/>
      <c r="C679" s="125"/>
      <c r="D679" s="125"/>
      <c r="E679" s="125"/>
      <c r="F679" s="126"/>
      <c r="G679" s="125"/>
      <c r="H679" s="125"/>
      <c r="I679" s="125"/>
      <c r="J679" s="125"/>
      <c r="K679" s="125"/>
      <c r="L679" s="125"/>
      <c r="M679" s="125"/>
      <c r="N679" s="129"/>
      <c r="O679" s="125"/>
      <c r="P679" s="173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spans="1:26" ht="15.75" customHeight="1">
      <c r="A680" s="125"/>
      <c r="B680" s="125"/>
      <c r="C680" s="125"/>
      <c r="D680" s="125"/>
      <c r="E680" s="125"/>
      <c r="F680" s="126"/>
      <c r="G680" s="125"/>
      <c r="H680" s="125"/>
      <c r="I680" s="125"/>
      <c r="J680" s="125"/>
      <c r="K680" s="125"/>
      <c r="L680" s="125"/>
      <c r="M680" s="125"/>
      <c r="N680" s="129"/>
      <c r="O680" s="125"/>
      <c r="P680" s="173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spans="1:26" ht="15.75" customHeight="1">
      <c r="A681" s="125"/>
      <c r="B681" s="125"/>
      <c r="C681" s="125"/>
      <c r="D681" s="125"/>
      <c r="E681" s="125"/>
      <c r="F681" s="126"/>
      <c r="G681" s="125"/>
      <c r="H681" s="125"/>
      <c r="I681" s="125"/>
      <c r="J681" s="125"/>
      <c r="K681" s="125"/>
      <c r="L681" s="125"/>
      <c r="M681" s="125"/>
      <c r="N681" s="129"/>
      <c r="O681" s="125"/>
      <c r="P681" s="173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spans="1:26" ht="15.75" customHeight="1">
      <c r="A682" s="125"/>
      <c r="B682" s="125"/>
      <c r="C682" s="125"/>
      <c r="D682" s="125"/>
      <c r="E682" s="125"/>
      <c r="F682" s="126"/>
      <c r="G682" s="125"/>
      <c r="H682" s="125"/>
      <c r="I682" s="125"/>
      <c r="J682" s="125"/>
      <c r="K682" s="125"/>
      <c r="L682" s="125"/>
      <c r="M682" s="125"/>
      <c r="N682" s="129"/>
      <c r="O682" s="125"/>
      <c r="P682" s="173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spans="1:26" ht="15.75" customHeight="1">
      <c r="A683" s="125"/>
      <c r="B683" s="125"/>
      <c r="C683" s="125"/>
      <c r="D683" s="125"/>
      <c r="E683" s="125"/>
      <c r="F683" s="126"/>
      <c r="G683" s="125"/>
      <c r="H683" s="125"/>
      <c r="I683" s="125"/>
      <c r="J683" s="125"/>
      <c r="K683" s="125"/>
      <c r="L683" s="125"/>
      <c r="M683" s="125"/>
      <c r="N683" s="129"/>
      <c r="O683" s="125"/>
      <c r="P683" s="173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spans="1:26" ht="15.75" customHeight="1">
      <c r="A684" s="125"/>
      <c r="B684" s="125"/>
      <c r="C684" s="125"/>
      <c r="D684" s="125"/>
      <c r="E684" s="125"/>
      <c r="F684" s="126"/>
      <c r="G684" s="125"/>
      <c r="H684" s="125"/>
      <c r="I684" s="125"/>
      <c r="J684" s="125"/>
      <c r="K684" s="125"/>
      <c r="L684" s="125"/>
      <c r="M684" s="125"/>
      <c r="N684" s="129"/>
      <c r="O684" s="125"/>
      <c r="P684" s="173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spans="1:26" ht="15.75" customHeight="1">
      <c r="A685" s="125"/>
      <c r="B685" s="125"/>
      <c r="C685" s="125"/>
      <c r="D685" s="125"/>
      <c r="E685" s="125"/>
      <c r="F685" s="126"/>
      <c r="G685" s="125"/>
      <c r="H685" s="125"/>
      <c r="I685" s="125"/>
      <c r="J685" s="125"/>
      <c r="K685" s="125"/>
      <c r="L685" s="125"/>
      <c r="M685" s="125"/>
      <c r="N685" s="129"/>
      <c r="O685" s="125"/>
      <c r="P685" s="173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spans="1:26" ht="15.75" customHeight="1">
      <c r="A686" s="125"/>
      <c r="B686" s="125"/>
      <c r="C686" s="125"/>
      <c r="D686" s="125"/>
      <c r="E686" s="125"/>
      <c r="F686" s="126"/>
      <c r="G686" s="125"/>
      <c r="H686" s="125"/>
      <c r="I686" s="125"/>
      <c r="J686" s="125"/>
      <c r="K686" s="125"/>
      <c r="L686" s="125"/>
      <c r="M686" s="125"/>
      <c r="N686" s="129"/>
      <c r="O686" s="125"/>
      <c r="P686" s="173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spans="1:26" ht="15.75" customHeight="1">
      <c r="A687" s="125"/>
      <c r="B687" s="125"/>
      <c r="C687" s="125"/>
      <c r="D687" s="125"/>
      <c r="E687" s="125"/>
      <c r="F687" s="126"/>
      <c r="G687" s="125"/>
      <c r="H687" s="125"/>
      <c r="I687" s="125"/>
      <c r="J687" s="125"/>
      <c r="K687" s="125"/>
      <c r="L687" s="125"/>
      <c r="M687" s="125"/>
      <c r="N687" s="129"/>
      <c r="O687" s="125"/>
      <c r="P687" s="173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spans="1:26" ht="15.75" customHeight="1">
      <c r="A688" s="125"/>
      <c r="B688" s="125"/>
      <c r="C688" s="125"/>
      <c r="D688" s="125"/>
      <c r="E688" s="125"/>
      <c r="F688" s="126"/>
      <c r="G688" s="125"/>
      <c r="H688" s="125"/>
      <c r="I688" s="125"/>
      <c r="J688" s="125"/>
      <c r="K688" s="125"/>
      <c r="L688" s="125"/>
      <c r="M688" s="125"/>
      <c r="N688" s="129"/>
      <c r="O688" s="125"/>
      <c r="P688" s="173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spans="1:26" ht="15.75" customHeight="1">
      <c r="A689" s="125"/>
      <c r="B689" s="125"/>
      <c r="C689" s="125"/>
      <c r="D689" s="125"/>
      <c r="E689" s="125"/>
      <c r="F689" s="126"/>
      <c r="G689" s="125"/>
      <c r="H689" s="125"/>
      <c r="I689" s="125"/>
      <c r="J689" s="125"/>
      <c r="K689" s="125"/>
      <c r="L689" s="125"/>
      <c r="M689" s="125"/>
      <c r="N689" s="129"/>
      <c r="O689" s="125"/>
      <c r="P689" s="173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spans="1:26" ht="15.75" customHeight="1">
      <c r="A690" s="125"/>
      <c r="B690" s="125"/>
      <c r="C690" s="125"/>
      <c r="D690" s="125"/>
      <c r="E690" s="125"/>
      <c r="F690" s="126"/>
      <c r="G690" s="125"/>
      <c r="H690" s="125"/>
      <c r="I690" s="125"/>
      <c r="J690" s="125"/>
      <c r="K690" s="125"/>
      <c r="L690" s="125"/>
      <c r="M690" s="125"/>
      <c r="N690" s="129"/>
      <c r="O690" s="125"/>
      <c r="P690" s="173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spans="1:26" ht="15.75" customHeight="1">
      <c r="A691" s="125"/>
      <c r="B691" s="125"/>
      <c r="C691" s="125"/>
      <c r="D691" s="125"/>
      <c r="E691" s="125"/>
      <c r="F691" s="126"/>
      <c r="G691" s="125"/>
      <c r="H691" s="125"/>
      <c r="I691" s="125"/>
      <c r="J691" s="125"/>
      <c r="K691" s="125"/>
      <c r="L691" s="125"/>
      <c r="M691" s="125"/>
      <c r="N691" s="129"/>
      <c r="O691" s="125"/>
      <c r="P691" s="173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spans="1:26" ht="15.75" customHeight="1">
      <c r="A692" s="125"/>
      <c r="B692" s="125"/>
      <c r="C692" s="125"/>
      <c r="D692" s="125"/>
      <c r="E692" s="125"/>
      <c r="F692" s="126"/>
      <c r="G692" s="125"/>
      <c r="H692" s="125"/>
      <c r="I692" s="125"/>
      <c r="J692" s="125"/>
      <c r="K692" s="125"/>
      <c r="L692" s="125"/>
      <c r="M692" s="125"/>
      <c r="N692" s="129"/>
      <c r="O692" s="125"/>
      <c r="P692" s="173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spans="1:26" ht="15.75" customHeight="1">
      <c r="A693" s="125"/>
      <c r="B693" s="125"/>
      <c r="C693" s="125"/>
      <c r="D693" s="125"/>
      <c r="E693" s="125"/>
      <c r="F693" s="126"/>
      <c r="G693" s="125"/>
      <c r="H693" s="125"/>
      <c r="I693" s="125"/>
      <c r="J693" s="125"/>
      <c r="K693" s="125"/>
      <c r="L693" s="125"/>
      <c r="M693" s="125"/>
      <c r="N693" s="129"/>
      <c r="O693" s="125"/>
      <c r="P693" s="173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spans="1:26" ht="15.75" customHeight="1">
      <c r="A694" s="125"/>
      <c r="B694" s="125"/>
      <c r="C694" s="125"/>
      <c r="D694" s="125"/>
      <c r="E694" s="125"/>
      <c r="F694" s="126"/>
      <c r="G694" s="125"/>
      <c r="H694" s="125"/>
      <c r="I694" s="125"/>
      <c r="J694" s="125"/>
      <c r="K694" s="125"/>
      <c r="L694" s="125"/>
      <c r="M694" s="125"/>
      <c r="N694" s="129"/>
      <c r="O694" s="125"/>
      <c r="P694" s="173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spans="1:26" ht="15.75" customHeight="1">
      <c r="A695" s="125"/>
      <c r="B695" s="125"/>
      <c r="C695" s="125"/>
      <c r="D695" s="125"/>
      <c r="E695" s="125"/>
      <c r="F695" s="126"/>
      <c r="G695" s="125"/>
      <c r="H695" s="125"/>
      <c r="I695" s="125"/>
      <c r="J695" s="125"/>
      <c r="K695" s="125"/>
      <c r="L695" s="125"/>
      <c r="M695" s="125"/>
      <c r="N695" s="129"/>
      <c r="O695" s="125"/>
      <c r="P695" s="173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spans="1:26" ht="15.75" customHeight="1">
      <c r="A696" s="125"/>
      <c r="B696" s="125"/>
      <c r="C696" s="125"/>
      <c r="D696" s="125"/>
      <c r="E696" s="125"/>
      <c r="F696" s="126"/>
      <c r="G696" s="125"/>
      <c r="H696" s="125"/>
      <c r="I696" s="125"/>
      <c r="J696" s="125"/>
      <c r="K696" s="125"/>
      <c r="L696" s="125"/>
      <c r="M696" s="125"/>
      <c r="N696" s="129"/>
      <c r="O696" s="125"/>
      <c r="P696" s="173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spans="1:26" ht="15.75" customHeight="1">
      <c r="A697" s="125"/>
      <c r="B697" s="125"/>
      <c r="C697" s="125"/>
      <c r="D697" s="125"/>
      <c r="E697" s="125"/>
      <c r="F697" s="126"/>
      <c r="G697" s="125"/>
      <c r="H697" s="125"/>
      <c r="I697" s="125"/>
      <c r="J697" s="125"/>
      <c r="K697" s="125"/>
      <c r="L697" s="125"/>
      <c r="M697" s="125"/>
      <c r="N697" s="129"/>
      <c r="O697" s="125"/>
      <c r="P697" s="173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spans="1:26" ht="15.75" customHeight="1">
      <c r="A698" s="125"/>
      <c r="B698" s="125"/>
      <c r="C698" s="125"/>
      <c r="D698" s="125"/>
      <c r="E698" s="125"/>
      <c r="F698" s="126"/>
      <c r="G698" s="125"/>
      <c r="H698" s="125"/>
      <c r="I698" s="125"/>
      <c r="J698" s="125"/>
      <c r="K698" s="125"/>
      <c r="L698" s="125"/>
      <c r="M698" s="125"/>
      <c r="N698" s="129"/>
      <c r="O698" s="125"/>
      <c r="P698" s="173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spans="1:26" ht="15.75" customHeight="1">
      <c r="A699" s="125"/>
      <c r="B699" s="125"/>
      <c r="C699" s="125"/>
      <c r="D699" s="125"/>
      <c r="E699" s="125"/>
      <c r="F699" s="126"/>
      <c r="G699" s="125"/>
      <c r="H699" s="125"/>
      <c r="I699" s="125"/>
      <c r="J699" s="125"/>
      <c r="K699" s="125"/>
      <c r="L699" s="125"/>
      <c r="M699" s="125"/>
      <c r="N699" s="129"/>
      <c r="O699" s="125"/>
      <c r="P699" s="173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spans="1:26" ht="15.75" customHeight="1">
      <c r="A700" s="125"/>
      <c r="B700" s="125"/>
      <c r="C700" s="125"/>
      <c r="D700" s="125"/>
      <c r="E700" s="125"/>
      <c r="F700" s="126"/>
      <c r="G700" s="125"/>
      <c r="H700" s="125"/>
      <c r="I700" s="125"/>
      <c r="J700" s="125"/>
      <c r="K700" s="125"/>
      <c r="L700" s="125"/>
      <c r="M700" s="125"/>
      <c r="N700" s="129"/>
      <c r="O700" s="125"/>
      <c r="P700" s="173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spans="1:26" ht="15.75" customHeight="1">
      <c r="A701" s="125"/>
      <c r="B701" s="125"/>
      <c r="C701" s="125"/>
      <c r="D701" s="125"/>
      <c r="E701" s="125"/>
      <c r="F701" s="126"/>
      <c r="G701" s="125"/>
      <c r="H701" s="125"/>
      <c r="I701" s="125"/>
      <c r="J701" s="125"/>
      <c r="K701" s="125"/>
      <c r="L701" s="125"/>
      <c r="M701" s="125"/>
      <c r="N701" s="129"/>
      <c r="O701" s="125"/>
      <c r="P701" s="173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spans="1:26" ht="15.75" customHeight="1">
      <c r="A702" s="125"/>
      <c r="B702" s="125"/>
      <c r="C702" s="125"/>
      <c r="D702" s="125"/>
      <c r="E702" s="125"/>
      <c r="F702" s="126"/>
      <c r="G702" s="125"/>
      <c r="H702" s="125"/>
      <c r="I702" s="125"/>
      <c r="J702" s="125"/>
      <c r="K702" s="125"/>
      <c r="L702" s="125"/>
      <c r="M702" s="125"/>
      <c r="N702" s="129"/>
      <c r="O702" s="125"/>
      <c r="P702" s="173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spans="1:26" ht="15.75" customHeight="1">
      <c r="A703" s="125"/>
      <c r="B703" s="125"/>
      <c r="C703" s="125"/>
      <c r="D703" s="125"/>
      <c r="E703" s="125"/>
      <c r="F703" s="126"/>
      <c r="G703" s="125"/>
      <c r="H703" s="125"/>
      <c r="I703" s="125"/>
      <c r="J703" s="125"/>
      <c r="K703" s="125"/>
      <c r="L703" s="125"/>
      <c r="M703" s="125"/>
      <c r="N703" s="129"/>
      <c r="O703" s="125"/>
      <c r="P703" s="173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spans="1:26" ht="15.75" customHeight="1">
      <c r="A704" s="125"/>
      <c r="B704" s="125"/>
      <c r="C704" s="125"/>
      <c r="D704" s="125"/>
      <c r="E704" s="125"/>
      <c r="F704" s="126"/>
      <c r="G704" s="125"/>
      <c r="H704" s="125"/>
      <c r="I704" s="125"/>
      <c r="J704" s="125"/>
      <c r="K704" s="125"/>
      <c r="L704" s="125"/>
      <c r="M704" s="125"/>
      <c r="N704" s="129"/>
      <c r="O704" s="125"/>
      <c r="P704" s="173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spans="1:26" ht="15.75" customHeight="1">
      <c r="A705" s="125"/>
      <c r="B705" s="125"/>
      <c r="C705" s="125"/>
      <c r="D705" s="125"/>
      <c r="E705" s="125"/>
      <c r="F705" s="126"/>
      <c r="G705" s="125"/>
      <c r="H705" s="125"/>
      <c r="I705" s="125"/>
      <c r="J705" s="125"/>
      <c r="K705" s="125"/>
      <c r="L705" s="125"/>
      <c r="M705" s="125"/>
      <c r="N705" s="129"/>
      <c r="O705" s="125"/>
      <c r="P705" s="173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spans="1:26" ht="15.75" customHeight="1">
      <c r="A706" s="125"/>
      <c r="B706" s="125"/>
      <c r="C706" s="125"/>
      <c r="D706" s="125"/>
      <c r="E706" s="125"/>
      <c r="F706" s="126"/>
      <c r="G706" s="125"/>
      <c r="H706" s="125"/>
      <c r="I706" s="125"/>
      <c r="J706" s="125"/>
      <c r="K706" s="125"/>
      <c r="L706" s="125"/>
      <c r="M706" s="125"/>
      <c r="N706" s="129"/>
      <c r="O706" s="125"/>
      <c r="P706" s="173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spans="1:26" ht="15.75" customHeight="1">
      <c r="A707" s="125"/>
      <c r="B707" s="125"/>
      <c r="C707" s="125"/>
      <c r="D707" s="125"/>
      <c r="E707" s="125"/>
      <c r="F707" s="126"/>
      <c r="G707" s="125"/>
      <c r="H707" s="125"/>
      <c r="I707" s="125"/>
      <c r="J707" s="125"/>
      <c r="K707" s="125"/>
      <c r="L707" s="125"/>
      <c r="M707" s="125"/>
      <c r="N707" s="129"/>
      <c r="O707" s="125"/>
      <c r="P707" s="173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spans="1:26" ht="15.75" customHeight="1">
      <c r="A708" s="125"/>
      <c r="B708" s="125"/>
      <c r="C708" s="125"/>
      <c r="D708" s="125"/>
      <c r="E708" s="125"/>
      <c r="F708" s="126"/>
      <c r="G708" s="125"/>
      <c r="H708" s="125"/>
      <c r="I708" s="125"/>
      <c r="J708" s="125"/>
      <c r="K708" s="125"/>
      <c r="L708" s="125"/>
      <c r="M708" s="125"/>
      <c r="N708" s="129"/>
      <c r="O708" s="125"/>
      <c r="P708" s="173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spans="1:26" ht="15.75" customHeight="1">
      <c r="A709" s="125"/>
      <c r="B709" s="125"/>
      <c r="C709" s="125"/>
      <c r="D709" s="125"/>
      <c r="E709" s="125"/>
      <c r="F709" s="126"/>
      <c r="G709" s="125"/>
      <c r="H709" s="125"/>
      <c r="I709" s="125"/>
      <c r="J709" s="125"/>
      <c r="K709" s="125"/>
      <c r="L709" s="125"/>
      <c r="M709" s="125"/>
      <c r="N709" s="129"/>
      <c r="O709" s="125"/>
      <c r="P709" s="173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spans="1:26" ht="15.75" customHeight="1">
      <c r="A710" s="125"/>
      <c r="B710" s="125"/>
      <c r="C710" s="125"/>
      <c r="D710" s="125"/>
      <c r="E710" s="125"/>
      <c r="F710" s="126"/>
      <c r="G710" s="125"/>
      <c r="H710" s="125"/>
      <c r="I710" s="125"/>
      <c r="J710" s="125"/>
      <c r="K710" s="125"/>
      <c r="L710" s="125"/>
      <c r="M710" s="125"/>
      <c r="N710" s="129"/>
      <c r="O710" s="125"/>
      <c r="P710" s="173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spans="1:26" ht="15.75" customHeight="1">
      <c r="A711" s="125"/>
      <c r="B711" s="125"/>
      <c r="C711" s="125"/>
      <c r="D711" s="125"/>
      <c r="E711" s="125"/>
      <c r="F711" s="126"/>
      <c r="G711" s="125"/>
      <c r="H711" s="125"/>
      <c r="I711" s="125"/>
      <c r="J711" s="125"/>
      <c r="K711" s="125"/>
      <c r="L711" s="125"/>
      <c r="M711" s="125"/>
      <c r="N711" s="129"/>
      <c r="O711" s="125"/>
      <c r="P711" s="173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spans="1:26" ht="15.75" customHeight="1">
      <c r="A712" s="125"/>
      <c r="B712" s="125"/>
      <c r="C712" s="125"/>
      <c r="D712" s="125"/>
      <c r="E712" s="125"/>
      <c r="F712" s="126"/>
      <c r="G712" s="125"/>
      <c r="H712" s="125"/>
      <c r="I712" s="125"/>
      <c r="J712" s="125"/>
      <c r="K712" s="125"/>
      <c r="L712" s="125"/>
      <c r="M712" s="125"/>
      <c r="N712" s="129"/>
      <c r="O712" s="125"/>
      <c r="P712" s="173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spans="1:26" ht="15.75" customHeight="1">
      <c r="A713" s="125"/>
      <c r="B713" s="125"/>
      <c r="C713" s="125"/>
      <c r="D713" s="125"/>
      <c r="E713" s="125"/>
      <c r="F713" s="126"/>
      <c r="G713" s="125"/>
      <c r="H713" s="125"/>
      <c r="I713" s="125"/>
      <c r="J713" s="125"/>
      <c r="K713" s="125"/>
      <c r="L713" s="125"/>
      <c r="M713" s="125"/>
      <c r="N713" s="129"/>
      <c r="O713" s="125"/>
      <c r="P713" s="173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spans="1:26" ht="15.75" customHeight="1">
      <c r="A714" s="125"/>
      <c r="B714" s="125"/>
      <c r="C714" s="125"/>
      <c r="D714" s="125"/>
      <c r="E714" s="125"/>
      <c r="F714" s="126"/>
      <c r="G714" s="125"/>
      <c r="H714" s="125"/>
      <c r="I714" s="125"/>
      <c r="J714" s="125"/>
      <c r="K714" s="125"/>
      <c r="L714" s="125"/>
      <c r="M714" s="125"/>
      <c r="N714" s="129"/>
      <c r="O714" s="125"/>
      <c r="P714" s="173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spans="1:26" ht="15.75" customHeight="1">
      <c r="A715" s="125"/>
      <c r="B715" s="125"/>
      <c r="C715" s="125"/>
      <c r="D715" s="125"/>
      <c r="E715" s="125"/>
      <c r="F715" s="126"/>
      <c r="G715" s="125"/>
      <c r="H715" s="125"/>
      <c r="I715" s="125"/>
      <c r="J715" s="125"/>
      <c r="K715" s="125"/>
      <c r="L715" s="125"/>
      <c r="M715" s="125"/>
      <c r="N715" s="129"/>
      <c r="O715" s="125"/>
      <c r="P715" s="173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spans="1:26" ht="15.75" customHeight="1">
      <c r="A716" s="125"/>
      <c r="B716" s="125"/>
      <c r="C716" s="125"/>
      <c r="D716" s="125"/>
      <c r="E716" s="125"/>
      <c r="F716" s="126"/>
      <c r="G716" s="125"/>
      <c r="H716" s="125"/>
      <c r="I716" s="125"/>
      <c r="J716" s="125"/>
      <c r="K716" s="125"/>
      <c r="L716" s="125"/>
      <c r="M716" s="125"/>
      <c r="N716" s="129"/>
      <c r="O716" s="125"/>
      <c r="P716" s="173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spans="1:26" ht="15.75" customHeight="1">
      <c r="A717" s="125"/>
      <c r="B717" s="125"/>
      <c r="C717" s="125"/>
      <c r="D717" s="125"/>
      <c r="E717" s="125"/>
      <c r="F717" s="126"/>
      <c r="G717" s="125"/>
      <c r="H717" s="125"/>
      <c r="I717" s="125"/>
      <c r="J717" s="125"/>
      <c r="K717" s="125"/>
      <c r="L717" s="125"/>
      <c r="M717" s="125"/>
      <c r="N717" s="129"/>
      <c r="O717" s="125"/>
      <c r="P717" s="173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spans="1:26" ht="15.75" customHeight="1">
      <c r="A718" s="125"/>
      <c r="B718" s="125"/>
      <c r="C718" s="125"/>
      <c r="D718" s="125"/>
      <c r="E718" s="125"/>
      <c r="F718" s="126"/>
      <c r="G718" s="125"/>
      <c r="H718" s="125"/>
      <c r="I718" s="125"/>
      <c r="J718" s="125"/>
      <c r="K718" s="125"/>
      <c r="L718" s="125"/>
      <c r="M718" s="125"/>
      <c r="N718" s="129"/>
      <c r="O718" s="125"/>
      <c r="P718" s="173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spans="1:26" ht="15.75" customHeight="1">
      <c r="A719" s="125"/>
      <c r="B719" s="125"/>
      <c r="C719" s="125"/>
      <c r="D719" s="125"/>
      <c r="E719" s="125"/>
      <c r="F719" s="126"/>
      <c r="G719" s="125"/>
      <c r="H719" s="125"/>
      <c r="I719" s="125"/>
      <c r="J719" s="125"/>
      <c r="K719" s="125"/>
      <c r="L719" s="125"/>
      <c r="M719" s="125"/>
      <c r="N719" s="129"/>
      <c r="O719" s="125"/>
      <c r="P719" s="173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spans="1:26" ht="15.75" customHeight="1">
      <c r="A720" s="125"/>
      <c r="B720" s="125"/>
      <c r="C720" s="125"/>
      <c r="D720" s="125"/>
      <c r="E720" s="125"/>
      <c r="F720" s="126"/>
      <c r="G720" s="125"/>
      <c r="H720" s="125"/>
      <c r="I720" s="125"/>
      <c r="J720" s="125"/>
      <c r="K720" s="125"/>
      <c r="L720" s="125"/>
      <c r="M720" s="125"/>
      <c r="N720" s="129"/>
      <c r="O720" s="125"/>
      <c r="P720" s="173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spans="1:26" ht="15.75" customHeight="1">
      <c r="A721" s="125"/>
      <c r="B721" s="125"/>
      <c r="C721" s="125"/>
      <c r="D721" s="125"/>
      <c r="E721" s="125"/>
      <c r="F721" s="126"/>
      <c r="G721" s="125"/>
      <c r="H721" s="125"/>
      <c r="I721" s="125"/>
      <c r="J721" s="125"/>
      <c r="K721" s="125"/>
      <c r="L721" s="125"/>
      <c r="M721" s="125"/>
      <c r="N721" s="129"/>
      <c r="O721" s="125"/>
      <c r="P721" s="173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spans="1:26" ht="15.75" customHeight="1">
      <c r="A722" s="125"/>
      <c r="B722" s="125"/>
      <c r="C722" s="125"/>
      <c r="D722" s="125"/>
      <c r="E722" s="125"/>
      <c r="F722" s="126"/>
      <c r="G722" s="125"/>
      <c r="H722" s="125"/>
      <c r="I722" s="125"/>
      <c r="J722" s="125"/>
      <c r="K722" s="125"/>
      <c r="L722" s="125"/>
      <c r="M722" s="125"/>
      <c r="N722" s="129"/>
      <c r="O722" s="125"/>
      <c r="P722" s="173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spans="1:26" ht="15.75" customHeight="1">
      <c r="A723" s="125"/>
      <c r="B723" s="125"/>
      <c r="C723" s="125"/>
      <c r="D723" s="125"/>
      <c r="E723" s="125"/>
      <c r="F723" s="126"/>
      <c r="G723" s="125"/>
      <c r="H723" s="125"/>
      <c r="I723" s="125"/>
      <c r="J723" s="125"/>
      <c r="K723" s="125"/>
      <c r="L723" s="125"/>
      <c r="M723" s="125"/>
      <c r="N723" s="129"/>
      <c r="O723" s="125"/>
      <c r="P723" s="173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spans="1:26" ht="15.75" customHeight="1">
      <c r="A724" s="125"/>
      <c r="B724" s="125"/>
      <c r="C724" s="125"/>
      <c r="D724" s="125"/>
      <c r="E724" s="125"/>
      <c r="F724" s="126"/>
      <c r="G724" s="125"/>
      <c r="H724" s="125"/>
      <c r="I724" s="125"/>
      <c r="J724" s="125"/>
      <c r="K724" s="125"/>
      <c r="L724" s="125"/>
      <c r="M724" s="125"/>
      <c r="N724" s="129"/>
      <c r="O724" s="125"/>
      <c r="P724" s="173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spans="1:26" ht="15.75" customHeight="1">
      <c r="A725" s="125"/>
      <c r="B725" s="125"/>
      <c r="C725" s="125"/>
      <c r="D725" s="125"/>
      <c r="E725" s="125"/>
      <c r="F725" s="126"/>
      <c r="G725" s="125"/>
      <c r="H725" s="125"/>
      <c r="I725" s="125"/>
      <c r="J725" s="125"/>
      <c r="K725" s="125"/>
      <c r="L725" s="125"/>
      <c r="M725" s="125"/>
      <c r="N725" s="129"/>
      <c r="O725" s="125"/>
      <c r="P725" s="173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spans="1:26" ht="15.75" customHeight="1">
      <c r="A726" s="125"/>
      <c r="B726" s="125"/>
      <c r="C726" s="125"/>
      <c r="D726" s="125"/>
      <c r="E726" s="125"/>
      <c r="F726" s="126"/>
      <c r="G726" s="125"/>
      <c r="H726" s="125"/>
      <c r="I726" s="125"/>
      <c r="J726" s="125"/>
      <c r="K726" s="125"/>
      <c r="L726" s="125"/>
      <c r="M726" s="125"/>
      <c r="N726" s="129"/>
      <c r="O726" s="125"/>
      <c r="P726" s="173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spans="1:26" ht="15.75" customHeight="1">
      <c r="A727" s="125"/>
      <c r="B727" s="125"/>
      <c r="C727" s="125"/>
      <c r="D727" s="125"/>
      <c r="E727" s="125"/>
      <c r="F727" s="126"/>
      <c r="G727" s="125"/>
      <c r="H727" s="125"/>
      <c r="I727" s="125"/>
      <c r="J727" s="125"/>
      <c r="K727" s="125"/>
      <c r="L727" s="125"/>
      <c r="M727" s="125"/>
      <c r="N727" s="129"/>
      <c r="O727" s="125"/>
      <c r="P727" s="173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spans="1:26" ht="15.75" customHeight="1">
      <c r="A728" s="125"/>
      <c r="B728" s="125"/>
      <c r="C728" s="125"/>
      <c r="D728" s="125"/>
      <c r="E728" s="125"/>
      <c r="F728" s="126"/>
      <c r="G728" s="125"/>
      <c r="H728" s="125"/>
      <c r="I728" s="125"/>
      <c r="J728" s="125"/>
      <c r="K728" s="125"/>
      <c r="L728" s="125"/>
      <c r="M728" s="125"/>
      <c r="N728" s="129"/>
      <c r="O728" s="125"/>
      <c r="P728" s="173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spans="1:26" ht="15.75" customHeight="1">
      <c r="A729" s="125"/>
      <c r="B729" s="125"/>
      <c r="C729" s="125"/>
      <c r="D729" s="125"/>
      <c r="E729" s="125"/>
      <c r="F729" s="126"/>
      <c r="G729" s="125"/>
      <c r="H729" s="125"/>
      <c r="I729" s="125"/>
      <c r="J729" s="125"/>
      <c r="K729" s="125"/>
      <c r="L729" s="125"/>
      <c r="M729" s="125"/>
      <c r="N729" s="129"/>
      <c r="O729" s="125"/>
      <c r="P729" s="173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spans="1:26" ht="15.75" customHeight="1">
      <c r="A730" s="125"/>
      <c r="B730" s="125"/>
      <c r="C730" s="125"/>
      <c r="D730" s="125"/>
      <c r="E730" s="125"/>
      <c r="F730" s="126"/>
      <c r="G730" s="125"/>
      <c r="H730" s="125"/>
      <c r="I730" s="125"/>
      <c r="J730" s="125"/>
      <c r="K730" s="125"/>
      <c r="L730" s="125"/>
      <c r="M730" s="125"/>
      <c r="N730" s="129"/>
      <c r="O730" s="125"/>
      <c r="P730" s="173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spans="1:26" ht="15.75" customHeight="1">
      <c r="A731" s="125"/>
      <c r="B731" s="125"/>
      <c r="C731" s="125"/>
      <c r="D731" s="125"/>
      <c r="E731" s="125"/>
      <c r="F731" s="126"/>
      <c r="G731" s="125"/>
      <c r="H731" s="125"/>
      <c r="I731" s="125"/>
      <c r="J731" s="125"/>
      <c r="K731" s="125"/>
      <c r="L731" s="125"/>
      <c r="M731" s="125"/>
      <c r="N731" s="129"/>
      <c r="O731" s="125"/>
      <c r="P731" s="173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spans="1:26" ht="15.75" customHeight="1">
      <c r="A732" s="125"/>
      <c r="B732" s="125"/>
      <c r="C732" s="125"/>
      <c r="D732" s="125"/>
      <c r="E732" s="125"/>
      <c r="F732" s="126"/>
      <c r="G732" s="125"/>
      <c r="H732" s="125"/>
      <c r="I732" s="125"/>
      <c r="J732" s="125"/>
      <c r="K732" s="125"/>
      <c r="L732" s="125"/>
      <c r="M732" s="125"/>
      <c r="N732" s="129"/>
      <c r="O732" s="125"/>
      <c r="P732" s="173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spans="1:26" ht="15.75" customHeight="1">
      <c r="A733" s="125"/>
      <c r="B733" s="125"/>
      <c r="C733" s="125"/>
      <c r="D733" s="125"/>
      <c r="E733" s="125"/>
      <c r="F733" s="126"/>
      <c r="G733" s="125"/>
      <c r="H733" s="125"/>
      <c r="I733" s="125"/>
      <c r="J733" s="125"/>
      <c r="K733" s="125"/>
      <c r="L733" s="125"/>
      <c r="M733" s="125"/>
      <c r="N733" s="129"/>
      <c r="O733" s="125"/>
      <c r="P733" s="173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spans="1:26" ht="15.75" customHeight="1">
      <c r="A734" s="125"/>
      <c r="B734" s="125"/>
      <c r="C734" s="125"/>
      <c r="D734" s="125"/>
      <c r="E734" s="125"/>
      <c r="F734" s="126"/>
      <c r="G734" s="125"/>
      <c r="H734" s="125"/>
      <c r="I734" s="125"/>
      <c r="J734" s="125"/>
      <c r="K734" s="125"/>
      <c r="L734" s="125"/>
      <c r="M734" s="125"/>
      <c r="N734" s="129"/>
      <c r="O734" s="125"/>
      <c r="P734" s="173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spans="1:26" ht="15.75" customHeight="1">
      <c r="A735" s="125"/>
      <c r="B735" s="125"/>
      <c r="C735" s="125"/>
      <c r="D735" s="125"/>
      <c r="E735" s="125"/>
      <c r="F735" s="126"/>
      <c r="G735" s="125"/>
      <c r="H735" s="125"/>
      <c r="I735" s="125"/>
      <c r="J735" s="125"/>
      <c r="K735" s="125"/>
      <c r="L735" s="125"/>
      <c r="M735" s="125"/>
      <c r="N735" s="129"/>
      <c r="O735" s="125"/>
      <c r="P735" s="173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spans="1:26" ht="15.75" customHeight="1">
      <c r="A736" s="125"/>
      <c r="B736" s="125"/>
      <c r="C736" s="125"/>
      <c r="D736" s="125"/>
      <c r="E736" s="125"/>
      <c r="F736" s="126"/>
      <c r="G736" s="125"/>
      <c r="H736" s="125"/>
      <c r="I736" s="125"/>
      <c r="J736" s="125"/>
      <c r="K736" s="125"/>
      <c r="L736" s="125"/>
      <c r="M736" s="125"/>
      <c r="N736" s="129"/>
      <c r="O736" s="125"/>
      <c r="P736" s="173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spans="1:26" ht="15.75" customHeight="1">
      <c r="A737" s="125"/>
      <c r="B737" s="125"/>
      <c r="C737" s="125"/>
      <c r="D737" s="125"/>
      <c r="E737" s="125"/>
      <c r="F737" s="126"/>
      <c r="G737" s="125"/>
      <c r="H737" s="125"/>
      <c r="I737" s="125"/>
      <c r="J737" s="125"/>
      <c r="K737" s="125"/>
      <c r="L737" s="125"/>
      <c r="M737" s="125"/>
      <c r="N737" s="129"/>
      <c r="O737" s="125"/>
      <c r="P737" s="173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spans="1:26" ht="15.75" customHeight="1">
      <c r="A738" s="125"/>
      <c r="B738" s="125"/>
      <c r="C738" s="125"/>
      <c r="D738" s="125"/>
      <c r="E738" s="125"/>
      <c r="F738" s="126"/>
      <c r="G738" s="125"/>
      <c r="H738" s="125"/>
      <c r="I738" s="125"/>
      <c r="J738" s="125"/>
      <c r="K738" s="125"/>
      <c r="L738" s="125"/>
      <c r="M738" s="125"/>
      <c r="N738" s="129"/>
      <c r="O738" s="125"/>
      <c r="P738" s="173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spans="1:26" ht="15.75" customHeight="1">
      <c r="A739" s="125"/>
      <c r="B739" s="125"/>
      <c r="C739" s="125"/>
      <c r="D739" s="125"/>
      <c r="E739" s="125"/>
      <c r="F739" s="126"/>
      <c r="G739" s="125"/>
      <c r="H739" s="125"/>
      <c r="I739" s="125"/>
      <c r="J739" s="125"/>
      <c r="K739" s="125"/>
      <c r="L739" s="125"/>
      <c r="M739" s="125"/>
      <c r="N739" s="129"/>
      <c r="O739" s="125"/>
      <c r="P739" s="173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spans="1:26" ht="15.75" customHeight="1">
      <c r="A740" s="125"/>
      <c r="B740" s="125"/>
      <c r="C740" s="125"/>
      <c r="D740" s="125"/>
      <c r="E740" s="125"/>
      <c r="F740" s="126"/>
      <c r="G740" s="125"/>
      <c r="H740" s="125"/>
      <c r="I740" s="125"/>
      <c r="J740" s="125"/>
      <c r="K740" s="125"/>
      <c r="L740" s="125"/>
      <c r="M740" s="125"/>
      <c r="N740" s="129"/>
      <c r="O740" s="125"/>
      <c r="P740" s="173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spans="1:26" ht="15.75" customHeight="1">
      <c r="A741" s="125"/>
      <c r="B741" s="125"/>
      <c r="C741" s="125"/>
      <c r="D741" s="125"/>
      <c r="E741" s="125"/>
      <c r="F741" s="126"/>
      <c r="G741" s="125"/>
      <c r="H741" s="125"/>
      <c r="I741" s="125"/>
      <c r="J741" s="125"/>
      <c r="K741" s="125"/>
      <c r="L741" s="125"/>
      <c r="M741" s="125"/>
      <c r="N741" s="129"/>
      <c r="O741" s="125"/>
      <c r="P741" s="173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spans="1:26" ht="15.75" customHeight="1">
      <c r="A742" s="125"/>
      <c r="B742" s="125"/>
      <c r="C742" s="125"/>
      <c r="D742" s="125"/>
      <c r="E742" s="125"/>
      <c r="F742" s="126"/>
      <c r="G742" s="125"/>
      <c r="H742" s="125"/>
      <c r="I742" s="125"/>
      <c r="J742" s="125"/>
      <c r="K742" s="125"/>
      <c r="L742" s="125"/>
      <c r="M742" s="125"/>
      <c r="N742" s="129"/>
      <c r="O742" s="125"/>
      <c r="P742" s="173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spans="1:26" ht="15.75" customHeight="1">
      <c r="A743" s="125"/>
      <c r="B743" s="125"/>
      <c r="C743" s="125"/>
      <c r="D743" s="125"/>
      <c r="E743" s="125"/>
      <c r="F743" s="126"/>
      <c r="G743" s="125"/>
      <c r="H743" s="125"/>
      <c r="I743" s="125"/>
      <c r="J743" s="125"/>
      <c r="K743" s="125"/>
      <c r="L743" s="125"/>
      <c r="M743" s="125"/>
      <c r="N743" s="129"/>
      <c r="O743" s="125"/>
      <c r="P743" s="173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spans="1:26" ht="15.75" customHeight="1">
      <c r="A744" s="125"/>
      <c r="B744" s="125"/>
      <c r="C744" s="125"/>
      <c r="D744" s="125"/>
      <c r="E744" s="125"/>
      <c r="F744" s="126"/>
      <c r="G744" s="125"/>
      <c r="H744" s="125"/>
      <c r="I744" s="125"/>
      <c r="J744" s="125"/>
      <c r="K744" s="125"/>
      <c r="L744" s="125"/>
      <c r="M744" s="125"/>
      <c r="N744" s="129"/>
      <c r="O744" s="125"/>
      <c r="P744" s="173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spans="1:26" ht="15.75" customHeight="1">
      <c r="A745" s="125"/>
      <c r="B745" s="125"/>
      <c r="C745" s="125"/>
      <c r="D745" s="125"/>
      <c r="E745" s="125"/>
      <c r="F745" s="126"/>
      <c r="G745" s="125"/>
      <c r="H745" s="125"/>
      <c r="I745" s="125"/>
      <c r="J745" s="125"/>
      <c r="K745" s="125"/>
      <c r="L745" s="125"/>
      <c r="M745" s="125"/>
      <c r="N745" s="129"/>
      <c r="O745" s="125"/>
      <c r="P745" s="173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spans="1:26" ht="15.75" customHeight="1">
      <c r="A746" s="125"/>
      <c r="B746" s="125"/>
      <c r="C746" s="125"/>
      <c r="D746" s="125"/>
      <c r="E746" s="125"/>
      <c r="F746" s="126"/>
      <c r="G746" s="125"/>
      <c r="H746" s="125"/>
      <c r="I746" s="125"/>
      <c r="J746" s="125"/>
      <c r="K746" s="125"/>
      <c r="L746" s="125"/>
      <c r="M746" s="125"/>
      <c r="N746" s="129"/>
      <c r="O746" s="125"/>
      <c r="P746" s="173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spans="1:26" ht="15.75" customHeight="1">
      <c r="A747" s="125"/>
      <c r="B747" s="125"/>
      <c r="C747" s="125"/>
      <c r="D747" s="125"/>
      <c r="E747" s="125"/>
      <c r="F747" s="126"/>
      <c r="G747" s="125"/>
      <c r="H747" s="125"/>
      <c r="I747" s="125"/>
      <c r="J747" s="125"/>
      <c r="K747" s="125"/>
      <c r="L747" s="125"/>
      <c r="M747" s="125"/>
      <c r="N747" s="129"/>
      <c r="O747" s="125"/>
      <c r="P747" s="173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spans="1:26" ht="15.75" customHeight="1">
      <c r="A748" s="125"/>
      <c r="B748" s="125"/>
      <c r="C748" s="125"/>
      <c r="D748" s="125"/>
      <c r="E748" s="125"/>
      <c r="F748" s="126"/>
      <c r="G748" s="125"/>
      <c r="H748" s="125"/>
      <c r="I748" s="125"/>
      <c r="J748" s="125"/>
      <c r="K748" s="125"/>
      <c r="L748" s="125"/>
      <c r="M748" s="125"/>
      <c r="N748" s="129"/>
      <c r="O748" s="125"/>
      <c r="P748" s="173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spans="1:26" ht="15.75" customHeight="1">
      <c r="A749" s="125"/>
      <c r="B749" s="125"/>
      <c r="C749" s="125"/>
      <c r="D749" s="125"/>
      <c r="E749" s="125"/>
      <c r="F749" s="126"/>
      <c r="G749" s="125"/>
      <c r="H749" s="125"/>
      <c r="I749" s="125"/>
      <c r="J749" s="125"/>
      <c r="K749" s="125"/>
      <c r="L749" s="125"/>
      <c r="M749" s="125"/>
      <c r="N749" s="129"/>
      <c r="O749" s="125"/>
      <c r="P749" s="173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spans="1:26" ht="15.75" customHeight="1">
      <c r="A750" s="125"/>
      <c r="B750" s="125"/>
      <c r="C750" s="125"/>
      <c r="D750" s="125"/>
      <c r="E750" s="125"/>
      <c r="F750" s="126"/>
      <c r="G750" s="125"/>
      <c r="H750" s="125"/>
      <c r="I750" s="125"/>
      <c r="J750" s="125"/>
      <c r="K750" s="125"/>
      <c r="L750" s="125"/>
      <c r="M750" s="125"/>
      <c r="N750" s="129"/>
      <c r="O750" s="125"/>
      <c r="P750" s="173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spans="1:26" ht="15.75" customHeight="1">
      <c r="A751" s="125"/>
      <c r="B751" s="125"/>
      <c r="C751" s="125"/>
      <c r="D751" s="125"/>
      <c r="E751" s="125"/>
      <c r="F751" s="126"/>
      <c r="G751" s="125"/>
      <c r="H751" s="125"/>
      <c r="I751" s="125"/>
      <c r="J751" s="125"/>
      <c r="K751" s="125"/>
      <c r="L751" s="125"/>
      <c r="M751" s="125"/>
      <c r="N751" s="129"/>
      <c r="O751" s="125"/>
      <c r="P751" s="173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spans="1:26" ht="15.75" customHeight="1">
      <c r="A752" s="125"/>
      <c r="B752" s="125"/>
      <c r="C752" s="125"/>
      <c r="D752" s="125"/>
      <c r="E752" s="125"/>
      <c r="F752" s="126"/>
      <c r="G752" s="125"/>
      <c r="H752" s="125"/>
      <c r="I752" s="125"/>
      <c r="J752" s="125"/>
      <c r="K752" s="125"/>
      <c r="L752" s="125"/>
      <c r="M752" s="125"/>
      <c r="N752" s="129"/>
      <c r="O752" s="125"/>
      <c r="P752" s="173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spans="1:26" ht="15.75" customHeight="1">
      <c r="A753" s="125"/>
      <c r="B753" s="125"/>
      <c r="C753" s="125"/>
      <c r="D753" s="125"/>
      <c r="E753" s="125"/>
      <c r="F753" s="126"/>
      <c r="G753" s="125"/>
      <c r="H753" s="125"/>
      <c r="I753" s="125"/>
      <c r="J753" s="125"/>
      <c r="K753" s="125"/>
      <c r="L753" s="125"/>
      <c r="M753" s="125"/>
      <c r="N753" s="129"/>
      <c r="O753" s="125"/>
      <c r="P753" s="173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spans="1:26" ht="15.75" customHeight="1">
      <c r="A754" s="125"/>
      <c r="B754" s="125"/>
      <c r="C754" s="125"/>
      <c r="D754" s="125"/>
      <c r="E754" s="125"/>
      <c r="F754" s="126"/>
      <c r="G754" s="125"/>
      <c r="H754" s="125"/>
      <c r="I754" s="125"/>
      <c r="J754" s="125"/>
      <c r="K754" s="125"/>
      <c r="L754" s="125"/>
      <c r="M754" s="125"/>
      <c r="N754" s="129"/>
      <c r="O754" s="125"/>
      <c r="P754" s="173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spans="1:26" ht="15.75" customHeight="1">
      <c r="A755" s="125"/>
      <c r="B755" s="125"/>
      <c r="C755" s="125"/>
      <c r="D755" s="125"/>
      <c r="E755" s="125"/>
      <c r="F755" s="126"/>
      <c r="G755" s="125"/>
      <c r="H755" s="125"/>
      <c r="I755" s="125"/>
      <c r="J755" s="125"/>
      <c r="K755" s="125"/>
      <c r="L755" s="125"/>
      <c r="M755" s="125"/>
      <c r="N755" s="129"/>
      <c r="O755" s="125"/>
      <c r="P755" s="173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spans="1:26" ht="15.75" customHeight="1">
      <c r="A756" s="125"/>
      <c r="B756" s="125"/>
      <c r="C756" s="125"/>
      <c r="D756" s="125"/>
      <c r="E756" s="125"/>
      <c r="F756" s="126"/>
      <c r="G756" s="125"/>
      <c r="H756" s="125"/>
      <c r="I756" s="125"/>
      <c r="J756" s="125"/>
      <c r="K756" s="125"/>
      <c r="L756" s="125"/>
      <c r="M756" s="125"/>
      <c r="N756" s="129"/>
      <c r="O756" s="125"/>
      <c r="P756" s="173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spans="1:26" ht="15.75" customHeight="1">
      <c r="A757" s="125"/>
      <c r="B757" s="125"/>
      <c r="C757" s="125"/>
      <c r="D757" s="125"/>
      <c r="E757" s="125"/>
      <c r="F757" s="126"/>
      <c r="G757" s="125"/>
      <c r="H757" s="125"/>
      <c r="I757" s="125"/>
      <c r="J757" s="125"/>
      <c r="K757" s="125"/>
      <c r="L757" s="125"/>
      <c r="M757" s="125"/>
      <c r="N757" s="129"/>
      <c r="O757" s="125"/>
      <c r="P757" s="173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spans="1:26" ht="15.75" customHeight="1">
      <c r="A758" s="125"/>
      <c r="B758" s="125"/>
      <c r="C758" s="125"/>
      <c r="D758" s="125"/>
      <c r="E758" s="125"/>
      <c r="F758" s="126"/>
      <c r="G758" s="125"/>
      <c r="H758" s="125"/>
      <c r="I758" s="125"/>
      <c r="J758" s="125"/>
      <c r="K758" s="125"/>
      <c r="L758" s="125"/>
      <c r="M758" s="125"/>
      <c r="N758" s="129"/>
      <c r="O758" s="125"/>
      <c r="P758" s="173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spans="1:26" ht="15.75" customHeight="1">
      <c r="A759" s="125"/>
      <c r="B759" s="125"/>
      <c r="C759" s="125"/>
      <c r="D759" s="125"/>
      <c r="E759" s="125"/>
      <c r="F759" s="126"/>
      <c r="G759" s="125"/>
      <c r="H759" s="125"/>
      <c r="I759" s="125"/>
      <c r="J759" s="125"/>
      <c r="K759" s="125"/>
      <c r="L759" s="125"/>
      <c r="M759" s="125"/>
      <c r="N759" s="129"/>
      <c r="O759" s="125"/>
      <c r="P759" s="173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spans="1:26" ht="15.75" customHeight="1">
      <c r="A760" s="125"/>
      <c r="B760" s="125"/>
      <c r="C760" s="125"/>
      <c r="D760" s="125"/>
      <c r="E760" s="125"/>
      <c r="F760" s="126"/>
      <c r="G760" s="125"/>
      <c r="H760" s="125"/>
      <c r="I760" s="125"/>
      <c r="J760" s="125"/>
      <c r="K760" s="125"/>
      <c r="L760" s="125"/>
      <c r="M760" s="125"/>
      <c r="N760" s="129"/>
      <c r="O760" s="125"/>
      <c r="P760" s="173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spans="1:26" ht="15.75" customHeight="1">
      <c r="A761" s="125"/>
      <c r="B761" s="125"/>
      <c r="C761" s="125"/>
      <c r="D761" s="125"/>
      <c r="E761" s="125"/>
      <c r="F761" s="126"/>
      <c r="G761" s="125"/>
      <c r="H761" s="125"/>
      <c r="I761" s="125"/>
      <c r="J761" s="125"/>
      <c r="K761" s="125"/>
      <c r="L761" s="125"/>
      <c r="M761" s="125"/>
      <c r="N761" s="129"/>
      <c r="O761" s="125"/>
      <c r="P761" s="173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spans="1:26" ht="15.75" customHeight="1">
      <c r="A762" s="125"/>
      <c r="B762" s="125"/>
      <c r="C762" s="125"/>
      <c r="D762" s="125"/>
      <c r="E762" s="125"/>
      <c r="F762" s="126"/>
      <c r="G762" s="125"/>
      <c r="H762" s="125"/>
      <c r="I762" s="125"/>
      <c r="J762" s="125"/>
      <c r="K762" s="125"/>
      <c r="L762" s="125"/>
      <c r="M762" s="125"/>
      <c r="N762" s="129"/>
      <c r="O762" s="125"/>
      <c r="P762" s="173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spans="1:26" ht="15.75" customHeight="1">
      <c r="A763" s="125"/>
      <c r="B763" s="125"/>
      <c r="C763" s="125"/>
      <c r="D763" s="125"/>
      <c r="E763" s="125"/>
      <c r="F763" s="126"/>
      <c r="G763" s="125"/>
      <c r="H763" s="125"/>
      <c r="I763" s="125"/>
      <c r="J763" s="125"/>
      <c r="K763" s="125"/>
      <c r="L763" s="125"/>
      <c r="M763" s="125"/>
      <c r="N763" s="129"/>
      <c r="O763" s="125"/>
      <c r="P763" s="173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spans="1:26" ht="15.75" customHeight="1">
      <c r="A764" s="125"/>
      <c r="B764" s="125"/>
      <c r="C764" s="125"/>
      <c r="D764" s="125"/>
      <c r="E764" s="125"/>
      <c r="F764" s="126"/>
      <c r="G764" s="125"/>
      <c r="H764" s="125"/>
      <c r="I764" s="125"/>
      <c r="J764" s="125"/>
      <c r="K764" s="125"/>
      <c r="L764" s="125"/>
      <c r="M764" s="125"/>
      <c r="N764" s="129"/>
      <c r="O764" s="125"/>
      <c r="P764" s="173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spans="1:26" ht="15.75" customHeight="1">
      <c r="A765" s="125"/>
      <c r="B765" s="125"/>
      <c r="C765" s="125"/>
      <c r="D765" s="125"/>
      <c r="E765" s="125"/>
      <c r="F765" s="126"/>
      <c r="G765" s="125"/>
      <c r="H765" s="125"/>
      <c r="I765" s="125"/>
      <c r="J765" s="125"/>
      <c r="K765" s="125"/>
      <c r="L765" s="125"/>
      <c r="M765" s="125"/>
      <c r="N765" s="129"/>
      <c r="O765" s="125"/>
      <c r="P765" s="173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spans="1:26" ht="15.75" customHeight="1">
      <c r="A766" s="125"/>
      <c r="B766" s="125"/>
      <c r="C766" s="125"/>
      <c r="D766" s="125"/>
      <c r="E766" s="125"/>
      <c r="F766" s="126"/>
      <c r="G766" s="125"/>
      <c r="H766" s="125"/>
      <c r="I766" s="125"/>
      <c r="J766" s="125"/>
      <c r="K766" s="125"/>
      <c r="L766" s="125"/>
      <c r="M766" s="125"/>
      <c r="N766" s="129"/>
      <c r="O766" s="125"/>
      <c r="P766" s="173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spans="1:26" ht="15.75" customHeight="1">
      <c r="A767" s="125"/>
      <c r="B767" s="125"/>
      <c r="C767" s="125"/>
      <c r="D767" s="125"/>
      <c r="E767" s="125"/>
      <c r="F767" s="126"/>
      <c r="G767" s="125"/>
      <c r="H767" s="125"/>
      <c r="I767" s="125"/>
      <c r="J767" s="125"/>
      <c r="K767" s="125"/>
      <c r="L767" s="125"/>
      <c r="M767" s="125"/>
      <c r="N767" s="129"/>
      <c r="O767" s="125"/>
      <c r="P767" s="173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spans="1:26" ht="15.75" customHeight="1">
      <c r="A768" s="125"/>
      <c r="B768" s="125"/>
      <c r="C768" s="125"/>
      <c r="D768" s="125"/>
      <c r="E768" s="125"/>
      <c r="F768" s="126"/>
      <c r="G768" s="125"/>
      <c r="H768" s="125"/>
      <c r="I768" s="125"/>
      <c r="J768" s="125"/>
      <c r="K768" s="125"/>
      <c r="L768" s="125"/>
      <c r="M768" s="125"/>
      <c r="N768" s="129"/>
      <c r="O768" s="125"/>
      <c r="P768" s="173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spans="1:26" ht="15.75" customHeight="1">
      <c r="A769" s="125"/>
      <c r="B769" s="125"/>
      <c r="C769" s="125"/>
      <c r="D769" s="125"/>
      <c r="E769" s="125"/>
      <c r="F769" s="126"/>
      <c r="G769" s="125"/>
      <c r="H769" s="125"/>
      <c r="I769" s="125"/>
      <c r="J769" s="125"/>
      <c r="K769" s="125"/>
      <c r="L769" s="125"/>
      <c r="M769" s="125"/>
      <c r="N769" s="129"/>
      <c r="O769" s="125"/>
      <c r="P769" s="173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spans="1:26" ht="15.75" customHeight="1">
      <c r="A770" s="125"/>
      <c r="B770" s="125"/>
      <c r="C770" s="125"/>
      <c r="D770" s="125"/>
      <c r="E770" s="125"/>
      <c r="F770" s="126"/>
      <c r="G770" s="125"/>
      <c r="H770" s="125"/>
      <c r="I770" s="125"/>
      <c r="J770" s="125"/>
      <c r="K770" s="125"/>
      <c r="L770" s="125"/>
      <c r="M770" s="125"/>
      <c r="N770" s="129"/>
      <c r="O770" s="125"/>
      <c r="P770" s="173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spans="1:26" ht="15.75" customHeight="1">
      <c r="A771" s="125"/>
      <c r="B771" s="125"/>
      <c r="C771" s="125"/>
      <c r="D771" s="125"/>
      <c r="E771" s="125"/>
      <c r="F771" s="126"/>
      <c r="G771" s="125"/>
      <c r="H771" s="125"/>
      <c r="I771" s="125"/>
      <c r="J771" s="125"/>
      <c r="K771" s="125"/>
      <c r="L771" s="125"/>
      <c r="M771" s="125"/>
      <c r="N771" s="129"/>
      <c r="O771" s="125"/>
      <c r="P771" s="173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spans="1:26" ht="15.75" customHeight="1">
      <c r="A772" s="125"/>
      <c r="B772" s="125"/>
      <c r="C772" s="125"/>
      <c r="D772" s="125"/>
      <c r="E772" s="125"/>
      <c r="F772" s="126"/>
      <c r="G772" s="125"/>
      <c r="H772" s="125"/>
      <c r="I772" s="125"/>
      <c r="J772" s="125"/>
      <c r="K772" s="125"/>
      <c r="L772" s="125"/>
      <c r="M772" s="125"/>
      <c r="N772" s="129"/>
      <c r="O772" s="125"/>
      <c r="P772" s="173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spans="1:26" ht="15.75" customHeight="1">
      <c r="A773" s="125"/>
      <c r="B773" s="125"/>
      <c r="C773" s="125"/>
      <c r="D773" s="125"/>
      <c r="E773" s="125"/>
      <c r="F773" s="126"/>
      <c r="G773" s="125"/>
      <c r="H773" s="125"/>
      <c r="I773" s="125"/>
      <c r="J773" s="125"/>
      <c r="K773" s="125"/>
      <c r="L773" s="125"/>
      <c r="M773" s="125"/>
      <c r="N773" s="129"/>
      <c r="O773" s="125"/>
      <c r="P773" s="173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spans="1:26" ht="15.75" customHeight="1">
      <c r="A774" s="125"/>
      <c r="B774" s="125"/>
      <c r="C774" s="125"/>
      <c r="D774" s="125"/>
      <c r="E774" s="125"/>
      <c r="F774" s="126"/>
      <c r="G774" s="125"/>
      <c r="H774" s="125"/>
      <c r="I774" s="125"/>
      <c r="J774" s="125"/>
      <c r="K774" s="125"/>
      <c r="L774" s="125"/>
      <c r="M774" s="125"/>
      <c r="N774" s="129"/>
      <c r="O774" s="125"/>
      <c r="P774" s="173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spans="1:26" ht="15.75" customHeight="1">
      <c r="A775" s="125"/>
      <c r="B775" s="125"/>
      <c r="C775" s="125"/>
      <c r="D775" s="125"/>
      <c r="E775" s="125"/>
      <c r="F775" s="126"/>
      <c r="G775" s="125"/>
      <c r="H775" s="125"/>
      <c r="I775" s="125"/>
      <c r="J775" s="125"/>
      <c r="K775" s="125"/>
      <c r="L775" s="125"/>
      <c r="M775" s="125"/>
      <c r="N775" s="129"/>
      <c r="O775" s="125"/>
      <c r="P775" s="173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spans="1:26" ht="15.75" customHeight="1">
      <c r="A776" s="125"/>
      <c r="B776" s="125"/>
      <c r="C776" s="125"/>
      <c r="D776" s="125"/>
      <c r="E776" s="125"/>
      <c r="F776" s="126"/>
      <c r="G776" s="125"/>
      <c r="H776" s="125"/>
      <c r="I776" s="125"/>
      <c r="J776" s="125"/>
      <c r="K776" s="125"/>
      <c r="L776" s="125"/>
      <c r="M776" s="125"/>
      <c r="N776" s="129"/>
      <c r="O776" s="125"/>
      <c r="P776" s="173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spans="1:26" ht="15.75" customHeight="1">
      <c r="A777" s="125"/>
      <c r="B777" s="125"/>
      <c r="C777" s="125"/>
      <c r="D777" s="125"/>
      <c r="E777" s="125"/>
      <c r="F777" s="126"/>
      <c r="G777" s="125"/>
      <c r="H777" s="125"/>
      <c r="I777" s="125"/>
      <c r="J777" s="125"/>
      <c r="K777" s="125"/>
      <c r="L777" s="125"/>
      <c r="M777" s="125"/>
      <c r="N777" s="129"/>
      <c r="O777" s="125"/>
      <c r="P777" s="173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spans="1:26" ht="15.75" customHeight="1">
      <c r="A778" s="125"/>
      <c r="B778" s="125"/>
      <c r="C778" s="125"/>
      <c r="D778" s="125"/>
      <c r="E778" s="125"/>
      <c r="F778" s="126"/>
      <c r="G778" s="125"/>
      <c r="H778" s="125"/>
      <c r="I778" s="125"/>
      <c r="J778" s="125"/>
      <c r="K778" s="125"/>
      <c r="L778" s="125"/>
      <c r="M778" s="125"/>
      <c r="N778" s="129"/>
      <c r="O778" s="125"/>
      <c r="P778" s="173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spans="1:26" ht="15.75" customHeight="1">
      <c r="A779" s="125"/>
      <c r="B779" s="125"/>
      <c r="C779" s="125"/>
      <c r="D779" s="125"/>
      <c r="E779" s="125"/>
      <c r="F779" s="126"/>
      <c r="G779" s="125"/>
      <c r="H779" s="125"/>
      <c r="I779" s="125"/>
      <c r="J779" s="125"/>
      <c r="K779" s="125"/>
      <c r="L779" s="125"/>
      <c r="M779" s="125"/>
      <c r="N779" s="129"/>
      <c r="O779" s="125"/>
      <c r="P779" s="173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spans="1:26" ht="15.75" customHeight="1">
      <c r="A780" s="125"/>
      <c r="B780" s="125"/>
      <c r="C780" s="125"/>
      <c r="D780" s="125"/>
      <c r="E780" s="125"/>
      <c r="F780" s="126"/>
      <c r="G780" s="125"/>
      <c r="H780" s="125"/>
      <c r="I780" s="125"/>
      <c r="J780" s="125"/>
      <c r="K780" s="125"/>
      <c r="L780" s="125"/>
      <c r="M780" s="125"/>
      <c r="N780" s="129"/>
      <c r="O780" s="125"/>
      <c r="P780" s="173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spans="1:26" ht="15.75" customHeight="1">
      <c r="A781" s="125"/>
      <c r="B781" s="125"/>
      <c r="C781" s="125"/>
      <c r="D781" s="125"/>
      <c r="E781" s="125"/>
      <c r="F781" s="126"/>
      <c r="G781" s="125"/>
      <c r="H781" s="125"/>
      <c r="I781" s="125"/>
      <c r="J781" s="125"/>
      <c r="K781" s="125"/>
      <c r="L781" s="125"/>
      <c r="M781" s="125"/>
      <c r="N781" s="129"/>
      <c r="O781" s="125"/>
      <c r="P781" s="173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spans="1:26" ht="15.75" customHeight="1">
      <c r="A782" s="125"/>
      <c r="B782" s="125"/>
      <c r="C782" s="125"/>
      <c r="D782" s="125"/>
      <c r="E782" s="125"/>
      <c r="F782" s="126"/>
      <c r="G782" s="125"/>
      <c r="H782" s="125"/>
      <c r="I782" s="125"/>
      <c r="J782" s="125"/>
      <c r="K782" s="125"/>
      <c r="L782" s="125"/>
      <c r="M782" s="125"/>
      <c r="N782" s="129"/>
      <c r="O782" s="125"/>
      <c r="P782" s="173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spans="1:26" ht="15.75" customHeight="1">
      <c r="A783" s="125"/>
      <c r="B783" s="125"/>
      <c r="C783" s="125"/>
      <c r="D783" s="125"/>
      <c r="E783" s="125"/>
      <c r="F783" s="126"/>
      <c r="G783" s="125"/>
      <c r="H783" s="125"/>
      <c r="I783" s="125"/>
      <c r="J783" s="125"/>
      <c r="K783" s="125"/>
      <c r="L783" s="125"/>
      <c r="M783" s="125"/>
      <c r="N783" s="129"/>
      <c r="O783" s="125"/>
      <c r="P783" s="173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spans="1:26" ht="15.75" customHeight="1">
      <c r="A784" s="125"/>
      <c r="B784" s="125"/>
      <c r="C784" s="125"/>
      <c r="D784" s="125"/>
      <c r="E784" s="125"/>
      <c r="F784" s="126"/>
      <c r="G784" s="125"/>
      <c r="H784" s="125"/>
      <c r="I784" s="125"/>
      <c r="J784" s="125"/>
      <c r="K784" s="125"/>
      <c r="L784" s="125"/>
      <c r="M784" s="125"/>
      <c r="N784" s="129"/>
      <c r="O784" s="125"/>
      <c r="P784" s="173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spans="1:26" ht="15.75" customHeight="1">
      <c r="A785" s="125"/>
      <c r="B785" s="125"/>
      <c r="C785" s="125"/>
      <c r="D785" s="125"/>
      <c r="E785" s="125"/>
      <c r="F785" s="126"/>
      <c r="G785" s="125"/>
      <c r="H785" s="125"/>
      <c r="I785" s="125"/>
      <c r="J785" s="125"/>
      <c r="K785" s="125"/>
      <c r="L785" s="125"/>
      <c r="M785" s="125"/>
      <c r="N785" s="129"/>
      <c r="O785" s="125"/>
      <c r="P785" s="173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spans="1:26" ht="15.75" customHeight="1">
      <c r="A786" s="125"/>
      <c r="B786" s="125"/>
      <c r="C786" s="125"/>
      <c r="D786" s="125"/>
      <c r="E786" s="125"/>
      <c r="F786" s="126"/>
      <c r="G786" s="125"/>
      <c r="H786" s="125"/>
      <c r="I786" s="125"/>
      <c r="J786" s="125"/>
      <c r="K786" s="125"/>
      <c r="L786" s="125"/>
      <c r="M786" s="125"/>
      <c r="N786" s="129"/>
      <c r="O786" s="125"/>
      <c r="P786" s="173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spans="1:26" ht="15.75" customHeight="1">
      <c r="A787" s="125"/>
      <c r="B787" s="125"/>
      <c r="C787" s="125"/>
      <c r="D787" s="125"/>
      <c r="E787" s="125"/>
      <c r="F787" s="126"/>
      <c r="G787" s="125"/>
      <c r="H787" s="125"/>
      <c r="I787" s="125"/>
      <c r="J787" s="125"/>
      <c r="K787" s="125"/>
      <c r="L787" s="125"/>
      <c r="M787" s="125"/>
      <c r="N787" s="129"/>
      <c r="O787" s="125"/>
      <c r="P787" s="173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spans="1:26" ht="15.75" customHeight="1">
      <c r="A788" s="125"/>
      <c r="B788" s="125"/>
      <c r="C788" s="125"/>
      <c r="D788" s="125"/>
      <c r="E788" s="125"/>
      <c r="F788" s="126"/>
      <c r="G788" s="125"/>
      <c r="H788" s="125"/>
      <c r="I788" s="125"/>
      <c r="J788" s="125"/>
      <c r="K788" s="125"/>
      <c r="L788" s="125"/>
      <c r="M788" s="125"/>
      <c r="N788" s="129"/>
      <c r="O788" s="125"/>
      <c r="P788" s="173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spans="1:26" ht="15.75" customHeight="1">
      <c r="A789" s="125"/>
      <c r="B789" s="125"/>
      <c r="C789" s="125"/>
      <c r="D789" s="125"/>
      <c r="E789" s="125"/>
      <c r="F789" s="126"/>
      <c r="G789" s="125"/>
      <c r="H789" s="125"/>
      <c r="I789" s="125"/>
      <c r="J789" s="125"/>
      <c r="K789" s="125"/>
      <c r="L789" s="125"/>
      <c r="M789" s="125"/>
      <c r="N789" s="129"/>
      <c r="O789" s="125"/>
      <c r="P789" s="173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spans="1:26" ht="15.75" customHeight="1">
      <c r="A790" s="125"/>
      <c r="B790" s="125"/>
      <c r="C790" s="125"/>
      <c r="D790" s="125"/>
      <c r="E790" s="125"/>
      <c r="F790" s="126"/>
      <c r="G790" s="125"/>
      <c r="H790" s="125"/>
      <c r="I790" s="125"/>
      <c r="J790" s="125"/>
      <c r="K790" s="125"/>
      <c r="L790" s="125"/>
      <c r="M790" s="125"/>
      <c r="N790" s="129"/>
      <c r="O790" s="125"/>
      <c r="P790" s="173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spans="1:26" ht="15.75" customHeight="1">
      <c r="A791" s="125"/>
      <c r="B791" s="125"/>
      <c r="C791" s="125"/>
      <c r="D791" s="125"/>
      <c r="E791" s="125"/>
      <c r="F791" s="126"/>
      <c r="G791" s="125"/>
      <c r="H791" s="125"/>
      <c r="I791" s="125"/>
      <c r="J791" s="125"/>
      <c r="K791" s="125"/>
      <c r="L791" s="125"/>
      <c r="M791" s="125"/>
      <c r="N791" s="129"/>
      <c r="O791" s="125"/>
      <c r="P791" s="173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spans="1:26" ht="15.75" customHeight="1">
      <c r="A792" s="125"/>
      <c r="B792" s="125"/>
      <c r="C792" s="125"/>
      <c r="D792" s="125"/>
      <c r="E792" s="125"/>
      <c r="F792" s="126"/>
      <c r="G792" s="125"/>
      <c r="H792" s="125"/>
      <c r="I792" s="125"/>
      <c r="J792" s="125"/>
      <c r="K792" s="125"/>
      <c r="L792" s="125"/>
      <c r="M792" s="125"/>
      <c r="N792" s="129"/>
      <c r="O792" s="125"/>
      <c r="P792" s="173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spans="1:26" ht="15.75" customHeight="1">
      <c r="A793" s="125"/>
      <c r="B793" s="125"/>
      <c r="C793" s="125"/>
      <c r="D793" s="125"/>
      <c r="E793" s="125"/>
      <c r="F793" s="126"/>
      <c r="G793" s="125"/>
      <c r="H793" s="125"/>
      <c r="I793" s="125"/>
      <c r="J793" s="125"/>
      <c r="K793" s="125"/>
      <c r="L793" s="125"/>
      <c r="M793" s="125"/>
      <c r="N793" s="129"/>
      <c r="O793" s="125"/>
      <c r="P793" s="173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spans="1:26" ht="15.75" customHeight="1">
      <c r="A794" s="125"/>
      <c r="B794" s="125"/>
      <c r="C794" s="125"/>
      <c r="D794" s="125"/>
      <c r="E794" s="125"/>
      <c r="F794" s="126"/>
      <c r="G794" s="125"/>
      <c r="H794" s="125"/>
      <c r="I794" s="125"/>
      <c r="J794" s="125"/>
      <c r="K794" s="125"/>
      <c r="L794" s="125"/>
      <c r="M794" s="125"/>
      <c r="N794" s="129"/>
      <c r="O794" s="125"/>
      <c r="P794" s="173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spans="1:26" ht="15.75" customHeight="1">
      <c r="A795" s="125"/>
      <c r="B795" s="125"/>
      <c r="C795" s="125"/>
      <c r="D795" s="125"/>
      <c r="E795" s="125"/>
      <c r="F795" s="126"/>
      <c r="G795" s="125"/>
      <c r="H795" s="125"/>
      <c r="I795" s="125"/>
      <c r="J795" s="125"/>
      <c r="K795" s="125"/>
      <c r="L795" s="125"/>
      <c r="M795" s="125"/>
      <c r="N795" s="129"/>
      <c r="O795" s="125"/>
      <c r="P795" s="173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spans="1:26" ht="15.75" customHeight="1">
      <c r="A796" s="125"/>
      <c r="B796" s="125"/>
      <c r="C796" s="125"/>
      <c r="D796" s="125"/>
      <c r="E796" s="125"/>
      <c r="F796" s="126"/>
      <c r="G796" s="125"/>
      <c r="H796" s="125"/>
      <c r="I796" s="125"/>
      <c r="J796" s="125"/>
      <c r="K796" s="125"/>
      <c r="L796" s="125"/>
      <c r="M796" s="125"/>
      <c r="N796" s="129"/>
      <c r="O796" s="125"/>
      <c r="P796" s="173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spans="1:26" ht="15.75" customHeight="1">
      <c r="A797" s="125"/>
      <c r="B797" s="125"/>
      <c r="C797" s="125"/>
      <c r="D797" s="125"/>
      <c r="E797" s="125"/>
      <c r="F797" s="126"/>
      <c r="G797" s="125"/>
      <c r="H797" s="125"/>
      <c r="I797" s="125"/>
      <c r="J797" s="125"/>
      <c r="K797" s="125"/>
      <c r="L797" s="125"/>
      <c r="M797" s="125"/>
      <c r="N797" s="129"/>
      <c r="O797" s="125"/>
      <c r="P797" s="173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spans="1:26" ht="15.75" customHeight="1">
      <c r="A798" s="125"/>
      <c r="B798" s="125"/>
      <c r="C798" s="125"/>
      <c r="D798" s="125"/>
      <c r="E798" s="125"/>
      <c r="F798" s="126"/>
      <c r="G798" s="125"/>
      <c r="H798" s="125"/>
      <c r="I798" s="125"/>
      <c r="J798" s="125"/>
      <c r="K798" s="125"/>
      <c r="L798" s="125"/>
      <c r="M798" s="125"/>
      <c r="N798" s="129"/>
      <c r="O798" s="125"/>
      <c r="P798" s="173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spans="1:26" ht="15.75" customHeight="1">
      <c r="A799" s="125"/>
      <c r="B799" s="125"/>
      <c r="C799" s="125"/>
      <c r="D799" s="125"/>
      <c r="E799" s="125"/>
      <c r="F799" s="126"/>
      <c r="G799" s="125"/>
      <c r="H799" s="125"/>
      <c r="I799" s="125"/>
      <c r="J799" s="125"/>
      <c r="K799" s="125"/>
      <c r="L799" s="125"/>
      <c r="M799" s="125"/>
      <c r="N799" s="129"/>
      <c r="O799" s="125"/>
      <c r="P799" s="173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spans="1:26" ht="15.75" customHeight="1">
      <c r="A800" s="125"/>
      <c r="B800" s="125"/>
      <c r="C800" s="125"/>
      <c r="D800" s="125"/>
      <c r="E800" s="125"/>
      <c r="F800" s="126"/>
      <c r="G800" s="125"/>
      <c r="H800" s="125"/>
      <c r="I800" s="125"/>
      <c r="J800" s="125"/>
      <c r="K800" s="125"/>
      <c r="L800" s="125"/>
      <c r="M800" s="125"/>
      <c r="N800" s="129"/>
      <c r="O800" s="125"/>
      <c r="P800" s="173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spans="1:26" ht="15.75" customHeight="1">
      <c r="A801" s="125"/>
      <c r="B801" s="125"/>
      <c r="C801" s="125"/>
      <c r="D801" s="125"/>
      <c r="E801" s="125"/>
      <c r="F801" s="126"/>
      <c r="G801" s="125"/>
      <c r="H801" s="125"/>
      <c r="I801" s="125"/>
      <c r="J801" s="125"/>
      <c r="K801" s="125"/>
      <c r="L801" s="125"/>
      <c r="M801" s="125"/>
      <c r="N801" s="129"/>
      <c r="O801" s="125"/>
      <c r="P801" s="173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spans="1:26" ht="15.75" customHeight="1">
      <c r="A802" s="125"/>
      <c r="B802" s="125"/>
      <c r="C802" s="125"/>
      <c r="D802" s="125"/>
      <c r="E802" s="125"/>
      <c r="F802" s="126"/>
      <c r="G802" s="125"/>
      <c r="H802" s="125"/>
      <c r="I802" s="125"/>
      <c r="J802" s="125"/>
      <c r="K802" s="125"/>
      <c r="L802" s="125"/>
      <c r="M802" s="125"/>
      <c r="N802" s="129"/>
      <c r="O802" s="125"/>
      <c r="P802" s="173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spans="1:26" ht="15.75" customHeight="1">
      <c r="A803" s="125"/>
      <c r="B803" s="125"/>
      <c r="C803" s="125"/>
      <c r="D803" s="125"/>
      <c r="E803" s="125"/>
      <c r="F803" s="126"/>
      <c r="G803" s="125"/>
      <c r="H803" s="125"/>
      <c r="I803" s="125"/>
      <c r="J803" s="125"/>
      <c r="K803" s="125"/>
      <c r="L803" s="125"/>
      <c r="M803" s="125"/>
      <c r="N803" s="129"/>
      <c r="O803" s="125"/>
      <c r="P803" s="173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spans="1:26" ht="15.75" customHeight="1">
      <c r="A804" s="125"/>
      <c r="B804" s="125"/>
      <c r="C804" s="125"/>
      <c r="D804" s="125"/>
      <c r="E804" s="125"/>
      <c r="F804" s="126"/>
      <c r="G804" s="125"/>
      <c r="H804" s="125"/>
      <c r="I804" s="125"/>
      <c r="J804" s="125"/>
      <c r="K804" s="125"/>
      <c r="L804" s="125"/>
      <c r="M804" s="125"/>
      <c r="N804" s="129"/>
      <c r="O804" s="125"/>
      <c r="P804" s="173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spans="1:26" ht="15.75" customHeight="1">
      <c r="A805" s="125"/>
      <c r="B805" s="125"/>
      <c r="C805" s="125"/>
      <c r="D805" s="125"/>
      <c r="E805" s="125"/>
      <c r="F805" s="126"/>
      <c r="G805" s="125"/>
      <c r="H805" s="125"/>
      <c r="I805" s="125"/>
      <c r="J805" s="125"/>
      <c r="K805" s="125"/>
      <c r="L805" s="125"/>
      <c r="M805" s="125"/>
      <c r="N805" s="129"/>
      <c r="O805" s="125"/>
      <c r="P805" s="173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spans="1:26" ht="15.75" customHeight="1">
      <c r="A806" s="125"/>
      <c r="B806" s="125"/>
      <c r="C806" s="125"/>
      <c r="D806" s="125"/>
      <c r="E806" s="125"/>
      <c r="F806" s="126"/>
      <c r="G806" s="125"/>
      <c r="H806" s="125"/>
      <c r="I806" s="125"/>
      <c r="J806" s="125"/>
      <c r="K806" s="125"/>
      <c r="L806" s="125"/>
      <c r="M806" s="125"/>
      <c r="N806" s="129"/>
      <c r="O806" s="125"/>
      <c r="P806" s="173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spans="1:26" ht="15.75" customHeight="1">
      <c r="A807" s="125"/>
      <c r="B807" s="125"/>
      <c r="C807" s="125"/>
      <c r="D807" s="125"/>
      <c r="E807" s="125"/>
      <c r="F807" s="126"/>
      <c r="G807" s="125"/>
      <c r="H807" s="125"/>
      <c r="I807" s="125"/>
      <c r="J807" s="125"/>
      <c r="K807" s="125"/>
      <c r="L807" s="125"/>
      <c r="M807" s="125"/>
      <c r="N807" s="129"/>
      <c r="O807" s="125"/>
      <c r="P807" s="173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spans="1:26" ht="15.75" customHeight="1">
      <c r="A808" s="125"/>
      <c r="B808" s="125"/>
      <c r="C808" s="125"/>
      <c r="D808" s="125"/>
      <c r="E808" s="125"/>
      <c r="F808" s="126"/>
      <c r="G808" s="125"/>
      <c r="H808" s="125"/>
      <c r="I808" s="125"/>
      <c r="J808" s="125"/>
      <c r="K808" s="125"/>
      <c r="L808" s="125"/>
      <c r="M808" s="125"/>
      <c r="N808" s="129"/>
      <c r="O808" s="125"/>
      <c r="P808" s="173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spans="1:26" ht="15.75" customHeight="1">
      <c r="A809" s="125"/>
      <c r="B809" s="125"/>
      <c r="C809" s="125"/>
      <c r="D809" s="125"/>
      <c r="E809" s="125"/>
      <c r="F809" s="126"/>
      <c r="G809" s="125"/>
      <c r="H809" s="125"/>
      <c r="I809" s="125"/>
      <c r="J809" s="125"/>
      <c r="K809" s="125"/>
      <c r="L809" s="125"/>
      <c r="M809" s="125"/>
      <c r="N809" s="129"/>
      <c r="O809" s="125"/>
      <c r="P809" s="173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spans="1:26" ht="15.75" customHeight="1">
      <c r="A810" s="125"/>
      <c r="B810" s="125"/>
      <c r="C810" s="125"/>
      <c r="D810" s="125"/>
      <c r="E810" s="125"/>
      <c r="F810" s="126"/>
      <c r="G810" s="125"/>
      <c r="H810" s="125"/>
      <c r="I810" s="125"/>
      <c r="J810" s="125"/>
      <c r="K810" s="125"/>
      <c r="L810" s="125"/>
      <c r="M810" s="125"/>
      <c r="N810" s="129"/>
      <c r="O810" s="125"/>
      <c r="P810" s="173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spans="1:26" ht="15.75" customHeight="1">
      <c r="A811" s="125"/>
      <c r="B811" s="125"/>
      <c r="C811" s="125"/>
      <c r="D811" s="125"/>
      <c r="E811" s="125"/>
      <c r="F811" s="126"/>
      <c r="G811" s="125"/>
      <c r="H811" s="125"/>
      <c r="I811" s="125"/>
      <c r="J811" s="125"/>
      <c r="K811" s="125"/>
      <c r="L811" s="125"/>
      <c r="M811" s="125"/>
      <c r="N811" s="129"/>
      <c r="O811" s="125"/>
      <c r="P811" s="173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spans="1:26" ht="15.75" customHeight="1">
      <c r="A812" s="125"/>
      <c r="B812" s="125"/>
      <c r="C812" s="125"/>
      <c r="D812" s="125"/>
      <c r="E812" s="125"/>
      <c r="F812" s="126"/>
      <c r="G812" s="125"/>
      <c r="H812" s="125"/>
      <c r="I812" s="125"/>
      <c r="J812" s="125"/>
      <c r="K812" s="125"/>
      <c r="L812" s="125"/>
      <c r="M812" s="125"/>
      <c r="N812" s="129"/>
      <c r="O812" s="125"/>
      <c r="P812" s="173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spans="1:26" ht="15.75" customHeight="1">
      <c r="A813" s="125"/>
      <c r="B813" s="125"/>
      <c r="C813" s="125"/>
      <c r="D813" s="125"/>
      <c r="E813" s="125"/>
      <c r="F813" s="126"/>
      <c r="G813" s="125"/>
      <c r="H813" s="125"/>
      <c r="I813" s="125"/>
      <c r="J813" s="125"/>
      <c r="K813" s="125"/>
      <c r="L813" s="125"/>
      <c r="M813" s="125"/>
      <c r="N813" s="129"/>
      <c r="O813" s="125"/>
      <c r="P813" s="173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spans="1:26" ht="15.75" customHeight="1">
      <c r="A814" s="125"/>
      <c r="B814" s="125"/>
      <c r="C814" s="125"/>
      <c r="D814" s="125"/>
      <c r="E814" s="125"/>
      <c r="F814" s="126"/>
      <c r="G814" s="125"/>
      <c r="H814" s="125"/>
      <c r="I814" s="125"/>
      <c r="J814" s="125"/>
      <c r="K814" s="125"/>
      <c r="L814" s="125"/>
      <c r="M814" s="125"/>
      <c r="N814" s="129"/>
      <c r="O814" s="125"/>
      <c r="P814" s="173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spans="1:26" ht="15.75" customHeight="1">
      <c r="A815" s="125"/>
      <c r="B815" s="125"/>
      <c r="C815" s="125"/>
      <c r="D815" s="125"/>
      <c r="E815" s="125"/>
      <c r="F815" s="126"/>
      <c r="G815" s="125"/>
      <c r="H815" s="125"/>
      <c r="I815" s="125"/>
      <c r="J815" s="125"/>
      <c r="K815" s="125"/>
      <c r="L815" s="125"/>
      <c r="M815" s="125"/>
      <c r="N815" s="129"/>
      <c r="O815" s="125"/>
      <c r="P815" s="173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spans="1:26" ht="15.75" customHeight="1">
      <c r="A816" s="125"/>
      <c r="B816" s="125"/>
      <c r="C816" s="125"/>
      <c r="D816" s="125"/>
      <c r="E816" s="125"/>
      <c r="F816" s="126"/>
      <c r="G816" s="125"/>
      <c r="H816" s="125"/>
      <c r="I816" s="125"/>
      <c r="J816" s="125"/>
      <c r="K816" s="125"/>
      <c r="L816" s="125"/>
      <c r="M816" s="125"/>
      <c r="N816" s="129"/>
      <c r="O816" s="125"/>
      <c r="P816" s="173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spans="1:26" ht="15.75" customHeight="1">
      <c r="A817" s="125"/>
      <c r="B817" s="125"/>
      <c r="C817" s="125"/>
      <c r="D817" s="125"/>
      <c r="E817" s="125"/>
      <c r="F817" s="126"/>
      <c r="G817" s="125"/>
      <c r="H817" s="125"/>
      <c r="I817" s="125"/>
      <c r="J817" s="125"/>
      <c r="K817" s="125"/>
      <c r="L817" s="125"/>
      <c r="M817" s="125"/>
      <c r="N817" s="129"/>
      <c r="O817" s="125"/>
      <c r="P817" s="173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spans="1:26" ht="15.75" customHeight="1">
      <c r="A818" s="125"/>
      <c r="B818" s="125"/>
      <c r="C818" s="125"/>
      <c r="D818" s="125"/>
      <c r="E818" s="125"/>
      <c r="F818" s="126"/>
      <c r="G818" s="125"/>
      <c r="H818" s="125"/>
      <c r="I818" s="125"/>
      <c r="J818" s="125"/>
      <c r="K818" s="125"/>
      <c r="L818" s="125"/>
      <c r="M818" s="125"/>
      <c r="N818" s="129"/>
      <c r="O818" s="125"/>
      <c r="P818" s="173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spans="1:26" ht="15.75" customHeight="1">
      <c r="A819" s="125"/>
      <c r="B819" s="125"/>
      <c r="C819" s="125"/>
      <c r="D819" s="125"/>
      <c r="E819" s="125"/>
      <c r="F819" s="126"/>
      <c r="G819" s="125"/>
      <c r="H819" s="125"/>
      <c r="I819" s="125"/>
      <c r="J819" s="125"/>
      <c r="K819" s="125"/>
      <c r="L819" s="125"/>
      <c r="M819" s="125"/>
      <c r="N819" s="129"/>
      <c r="O819" s="125"/>
      <c r="P819" s="173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spans="1:26" ht="15.75" customHeight="1">
      <c r="A820" s="125"/>
      <c r="B820" s="125"/>
      <c r="C820" s="125"/>
      <c r="D820" s="125"/>
      <c r="E820" s="125"/>
      <c r="F820" s="126"/>
      <c r="G820" s="125"/>
      <c r="H820" s="125"/>
      <c r="I820" s="125"/>
      <c r="J820" s="125"/>
      <c r="K820" s="125"/>
      <c r="L820" s="125"/>
      <c r="M820" s="125"/>
      <c r="N820" s="129"/>
      <c r="O820" s="125"/>
      <c r="P820" s="173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spans="1:26" ht="15.75" customHeight="1">
      <c r="A821" s="125"/>
      <c r="B821" s="125"/>
      <c r="C821" s="125"/>
      <c r="D821" s="125"/>
      <c r="E821" s="125"/>
      <c r="F821" s="126"/>
      <c r="G821" s="125"/>
      <c r="H821" s="125"/>
      <c r="I821" s="125"/>
      <c r="J821" s="125"/>
      <c r="K821" s="125"/>
      <c r="L821" s="125"/>
      <c r="M821" s="125"/>
      <c r="N821" s="129"/>
      <c r="O821" s="125"/>
      <c r="P821" s="173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spans="1:26" ht="15.75" customHeight="1">
      <c r="A822" s="125"/>
      <c r="B822" s="125"/>
      <c r="C822" s="125"/>
      <c r="D822" s="125"/>
      <c r="E822" s="125"/>
      <c r="F822" s="126"/>
      <c r="G822" s="125"/>
      <c r="H822" s="125"/>
      <c r="I822" s="125"/>
      <c r="J822" s="125"/>
      <c r="K822" s="125"/>
      <c r="L822" s="125"/>
      <c r="M822" s="125"/>
      <c r="N822" s="129"/>
      <c r="O822" s="125"/>
      <c r="P822" s="173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spans="1:26" ht="15.75" customHeight="1">
      <c r="A823" s="125"/>
      <c r="B823" s="125"/>
      <c r="C823" s="125"/>
      <c r="D823" s="125"/>
      <c r="E823" s="125"/>
      <c r="F823" s="126"/>
      <c r="G823" s="125"/>
      <c r="H823" s="125"/>
      <c r="I823" s="125"/>
      <c r="J823" s="125"/>
      <c r="K823" s="125"/>
      <c r="L823" s="125"/>
      <c r="M823" s="125"/>
      <c r="N823" s="129"/>
      <c r="O823" s="125"/>
      <c r="P823" s="173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spans="1:26" ht="15.75" customHeight="1">
      <c r="A824" s="125"/>
      <c r="B824" s="125"/>
      <c r="C824" s="125"/>
      <c r="D824" s="125"/>
      <c r="E824" s="125"/>
      <c r="F824" s="126"/>
      <c r="G824" s="125"/>
      <c r="H824" s="125"/>
      <c r="I824" s="125"/>
      <c r="J824" s="125"/>
      <c r="K824" s="125"/>
      <c r="L824" s="125"/>
      <c r="M824" s="125"/>
      <c r="N824" s="129"/>
      <c r="O824" s="125"/>
      <c r="P824" s="173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spans="1:26" ht="15.75" customHeight="1">
      <c r="A825" s="125"/>
      <c r="B825" s="125"/>
      <c r="C825" s="125"/>
      <c r="D825" s="125"/>
      <c r="E825" s="125"/>
      <c r="F825" s="126"/>
      <c r="G825" s="125"/>
      <c r="H825" s="125"/>
      <c r="I825" s="125"/>
      <c r="J825" s="125"/>
      <c r="K825" s="125"/>
      <c r="L825" s="125"/>
      <c r="M825" s="125"/>
      <c r="N825" s="129"/>
      <c r="O825" s="125"/>
      <c r="P825" s="173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spans="1:26" ht="15.75" customHeight="1">
      <c r="A826" s="125"/>
      <c r="B826" s="125"/>
      <c r="C826" s="125"/>
      <c r="D826" s="125"/>
      <c r="E826" s="125"/>
      <c r="F826" s="126"/>
      <c r="G826" s="125"/>
      <c r="H826" s="125"/>
      <c r="I826" s="125"/>
      <c r="J826" s="125"/>
      <c r="K826" s="125"/>
      <c r="L826" s="125"/>
      <c r="M826" s="125"/>
      <c r="N826" s="129"/>
      <c r="O826" s="125"/>
      <c r="P826" s="173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spans="1:26" ht="15.75" customHeight="1">
      <c r="A827" s="125"/>
      <c r="B827" s="125"/>
      <c r="C827" s="125"/>
      <c r="D827" s="125"/>
      <c r="E827" s="125"/>
      <c r="F827" s="126"/>
      <c r="G827" s="125"/>
      <c r="H827" s="125"/>
      <c r="I827" s="125"/>
      <c r="J827" s="125"/>
      <c r="K827" s="125"/>
      <c r="L827" s="125"/>
      <c r="M827" s="125"/>
      <c r="N827" s="129"/>
      <c r="O827" s="125"/>
      <c r="P827" s="173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spans="1:26" ht="15.75" customHeight="1">
      <c r="A828" s="125"/>
      <c r="B828" s="125"/>
      <c r="C828" s="125"/>
      <c r="D828" s="125"/>
      <c r="E828" s="125"/>
      <c r="F828" s="126"/>
      <c r="G828" s="125"/>
      <c r="H828" s="125"/>
      <c r="I828" s="125"/>
      <c r="J828" s="125"/>
      <c r="K828" s="125"/>
      <c r="L828" s="125"/>
      <c r="M828" s="125"/>
      <c r="N828" s="129"/>
      <c r="O828" s="125"/>
      <c r="P828" s="173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spans="1:26" ht="15.75" customHeight="1">
      <c r="A829" s="125"/>
      <c r="B829" s="125"/>
      <c r="C829" s="125"/>
      <c r="D829" s="125"/>
      <c r="E829" s="125"/>
      <c r="F829" s="126"/>
      <c r="G829" s="125"/>
      <c r="H829" s="125"/>
      <c r="I829" s="125"/>
      <c r="J829" s="125"/>
      <c r="K829" s="125"/>
      <c r="L829" s="125"/>
      <c r="M829" s="125"/>
      <c r="N829" s="129"/>
      <c r="O829" s="125"/>
      <c r="P829" s="173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spans="1:26" ht="15.75" customHeight="1">
      <c r="A830" s="125"/>
      <c r="B830" s="125"/>
      <c r="C830" s="125"/>
      <c r="D830" s="125"/>
      <c r="E830" s="125"/>
      <c r="F830" s="126"/>
      <c r="G830" s="125"/>
      <c r="H830" s="125"/>
      <c r="I830" s="125"/>
      <c r="J830" s="125"/>
      <c r="K830" s="125"/>
      <c r="L830" s="125"/>
      <c r="M830" s="125"/>
      <c r="N830" s="129"/>
      <c r="O830" s="125"/>
      <c r="P830" s="173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spans="1:26" ht="15.75" customHeight="1">
      <c r="A831" s="125"/>
      <c r="B831" s="125"/>
      <c r="C831" s="125"/>
      <c r="D831" s="125"/>
      <c r="E831" s="125"/>
      <c r="F831" s="126"/>
      <c r="G831" s="125"/>
      <c r="H831" s="125"/>
      <c r="I831" s="125"/>
      <c r="J831" s="125"/>
      <c r="K831" s="125"/>
      <c r="L831" s="125"/>
      <c r="M831" s="125"/>
      <c r="N831" s="129"/>
      <c r="O831" s="125"/>
      <c r="P831" s="173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spans="1:26" ht="15.75" customHeight="1">
      <c r="A832" s="125"/>
      <c r="B832" s="125"/>
      <c r="C832" s="125"/>
      <c r="D832" s="125"/>
      <c r="E832" s="125"/>
      <c r="F832" s="126"/>
      <c r="G832" s="125"/>
      <c r="H832" s="125"/>
      <c r="I832" s="125"/>
      <c r="J832" s="125"/>
      <c r="K832" s="125"/>
      <c r="L832" s="125"/>
      <c r="M832" s="125"/>
      <c r="N832" s="129"/>
      <c r="O832" s="125"/>
      <c r="P832" s="173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spans="1:26" ht="15.75" customHeight="1">
      <c r="A833" s="125"/>
      <c r="B833" s="125"/>
      <c r="C833" s="125"/>
      <c r="D833" s="125"/>
      <c r="E833" s="125"/>
      <c r="F833" s="126"/>
      <c r="G833" s="125"/>
      <c r="H833" s="125"/>
      <c r="I833" s="125"/>
      <c r="J833" s="125"/>
      <c r="K833" s="125"/>
      <c r="L833" s="125"/>
      <c r="M833" s="125"/>
      <c r="N833" s="129"/>
      <c r="O833" s="125"/>
      <c r="P833" s="173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spans="1:26" ht="15.75" customHeight="1">
      <c r="A834" s="125"/>
      <c r="B834" s="125"/>
      <c r="C834" s="125"/>
      <c r="D834" s="125"/>
      <c r="E834" s="125"/>
      <c r="F834" s="126"/>
      <c r="G834" s="125"/>
      <c r="H834" s="125"/>
      <c r="I834" s="125"/>
      <c r="J834" s="125"/>
      <c r="K834" s="125"/>
      <c r="L834" s="125"/>
      <c r="M834" s="125"/>
      <c r="N834" s="129"/>
      <c r="O834" s="125"/>
      <c r="P834" s="173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spans="1:26" ht="15.75" customHeight="1">
      <c r="A835" s="125"/>
      <c r="B835" s="125"/>
      <c r="C835" s="125"/>
      <c r="D835" s="125"/>
      <c r="E835" s="125"/>
      <c r="F835" s="126"/>
      <c r="G835" s="125"/>
      <c r="H835" s="125"/>
      <c r="I835" s="125"/>
      <c r="J835" s="125"/>
      <c r="K835" s="125"/>
      <c r="L835" s="125"/>
      <c r="M835" s="125"/>
      <c r="N835" s="129"/>
      <c r="O835" s="125"/>
      <c r="P835" s="173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spans="1:26" ht="15.75" customHeight="1">
      <c r="A836" s="125"/>
      <c r="B836" s="125"/>
      <c r="C836" s="125"/>
      <c r="D836" s="125"/>
      <c r="E836" s="125"/>
      <c r="F836" s="126"/>
      <c r="G836" s="125"/>
      <c r="H836" s="125"/>
      <c r="I836" s="125"/>
      <c r="J836" s="125"/>
      <c r="K836" s="125"/>
      <c r="L836" s="125"/>
      <c r="M836" s="125"/>
      <c r="N836" s="129"/>
      <c r="O836" s="125"/>
      <c r="P836" s="173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spans="1:26" ht="15.75" customHeight="1">
      <c r="A837" s="125"/>
      <c r="B837" s="125"/>
      <c r="C837" s="125"/>
      <c r="D837" s="125"/>
      <c r="E837" s="125"/>
      <c r="F837" s="126"/>
      <c r="G837" s="125"/>
      <c r="H837" s="125"/>
      <c r="I837" s="125"/>
      <c r="J837" s="125"/>
      <c r="K837" s="125"/>
      <c r="L837" s="125"/>
      <c r="M837" s="125"/>
      <c r="N837" s="129"/>
      <c r="O837" s="125"/>
      <c r="P837" s="173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spans="1:26" ht="15.75" customHeight="1">
      <c r="A838" s="125"/>
      <c r="B838" s="125"/>
      <c r="C838" s="125"/>
      <c r="D838" s="125"/>
      <c r="E838" s="125"/>
      <c r="F838" s="126"/>
      <c r="G838" s="125"/>
      <c r="H838" s="125"/>
      <c r="I838" s="125"/>
      <c r="J838" s="125"/>
      <c r="K838" s="125"/>
      <c r="L838" s="125"/>
      <c r="M838" s="125"/>
      <c r="N838" s="129"/>
      <c r="O838" s="125"/>
      <c r="P838" s="173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spans="1:26" ht="15.75" customHeight="1">
      <c r="A839" s="125"/>
      <c r="B839" s="125"/>
      <c r="C839" s="125"/>
      <c r="D839" s="125"/>
      <c r="E839" s="125"/>
      <c r="F839" s="126"/>
      <c r="G839" s="125"/>
      <c r="H839" s="125"/>
      <c r="I839" s="125"/>
      <c r="J839" s="125"/>
      <c r="K839" s="125"/>
      <c r="L839" s="125"/>
      <c r="M839" s="125"/>
      <c r="N839" s="129"/>
      <c r="O839" s="125"/>
      <c r="P839" s="173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spans="1:26" ht="15.75" customHeight="1">
      <c r="A840" s="125"/>
      <c r="B840" s="125"/>
      <c r="C840" s="125"/>
      <c r="D840" s="125"/>
      <c r="E840" s="125"/>
      <c r="F840" s="126"/>
      <c r="G840" s="125"/>
      <c r="H840" s="125"/>
      <c r="I840" s="125"/>
      <c r="J840" s="125"/>
      <c r="K840" s="125"/>
      <c r="L840" s="125"/>
      <c r="M840" s="125"/>
      <c r="N840" s="129"/>
      <c r="O840" s="125"/>
      <c r="P840" s="173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spans="1:26" ht="15.75" customHeight="1">
      <c r="A841" s="125"/>
      <c r="B841" s="125"/>
      <c r="C841" s="125"/>
      <c r="D841" s="125"/>
      <c r="E841" s="125"/>
      <c r="F841" s="126"/>
      <c r="G841" s="125"/>
      <c r="H841" s="125"/>
      <c r="I841" s="125"/>
      <c r="J841" s="125"/>
      <c r="K841" s="125"/>
      <c r="L841" s="125"/>
      <c r="M841" s="125"/>
      <c r="N841" s="129"/>
      <c r="O841" s="125"/>
      <c r="P841" s="173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spans="1:26" ht="15.75" customHeight="1">
      <c r="A842" s="125"/>
      <c r="B842" s="125"/>
      <c r="C842" s="125"/>
      <c r="D842" s="125"/>
      <c r="E842" s="125"/>
      <c r="F842" s="126"/>
      <c r="G842" s="125"/>
      <c r="H842" s="125"/>
      <c r="I842" s="125"/>
      <c r="J842" s="125"/>
      <c r="K842" s="125"/>
      <c r="L842" s="125"/>
      <c r="M842" s="125"/>
      <c r="N842" s="129"/>
      <c r="O842" s="125"/>
      <c r="P842" s="173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spans="1:26" ht="15.75" customHeight="1">
      <c r="A843" s="125"/>
      <c r="B843" s="125"/>
      <c r="C843" s="125"/>
      <c r="D843" s="125"/>
      <c r="E843" s="125"/>
      <c r="F843" s="126"/>
      <c r="G843" s="125"/>
      <c r="H843" s="125"/>
      <c r="I843" s="125"/>
      <c r="J843" s="125"/>
      <c r="K843" s="125"/>
      <c r="L843" s="125"/>
      <c r="M843" s="125"/>
      <c r="N843" s="129"/>
      <c r="O843" s="125"/>
      <c r="P843" s="173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spans="1:26" ht="15.75" customHeight="1">
      <c r="A844" s="125"/>
      <c r="B844" s="125"/>
      <c r="C844" s="125"/>
      <c r="D844" s="125"/>
      <c r="E844" s="125"/>
      <c r="F844" s="126"/>
      <c r="G844" s="125"/>
      <c r="H844" s="125"/>
      <c r="I844" s="125"/>
      <c r="J844" s="125"/>
      <c r="K844" s="125"/>
      <c r="L844" s="125"/>
      <c r="M844" s="125"/>
      <c r="N844" s="129"/>
      <c r="O844" s="125"/>
      <c r="P844" s="173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spans="1:26" ht="15.75" customHeight="1">
      <c r="A845" s="125"/>
      <c r="B845" s="125"/>
      <c r="C845" s="125"/>
      <c r="D845" s="125"/>
      <c r="E845" s="125"/>
      <c r="F845" s="126"/>
      <c r="G845" s="125"/>
      <c r="H845" s="125"/>
      <c r="I845" s="125"/>
      <c r="J845" s="125"/>
      <c r="K845" s="125"/>
      <c r="L845" s="125"/>
      <c r="M845" s="125"/>
      <c r="N845" s="129"/>
      <c r="O845" s="125"/>
      <c r="P845" s="173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spans="1:26" ht="15.75" customHeight="1">
      <c r="A846" s="125"/>
      <c r="B846" s="125"/>
      <c r="C846" s="125"/>
      <c r="D846" s="125"/>
      <c r="E846" s="125"/>
      <c r="F846" s="126"/>
      <c r="G846" s="125"/>
      <c r="H846" s="125"/>
      <c r="I846" s="125"/>
      <c r="J846" s="125"/>
      <c r="K846" s="125"/>
      <c r="L846" s="125"/>
      <c r="M846" s="125"/>
      <c r="N846" s="129"/>
      <c r="O846" s="125"/>
      <c r="P846" s="173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spans="1:26" ht="15.75" customHeight="1">
      <c r="A847" s="125"/>
      <c r="B847" s="125"/>
      <c r="C847" s="125"/>
      <c r="D847" s="125"/>
      <c r="E847" s="125"/>
      <c r="F847" s="126"/>
      <c r="G847" s="125"/>
      <c r="H847" s="125"/>
      <c r="I847" s="125"/>
      <c r="J847" s="125"/>
      <c r="K847" s="125"/>
      <c r="L847" s="125"/>
      <c r="M847" s="125"/>
      <c r="N847" s="129"/>
      <c r="O847" s="125"/>
      <c r="P847" s="173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spans="1:26" ht="15.75" customHeight="1">
      <c r="A848" s="125"/>
      <c r="B848" s="125"/>
      <c r="C848" s="125"/>
      <c r="D848" s="125"/>
      <c r="E848" s="125"/>
      <c r="F848" s="126"/>
      <c r="G848" s="125"/>
      <c r="H848" s="125"/>
      <c r="I848" s="125"/>
      <c r="J848" s="125"/>
      <c r="K848" s="125"/>
      <c r="L848" s="125"/>
      <c r="M848" s="125"/>
      <c r="N848" s="129"/>
      <c r="O848" s="125"/>
      <c r="P848" s="173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spans="1:26" ht="15.75" customHeight="1">
      <c r="A849" s="125"/>
      <c r="B849" s="125"/>
      <c r="C849" s="125"/>
      <c r="D849" s="125"/>
      <c r="E849" s="125"/>
      <c r="F849" s="126"/>
      <c r="G849" s="125"/>
      <c r="H849" s="125"/>
      <c r="I849" s="125"/>
      <c r="J849" s="125"/>
      <c r="K849" s="125"/>
      <c r="L849" s="125"/>
      <c r="M849" s="125"/>
      <c r="N849" s="129"/>
      <c r="O849" s="125"/>
      <c r="P849" s="173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spans="1:26" ht="15.75" customHeight="1">
      <c r="A850" s="125"/>
      <c r="B850" s="125"/>
      <c r="C850" s="125"/>
      <c r="D850" s="125"/>
      <c r="E850" s="125"/>
      <c r="F850" s="126"/>
      <c r="G850" s="125"/>
      <c r="H850" s="125"/>
      <c r="I850" s="125"/>
      <c r="J850" s="125"/>
      <c r="K850" s="125"/>
      <c r="L850" s="125"/>
      <c r="M850" s="125"/>
      <c r="N850" s="129"/>
      <c r="O850" s="125"/>
      <c r="P850" s="173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spans="1:26" ht="15.75" customHeight="1">
      <c r="A851" s="125"/>
      <c r="B851" s="125"/>
      <c r="C851" s="125"/>
      <c r="D851" s="125"/>
      <c r="E851" s="125"/>
      <c r="F851" s="126"/>
      <c r="G851" s="125"/>
      <c r="H851" s="125"/>
      <c r="I851" s="125"/>
      <c r="J851" s="125"/>
      <c r="K851" s="125"/>
      <c r="L851" s="125"/>
      <c r="M851" s="125"/>
      <c r="N851" s="129"/>
      <c r="O851" s="125"/>
      <c r="P851" s="173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spans="1:26" ht="15.75" customHeight="1">
      <c r="A852" s="125"/>
      <c r="B852" s="125"/>
      <c r="C852" s="125"/>
      <c r="D852" s="125"/>
      <c r="E852" s="125"/>
      <c r="F852" s="126"/>
      <c r="G852" s="125"/>
      <c r="H852" s="125"/>
      <c r="I852" s="125"/>
      <c r="J852" s="125"/>
      <c r="K852" s="125"/>
      <c r="L852" s="125"/>
      <c r="M852" s="125"/>
      <c r="N852" s="129"/>
      <c r="O852" s="125"/>
      <c r="P852" s="173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spans="1:26" ht="15.75" customHeight="1">
      <c r="A853" s="125"/>
      <c r="B853" s="125"/>
      <c r="C853" s="125"/>
      <c r="D853" s="125"/>
      <c r="E853" s="125"/>
      <c r="F853" s="126"/>
      <c r="G853" s="125"/>
      <c r="H853" s="125"/>
      <c r="I853" s="125"/>
      <c r="J853" s="125"/>
      <c r="K853" s="125"/>
      <c r="L853" s="125"/>
      <c r="M853" s="125"/>
      <c r="N853" s="129"/>
      <c r="O853" s="125"/>
      <c r="P853" s="173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spans="1:26" ht="15.75" customHeight="1">
      <c r="A854" s="125"/>
      <c r="B854" s="125"/>
      <c r="C854" s="125"/>
      <c r="D854" s="125"/>
      <c r="E854" s="125"/>
      <c r="F854" s="126"/>
      <c r="G854" s="125"/>
      <c r="H854" s="125"/>
      <c r="I854" s="125"/>
      <c r="J854" s="125"/>
      <c r="K854" s="125"/>
      <c r="L854" s="125"/>
      <c r="M854" s="125"/>
      <c r="N854" s="129"/>
      <c r="O854" s="125"/>
      <c r="P854" s="173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spans="1:26" ht="15.75" customHeight="1">
      <c r="A855" s="125"/>
      <c r="B855" s="125"/>
      <c r="C855" s="125"/>
      <c r="D855" s="125"/>
      <c r="E855" s="125"/>
      <c r="F855" s="126"/>
      <c r="G855" s="125"/>
      <c r="H855" s="125"/>
      <c r="I855" s="125"/>
      <c r="J855" s="125"/>
      <c r="K855" s="125"/>
      <c r="L855" s="125"/>
      <c r="M855" s="125"/>
      <c r="N855" s="129"/>
      <c r="O855" s="125"/>
      <c r="P855" s="173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spans="1:26" ht="15.75" customHeight="1">
      <c r="A856" s="125"/>
      <c r="B856" s="125"/>
      <c r="C856" s="125"/>
      <c r="D856" s="125"/>
      <c r="E856" s="125"/>
      <c r="F856" s="126"/>
      <c r="G856" s="125"/>
      <c r="H856" s="125"/>
      <c r="I856" s="125"/>
      <c r="J856" s="125"/>
      <c r="K856" s="125"/>
      <c r="L856" s="125"/>
      <c r="M856" s="125"/>
      <c r="N856" s="129"/>
      <c r="O856" s="125"/>
      <c r="P856" s="173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spans="1:26" ht="15.75" customHeight="1">
      <c r="A857" s="125"/>
      <c r="B857" s="125"/>
      <c r="C857" s="125"/>
      <c r="D857" s="125"/>
      <c r="E857" s="125"/>
      <c r="F857" s="126"/>
      <c r="G857" s="125"/>
      <c r="H857" s="125"/>
      <c r="I857" s="125"/>
      <c r="J857" s="125"/>
      <c r="K857" s="125"/>
      <c r="L857" s="125"/>
      <c r="M857" s="125"/>
      <c r="N857" s="129"/>
      <c r="O857" s="125"/>
      <c r="P857" s="173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spans="1:26" ht="15.75" customHeight="1">
      <c r="A858" s="125"/>
      <c r="B858" s="125"/>
      <c r="C858" s="125"/>
      <c r="D858" s="125"/>
      <c r="E858" s="125"/>
      <c r="F858" s="126"/>
      <c r="G858" s="125"/>
      <c r="H858" s="125"/>
      <c r="I858" s="125"/>
      <c r="J858" s="125"/>
      <c r="K858" s="125"/>
      <c r="L858" s="125"/>
      <c r="M858" s="125"/>
      <c r="N858" s="129"/>
      <c r="O858" s="125"/>
      <c r="P858" s="173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spans="1:26" ht="15.75" customHeight="1">
      <c r="A859" s="125"/>
      <c r="B859" s="125"/>
      <c r="C859" s="125"/>
      <c r="D859" s="125"/>
      <c r="E859" s="125"/>
      <c r="F859" s="126"/>
      <c r="G859" s="125"/>
      <c r="H859" s="125"/>
      <c r="I859" s="125"/>
      <c r="J859" s="125"/>
      <c r="K859" s="125"/>
      <c r="L859" s="125"/>
      <c r="M859" s="125"/>
      <c r="N859" s="129"/>
      <c r="O859" s="125"/>
      <c r="P859" s="173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spans="1:26" ht="15.75" customHeight="1">
      <c r="A860" s="125"/>
      <c r="B860" s="125"/>
      <c r="C860" s="125"/>
      <c r="D860" s="125"/>
      <c r="E860" s="125"/>
      <c r="F860" s="126"/>
      <c r="G860" s="125"/>
      <c r="H860" s="125"/>
      <c r="I860" s="125"/>
      <c r="J860" s="125"/>
      <c r="K860" s="125"/>
      <c r="L860" s="125"/>
      <c r="M860" s="125"/>
      <c r="N860" s="129"/>
      <c r="O860" s="125"/>
      <c r="P860" s="173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spans="1:26" ht="15.75" customHeight="1">
      <c r="A861" s="125"/>
      <c r="B861" s="125"/>
      <c r="C861" s="125"/>
      <c r="D861" s="125"/>
      <c r="E861" s="125"/>
      <c r="F861" s="126"/>
      <c r="G861" s="125"/>
      <c r="H861" s="125"/>
      <c r="I861" s="125"/>
      <c r="J861" s="125"/>
      <c r="K861" s="125"/>
      <c r="L861" s="125"/>
      <c r="M861" s="125"/>
      <c r="N861" s="129"/>
      <c r="O861" s="125"/>
      <c r="P861" s="173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spans="1:26" ht="15.75" customHeight="1">
      <c r="A862" s="125"/>
      <c r="B862" s="125"/>
      <c r="C862" s="125"/>
      <c r="D862" s="125"/>
      <c r="E862" s="125"/>
      <c r="F862" s="126"/>
      <c r="G862" s="125"/>
      <c r="H862" s="125"/>
      <c r="I862" s="125"/>
      <c r="J862" s="125"/>
      <c r="K862" s="125"/>
      <c r="L862" s="125"/>
      <c r="M862" s="125"/>
      <c r="N862" s="129"/>
      <c r="O862" s="125"/>
      <c r="P862" s="173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spans="1:26" ht="15.75" customHeight="1">
      <c r="A863" s="125"/>
      <c r="B863" s="125"/>
      <c r="C863" s="125"/>
      <c r="D863" s="125"/>
      <c r="E863" s="125"/>
      <c r="F863" s="126"/>
      <c r="G863" s="125"/>
      <c r="H863" s="125"/>
      <c r="I863" s="125"/>
      <c r="J863" s="125"/>
      <c r="K863" s="125"/>
      <c r="L863" s="125"/>
      <c r="M863" s="125"/>
      <c r="N863" s="129"/>
      <c r="O863" s="125"/>
      <c r="P863" s="173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spans="1:26" ht="15.75" customHeight="1">
      <c r="A864" s="125"/>
      <c r="B864" s="125"/>
      <c r="C864" s="125"/>
      <c r="D864" s="125"/>
      <c r="E864" s="125"/>
      <c r="F864" s="126"/>
      <c r="G864" s="125"/>
      <c r="H864" s="125"/>
      <c r="I864" s="125"/>
      <c r="J864" s="125"/>
      <c r="K864" s="125"/>
      <c r="L864" s="125"/>
      <c r="M864" s="125"/>
      <c r="N864" s="129"/>
      <c r="O864" s="125"/>
      <c r="P864" s="173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spans="1:26" ht="15.75" customHeight="1">
      <c r="A865" s="125"/>
      <c r="B865" s="125"/>
      <c r="C865" s="125"/>
      <c r="D865" s="125"/>
      <c r="E865" s="125"/>
      <c r="F865" s="126"/>
      <c r="G865" s="125"/>
      <c r="H865" s="125"/>
      <c r="I865" s="125"/>
      <c r="J865" s="125"/>
      <c r="K865" s="125"/>
      <c r="L865" s="125"/>
      <c r="M865" s="125"/>
      <c r="N865" s="129"/>
      <c r="O865" s="125"/>
      <c r="P865" s="173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spans="1:26" ht="15.75" customHeight="1">
      <c r="A866" s="125"/>
      <c r="B866" s="125"/>
      <c r="C866" s="125"/>
      <c r="D866" s="125"/>
      <c r="E866" s="125"/>
      <c r="F866" s="126"/>
      <c r="G866" s="125"/>
      <c r="H866" s="125"/>
      <c r="I866" s="125"/>
      <c r="J866" s="125"/>
      <c r="K866" s="125"/>
      <c r="L866" s="125"/>
      <c r="M866" s="125"/>
      <c r="N866" s="129"/>
      <c r="O866" s="125"/>
      <c r="P866" s="173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spans="1:26" ht="15.75" customHeight="1">
      <c r="A867" s="125"/>
      <c r="B867" s="125"/>
      <c r="C867" s="125"/>
      <c r="D867" s="125"/>
      <c r="E867" s="125"/>
      <c r="F867" s="126"/>
      <c r="G867" s="125"/>
      <c r="H867" s="125"/>
      <c r="I867" s="125"/>
      <c r="J867" s="125"/>
      <c r="K867" s="125"/>
      <c r="L867" s="125"/>
      <c r="M867" s="125"/>
      <c r="N867" s="129"/>
      <c r="O867" s="125"/>
      <c r="P867" s="173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spans="1:26" ht="15.75" customHeight="1">
      <c r="A868" s="125"/>
      <c r="B868" s="125"/>
      <c r="C868" s="125"/>
      <c r="D868" s="125"/>
      <c r="E868" s="125"/>
      <c r="F868" s="126"/>
      <c r="G868" s="125"/>
      <c r="H868" s="125"/>
      <c r="I868" s="125"/>
      <c r="J868" s="125"/>
      <c r="K868" s="125"/>
      <c r="L868" s="125"/>
      <c r="M868" s="125"/>
      <c r="N868" s="129"/>
      <c r="O868" s="125"/>
      <c r="P868" s="173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spans="1:26" ht="15.75" customHeight="1">
      <c r="A869" s="125"/>
      <c r="B869" s="125"/>
      <c r="C869" s="125"/>
      <c r="D869" s="125"/>
      <c r="E869" s="125"/>
      <c r="F869" s="126"/>
      <c r="G869" s="125"/>
      <c r="H869" s="125"/>
      <c r="I869" s="125"/>
      <c r="J869" s="125"/>
      <c r="K869" s="125"/>
      <c r="L869" s="125"/>
      <c r="M869" s="125"/>
      <c r="N869" s="129"/>
      <c r="O869" s="125"/>
      <c r="P869" s="173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spans="1:26" ht="15.75" customHeight="1">
      <c r="A870" s="125"/>
      <c r="B870" s="125"/>
      <c r="C870" s="125"/>
      <c r="D870" s="125"/>
      <c r="E870" s="125"/>
      <c r="F870" s="126"/>
      <c r="G870" s="125"/>
      <c r="H870" s="125"/>
      <c r="I870" s="125"/>
      <c r="J870" s="125"/>
      <c r="K870" s="125"/>
      <c r="L870" s="125"/>
      <c r="M870" s="125"/>
      <c r="N870" s="129"/>
      <c r="O870" s="125"/>
      <c r="P870" s="173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spans="1:26" ht="15.75" customHeight="1">
      <c r="A871" s="125"/>
      <c r="B871" s="125"/>
      <c r="C871" s="125"/>
      <c r="D871" s="125"/>
      <c r="E871" s="125"/>
      <c r="F871" s="126"/>
      <c r="G871" s="125"/>
      <c r="H871" s="125"/>
      <c r="I871" s="125"/>
      <c r="J871" s="125"/>
      <c r="K871" s="125"/>
      <c r="L871" s="125"/>
      <c r="M871" s="125"/>
      <c r="N871" s="129"/>
      <c r="O871" s="125"/>
      <c r="P871" s="173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spans="1:26" ht="15.75" customHeight="1">
      <c r="A872" s="125"/>
      <c r="B872" s="125"/>
      <c r="C872" s="125"/>
      <c r="D872" s="125"/>
      <c r="E872" s="125"/>
      <c r="F872" s="126"/>
      <c r="G872" s="125"/>
      <c r="H872" s="125"/>
      <c r="I872" s="125"/>
      <c r="J872" s="125"/>
      <c r="K872" s="125"/>
      <c r="L872" s="125"/>
      <c r="M872" s="125"/>
      <c r="N872" s="129"/>
      <c r="O872" s="125"/>
      <c r="P872" s="173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spans="1:26" ht="15.75" customHeight="1">
      <c r="A873" s="125"/>
      <c r="B873" s="125"/>
      <c r="C873" s="125"/>
      <c r="D873" s="125"/>
      <c r="E873" s="125"/>
      <c r="F873" s="126"/>
      <c r="G873" s="125"/>
      <c r="H873" s="125"/>
      <c r="I873" s="125"/>
      <c r="J873" s="125"/>
      <c r="K873" s="125"/>
      <c r="L873" s="125"/>
      <c r="M873" s="125"/>
      <c r="N873" s="129"/>
      <c r="O873" s="125"/>
      <c r="P873" s="173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spans="1:26" ht="15.75" customHeight="1">
      <c r="A874" s="125"/>
      <c r="B874" s="125"/>
      <c r="C874" s="125"/>
      <c r="D874" s="125"/>
      <c r="E874" s="125"/>
      <c r="F874" s="126"/>
      <c r="G874" s="125"/>
      <c r="H874" s="125"/>
      <c r="I874" s="125"/>
      <c r="J874" s="125"/>
      <c r="K874" s="125"/>
      <c r="L874" s="125"/>
      <c r="M874" s="125"/>
      <c r="N874" s="129"/>
      <c r="O874" s="125"/>
      <c r="P874" s="173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spans="1:26" ht="15.75" customHeight="1">
      <c r="A875" s="125"/>
      <c r="B875" s="125"/>
      <c r="C875" s="125"/>
      <c r="D875" s="125"/>
      <c r="E875" s="125"/>
      <c r="F875" s="126"/>
      <c r="G875" s="125"/>
      <c r="H875" s="125"/>
      <c r="I875" s="125"/>
      <c r="J875" s="125"/>
      <c r="K875" s="125"/>
      <c r="L875" s="125"/>
      <c r="M875" s="125"/>
      <c r="N875" s="129"/>
      <c r="O875" s="125"/>
      <c r="P875" s="173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spans="1:26" ht="15.75" customHeight="1">
      <c r="A876" s="125"/>
      <c r="B876" s="125"/>
      <c r="C876" s="125"/>
      <c r="D876" s="125"/>
      <c r="E876" s="125"/>
      <c r="F876" s="126"/>
      <c r="G876" s="125"/>
      <c r="H876" s="125"/>
      <c r="I876" s="125"/>
      <c r="J876" s="125"/>
      <c r="K876" s="125"/>
      <c r="L876" s="125"/>
      <c r="M876" s="125"/>
      <c r="N876" s="129"/>
      <c r="O876" s="125"/>
      <c r="P876" s="173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spans="1:26" ht="15.75" customHeight="1">
      <c r="A877" s="125"/>
      <c r="B877" s="125"/>
      <c r="C877" s="125"/>
      <c r="D877" s="125"/>
      <c r="E877" s="125"/>
      <c r="F877" s="126"/>
      <c r="G877" s="125"/>
      <c r="H877" s="125"/>
      <c r="I877" s="125"/>
      <c r="J877" s="125"/>
      <c r="K877" s="125"/>
      <c r="L877" s="125"/>
      <c r="M877" s="125"/>
      <c r="N877" s="129"/>
      <c r="O877" s="125"/>
      <c r="P877" s="173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spans="1:26" ht="15.75" customHeight="1">
      <c r="A878" s="125"/>
      <c r="B878" s="125"/>
      <c r="C878" s="125"/>
      <c r="D878" s="125"/>
      <c r="E878" s="125"/>
      <c r="F878" s="126"/>
      <c r="G878" s="125"/>
      <c r="H878" s="125"/>
      <c r="I878" s="125"/>
      <c r="J878" s="125"/>
      <c r="K878" s="125"/>
      <c r="L878" s="125"/>
      <c r="M878" s="125"/>
      <c r="N878" s="129"/>
      <c r="O878" s="125"/>
      <c r="P878" s="173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spans="1:26" ht="15.75" customHeight="1">
      <c r="A879" s="125"/>
      <c r="B879" s="125"/>
      <c r="C879" s="125"/>
      <c r="D879" s="125"/>
      <c r="E879" s="125"/>
      <c r="F879" s="126"/>
      <c r="G879" s="125"/>
      <c r="H879" s="125"/>
      <c r="I879" s="125"/>
      <c r="J879" s="125"/>
      <c r="K879" s="125"/>
      <c r="L879" s="125"/>
      <c r="M879" s="125"/>
      <c r="N879" s="129"/>
      <c r="O879" s="125"/>
      <c r="P879" s="173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spans="1:26" ht="15.75" customHeight="1">
      <c r="A880" s="125"/>
      <c r="B880" s="125"/>
      <c r="C880" s="125"/>
      <c r="D880" s="125"/>
      <c r="E880" s="125"/>
      <c r="F880" s="126"/>
      <c r="G880" s="125"/>
      <c r="H880" s="125"/>
      <c r="I880" s="125"/>
      <c r="J880" s="125"/>
      <c r="K880" s="125"/>
      <c r="L880" s="125"/>
      <c r="M880" s="125"/>
      <c r="N880" s="129"/>
      <c r="O880" s="125"/>
      <c r="P880" s="173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spans="1:26" ht="15.75" customHeight="1">
      <c r="A881" s="125"/>
      <c r="B881" s="125"/>
      <c r="C881" s="125"/>
      <c r="D881" s="125"/>
      <c r="E881" s="125"/>
      <c r="F881" s="126"/>
      <c r="G881" s="125"/>
      <c r="H881" s="125"/>
      <c r="I881" s="125"/>
      <c r="J881" s="125"/>
      <c r="K881" s="125"/>
      <c r="L881" s="125"/>
      <c r="M881" s="125"/>
      <c r="N881" s="129"/>
      <c r="O881" s="125"/>
      <c r="P881" s="173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spans="1:26" ht="15.75" customHeight="1">
      <c r="A882" s="125"/>
      <c r="B882" s="125"/>
      <c r="C882" s="125"/>
      <c r="D882" s="125"/>
      <c r="E882" s="125"/>
      <c r="F882" s="126"/>
      <c r="G882" s="125"/>
      <c r="H882" s="125"/>
      <c r="I882" s="125"/>
      <c r="J882" s="125"/>
      <c r="K882" s="125"/>
      <c r="L882" s="125"/>
      <c r="M882" s="125"/>
      <c r="N882" s="129"/>
      <c r="O882" s="125"/>
      <c r="P882" s="173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spans="1:26" ht="15.75" customHeight="1">
      <c r="A883" s="125"/>
      <c r="B883" s="125"/>
      <c r="C883" s="125"/>
      <c r="D883" s="125"/>
      <c r="E883" s="125"/>
      <c r="F883" s="126"/>
      <c r="G883" s="125"/>
      <c r="H883" s="125"/>
      <c r="I883" s="125"/>
      <c r="J883" s="125"/>
      <c r="K883" s="125"/>
      <c r="L883" s="125"/>
      <c r="M883" s="125"/>
      <c r="N883" s="129"/>
      <c r="O883" s="125"/>
      <c r="P883" s="173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spans="1:26" ht="15.75" customHeight="1">
      <c r="A884" s="125"/>
      <c r="B884" s="125"/>
      <c r="C884" s="125"/>
      <c r="D884" s="125"/>
      <c r="E884" s="125"/>
      <c r="F884" s="126"/>
      <c r="G884" s="125"/>
      <c r="H884" s="125"/>
      <c r="I884" s="125"/>
      <c r="J884" s="125"/>
      <c r="K884" s="125"/>
      <c r="L884" s="125"/>
      <c r="M884" s="125"/>
      <c r="N884" s="129"/>
      <c r="O884" s="125"/>
      <c r="P884" s="173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spans="1:26" ht="15.75" customHeight="1">
      <c r="A885" s="125"/>
      <c r="B885" s="125"/>
      <c r="C885" s="125"/>
      <c r="D885" s="125"/>
      <c r="E885" s="125"/>
      <c r="F885" s="126"/>
      <c r="G885" s="125"/>
      <c r="H885" s="125"/>
      <c r="I885" s="125"/>
      <c r="J885" s="125"/>
      <c r="K885" s="125"/>
      <c r="L885" s="125"/>
      <c r="M885" s="125"/>
      <c r="N885" s="129"/>
      <c r="O885" s="125"/>
      <c r="P885" s="173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spans="1:26" ht="15.75" customHeight="1">
      <c r="A886" s="125"/>
      <c r="B886" s="125"/>
      <c r="C886" s="125"/>
      <c r="D886" s="125"/>
      <c r="E886" s="125"/>
      <c r="F886" s="126"/>
      <c r="G886" s="125"/>
      <c r="H886" s="125"/>
      <c r="I886" s="125"/>
      <c r="J886" s="125"/>
      <c r="K886" s="125"/>
      <c r="L886" s="125"/>
      <c r="M886" s="125"/>
      <c r="N886" s="129"/>
      <c r="O886" s="125"/>
      <c r="P886" s="173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spans="1:26" ht="15.75" customHeight="1">
      <c r="A887" s="125"/>
      <c r="B887" s="125"/>
      <c r="C887" s="125"/>
      <c r="D887" s="125"/>
      <c r="E887" s="125"/>
      <c r="F887" s="126"/>
      <c r="G887" s="125"/>
      <c r="H887" s="125"/>
      <c r="I887" s="125"/>
      <c r="J887" s="125"/>
      <c r="K887" s="125"/>
      <c r="L887" s="125"/>
      <c r="M887" s="125"/>
      <c r="N887" s="129"/>
      <c r="O887" s="125"/>
      <c r="P887" s="173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spans="1:26" ht="15.75" customHeight="1">
      <c r="A888" s="125"/>
      <c r="B888" s="125"/>
      <c r="C888" s="125"/>
      <c r="D888" s="125"/>
      <c r="E888" s="125"/>
      <c r="F888" s="126"/>
      <c r="G888" s="125"/>
      <c r="H888" s="125"/>
      <c r="I888" s="125"/>
      <c r="J888" s="125"/>
      <c r="K888" s="125"/>
      <c r="L888" s="125"/>
      <c r="M888" s="125"/>
      <c r="N888" s="129"/>
      <c r="O888" s="125"/>
      <c r="P888" s="173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spans="1:26" ht="15.75" customHeight="1">
      <c r="A889" s="125"/>
      <c r="B889" s="125"/>
      <c r="C889" s="125"/>
      <c r="D889" s="125"/>
      <c r="E889" s="125"/>
      <c r="F889" s="126"/>
      <c r="G889" s="125"/>
      <c r="H889" s="125"/>
      <c r="I889" s="125"/>
      <c r="J889" s="125"/>
      <c r="K889" s="125"/>
      <c r="L889" s="125"/>
      <c r="M889" s="125"/>
      <c r="N889" s="129"/>
      <c r="O889" s="125"/>
      <c r="P889" s="173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spans="1:26" ht="15.75" customHeight="1">
      <c r="A890" s="125"/>
      <c r="B890" s="125"/>
      <c r="C890" s="125"/>
      <c r="D890" s="125"/>
      <c r="E890" s="125"/>
      <c r="F890" s="126"/>
      <c r="G890" s="125"/>
      <c r="H890" s="125"/>
      <c r="I890" s="125"/>
      <c r="J890" s="125"/>
      <c r="K890" s="125"/>
      <c r="L890" s="125"/>
      <c r="M890" s="125"/>
      <c r="N890" s="129"/>
      <c r="O890" s="125"/>
      <c r="P890" s="173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spans="1:26" ht="15.75" customHeight="1">
      <c r="A891" s="125"/>
      <c r="B891" s="125"/>
      <c r="C891" s="125"/>
      <c r="D891" s="125"/>
      <c r="E891" s="125"/>
      <c r="F891" s="126"/>
      <c r="G891" s="125"/>
      <c r="H891" s="125"/>
      <c r="I891" s="125"/>
      <c r="J891" s="125"/>
      <c r="K891" s="125"/>
      <c r="L891" s="125"/>
      <c r="M891" s="125"/>
      <c r="N891" s="129"/>
      <c r="O891" s="125"/>
      <c r="P891" s="173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spans="1:26" ht="15.75" customHeight="1">
      <c r="A892" s="125"/>
      <c r="B892" s="125"/>
      <c r="C892" s="125"/>
      <c r="D892" s="125"/>
      <c r="E892" s="125"/>
      <c r="F892" s="126"/>
      <c r="G892" s="125"/>
      <c r="H892" s="125"/>
      <c r="I892" s="125"/>
      <c r="J892" s="125"/>
      <c r="K892" s="125"/>
      <c r="L892" s="125"/>
      <c r="M892" s="125"/>
      <c r="N892" s="129"/>
      <c r="O892" s="125"/>
      <c r="P892" s="173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spans="1:26" ht="15.75" customHeight="1">
      <c r="A893" s="125"/>
      <c r="B893" s="125"/>
      <c r="C893" s="125"/>
      <c r="D893" s="125"/>
      <c r="E893" s="125"/>
      <c r="F893" s="126"/>
      <c r="G893" s="125"/>
      <c r="H893" s="125"/>
      <c r="I893" s="125"/>
      <c r="J893" s="125"/>
      <c r="K893" s="125"/>
      <c r="L893" s="125"/>
      <c r="M893" s="125"/>
      <c r="N893" s="129"/>
      <c r="O893" s="125"/>
      <c r="P893" s="173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spans="1:26" ht="15.75" customHeight="1">
      <c r="A894" s="125"/>
      <c r="B894" s="125"/>
      <c r="C894" s="125"/>
      <c r="D894" s="125"/>
      <c r="E894" s="125"/>
      <c r="F894" s="126"/>
      <c r="G894" s="125"/>
      <c r="H894" s="125"/>
      <c r="I894" s="125"/>
      <c r="J894" s="125"/>
      <c r="K894" s="125"/>
      <c r="L894" s="125"/>
      <c r="M894" s="125"/>
      <c r="N894" s="129"/>
      <c r="O894" s="125"/>
      <c r="P894" s="173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spans="1:26" ht="15.75" customHeight="1">
      <c r="A895" s="125"/>
      <c r="B895" s="125"/>
      <c r="C895" s="125"/>
      <c r="D895" s="125"/>
      <c r="E895" s="125"/>
      <c r="F895" s="126"/>
      <c r="G895" s="125"/>
      <c r="H895" s="125"/>
      <c r="I895" s="125"/>
      <c r="J895" s="125"/>
      <c r="K895" s="125"/>
      <c r="L895" s="125"/>
      <c r="M895" s="125"/>
      <c r="N895" s="129"/>
      <c r="O895" s="125"/>
      <c r="P895" s="173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spans="1:26" ht="15.75" customHeight="1">
      <c r="A896" s="125"/>
      <c r="B896" s="125"/>
      <c r="C896" s="125"/>
      <c r="D896" s="125"/>
      <c r="E896" s="125"/>
      <c r="F896" s="126"/>
      <c r="G896" s="125"/>
      <c r="H896" s="125"/>
      <c r="I896" s="125"/>
      <c r="J896" s="125"/>
      <c r="K896" s="125"/>
      <c r="L896" s="125"/>
      <c r="M896" s="125"/>
      <c r="N896" s="129"/>
      <c r="O896" s="125"/>
      <c r="P896" s="173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spans="1:26" ht="15.75" customHeight="1">
      <c r="A897" s="125"/>
      <c r="B897" s="125"/>
      <c r="C897" s="125"/>
      <c r="D897" s="125"/>
      <c r="E897" s="125"/>
      <c r="F897" s="126"/>
      <c r="G897" s="125"/>
      <c r="H897" s="125"/>
      <c r="I897" s="125"/>
      <c r="J897" s="125"/>
      <c r="K897" s="125"/>
      <c r="L897" s="125"/>
      <c r="M897" s="125"/>
      <c r="N897" s="129"/>
      <c r="O897" s="125"/>
      <c r="P897" s="173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spans="1:26" ht="15.75" customHeight="1">
      <c r="A898" s="125"/>
      <c r="B898" s="125"/>
      <c r="C898" s="125"/>
      <c r="D898" s="125"/>
      <c r="E898" s="125"/>
      <c r="F898" s="126"/>
      <c r="G898" s="125"/>
      <c r="H898" s="125"/>
      <c r="I898" s="125"/>
      <c r="J898" s="125"/>
      <c r="K898" s="125"/>
      <c r="L898" s="125"/>
      <c r="M898" s="125"/>
      <c r="N898" s="129"/>
      <c r="O898" s="125"/>
      <c r="P898" s="173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spans="1:26" ht="15.75" customHeight="1">
      <c r="A899" s="125"/>
      <c r="B899" s="125"/>
      <c r="C899" s="125"/>
      <c r="D899" s="125"/>
      <c r="E899" s="125"/>
      <c r="F899" s="126"/>
      <c r="G899" s="125"/>
      <c r="H899" s="125"/>
      <c r="I899" s="125"/>
      <c r="J899" s="125"/>
      <c r="K899" s="125"/>
      <c r="L899" s="125"/>
      <c r="M899" s="125"/>
      <c r="N899" s="129"/>
      <c r="O899" s="125"/>
      <c r="P899" s="173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spans="1:26" ht="15.75" customHeight="1">
      <c r="A900" s="125"/>
      <c r="B900" s="125"/>
      <c r="C900" s="125"/>
      <c r="D900" s="125"/>
      <c r="E900" s="125"/>
      <c r="F900" s="126"/>
      <c r="G900" s="125"/>
      <c r="H900" s="125"/>
      <c r="I900" s="125"/>
      <c r="J900" s="125"/>
      <c r="K900" s="125"/>
      <c r="L900" s="125"/>
      <c r="M900" s="125"/>
      <c r="N900" s="129"/>
      <c r="O900" s="125"/>
      <c r="P900" s="173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spans="1:26" ht="15.75" customHeight="1">
      <c r="A901" s="125"/>
      <c r="B901" s="125"/>
      <c r="C901" s="125"/>
      <c r="D901" s="125"/>
      <c r="E901" s="125"/>
      <c r="F901" s="126"/>
      <c r="G901" s="125"/>
      <c r="H901" s="125"/>
      <c r="I901" s="125"/>
      <c r="J901" s="125"/>
      <c r="K901" s="125"/>
      <c r="L901" s="125"/>
      <c r="M901" s="125"/>
      <c r="N901" s="129"/>
      <c r="O901" s="125"/>
      <c r="P901" s="173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spans="1:26" ht="15.75" customHeight="1">
      <c r="A902" s="125"/>
      <c r="B902" s="125"/>
      <c r="C902" s="125"/>
      <c r="D902" s="125"/>
      <c r="E902" s="125"/>
      <c r="F902" s="126"/>
      <c r="G902" s="125"/>
      <c r="H902" s="125"/>
      <c r="I902" s="125"/>
      <c r="J902" s="125"/>
      <c r="K902" s="125"/>
      <c r="L902" s="125"/>
      <c r="M902" s="125"/>
      <c r="N902" s="129"/>
      <c r="O902" s="125"/>
      <c r="P902" s="173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spans="1:26" ht="15.75" customHeight="1">
      <c r="A903" s="125"/>
      <c r="B903" s="125"/>
      <c r="C903" s="125"/>
      <c r="D903" s="125"/>
      <c r="E903" s="125"/>
      <c r="F903" s="126"/>
      <c r="G903" s="125"/>
      <c r="H903" s="125"/>
      <c r="I903" s="125"/>
      <c r="J903" s="125"/>
      <c r="K903" s="125"/>
      <c r="L903" s="125"/>
      <c r="M903" s="125"/>
      <c r="N903" s="129"/>
      <c r="O903" s="125"/>
      <c r="P903" s="173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spans="1:26" ht="15.75" customHeight="1">
      <c r="A904" s="125"/>
      <c r="B904" s="125"/>
      <c r="C904" s="125"/>
      <c r="D904" s="125"/>
      <c r="E904" s="125"/>
      <c r="F904" s="126"/>
      <c r="G904" s="125"/>
      <c r="H904" s="125"/>
      <c r="I904" s="125"/>
      <c r="J904" s="125"/>
      <c r="K904" s="125"/>
      <c r="L904" s="125"/>
      <c r="M904" s="125"/>
      <c r="N904" s="129"/>
      <c r="O904" s="125"/>
      <c r="P904" s="173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spans="1:26" ht="15.75" customHeight="1">
      <c r="A905" s="125"/>
      <c r="B905" s="125"/>
      <c r="C905" s="125"/>
      <c r="D905" s="125"/>
      <c r="E905" s="125"/>
      <c r="F905" s="126"/>
      <c r="G905" s="125"/>
      <c r="H905" s="125"/>
      <c r="I905" s="125"/>
      <c r="J905" s="125"/>
      <c r="K905" s="125"/>
      <c r="L905" s="125"/>
      <c r="M905" s="125"/>
      <c r="N905" s="129"/>
      <c r="O905" s="125"/>
      <c r="P905" s="173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spans="1:26" ht="15.75" customHeight="1">
      <c r="A906" s="125"/>
      <c r="B906" s="125"/>
      <c r="C906" s="125"/>
      <c r="D906" s="125"/>
      <c r="E906" s="125"/>
      <c r="F906" s="126"/>
      <c r="G906" s="125"/>
      <c r="H906" s="125"/>
      <c r="I906" s="125"/>
      <c r="J906" s="125"/>
      <c r="K906" s="125"/>
      <c r="L906" s="125"/>
      <c r="M906" s="125"/>
      <c r="N906" s="129"/>
      <c r="O906" s="125"/>
      <c r="P906" s="173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spans="1:26" ht="15.75" customHeight="1">
      <c r="A907" s="125"/>
      <c r="B907" s="125"/>
      <c r="C907" s="125"/>
      <c r="D907" s="125"/>
      <c r="E907" s="125"/>
      <c r="F907" s="126"/>
      <c r="G907" s="125"/>
      <c r="H907" s="125"/>
      <c r="I907" s="125"/>
      <c r="J907" s="125"/>
      <c r="K907" s="125"/>
      <c r="L907" s="125"/>
      <c r="M907" s="125"/>
      <c r="N907" s="129"/>
      <c r="O907" s="125"/>
      <c r="P907" s="173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spans="1:26" ht="15.75" customHeight="1">
      <c r="A908" s="125"/>
      <c r="B908" s="125"/>
      <c r="C908" s="125"/>
      <c r="D908" s="125"/>
      <c r="E908" s="125"/>
      <c r="F908" s="126"/>
      <c r="G908" s="125"/>
      <c r="H908" s="125"/>
      <c r="I908" s="125"/>
      <c r="J908" s="125"/>
      <c r="K908" s="125"/>
      <c r="L908" s="125"/>
      <c r="M908" s="125"/>
      <c r="N908" s="129"/>
      <c r="O908" s="125"/>
      <c r="P908" s="173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spans="1:26" ht="15.75" customHeight="1">
      <c r="A909" s="125"/>
      <c r="B909" s="125"/>
      <c r="C909" s="125"/>
      <c r="D909" s="125"/>
      <c r="E909" s="125"/>
      <c r="F909" s="126"/>
      <c r="G909" s="125"/>
      <c r="H909" s="125"/>
      <c r="I909" s="125"/>
      <c r="J909" s="125"/>
      <c r="K909" s="125"/>
      <c r="L909" s="125"/>
      <c r="M909" s="125"/>
      <c r="N909" s="129"/>
      <c r="O909" s="125"/>
      <c r="P909" s="173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spans="1:26" ht="15.75" customHeight="1">
      <c r="A910" s="125"/>
      <c r="B910" s="125"/>
      <c r="C910" s="125"/>
      <c r="D910" s="125"/>
      <c r="E910" s="125"/>
      <c r="F910" s="126"/>
      <c r="G910" s="125"/>
      <c r="H910" s="125"/>
      <c r="I910" s="125"/>
      <c r="J910" s="125"/>
      <c r="K910" s="125"/>
      <c r="L910" s="125"/>
      <c r="M910" s="125"/>
      <c r="N910" s="129"/>
      <c r="O910" s="125"/>
      <c r="P910" s="173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spans="1:26" ht="15.75" customHeight="1">
      <c r="A911" s="125"/>
      <c r="B911" s="125"/>
      <c r="C911" s="125"/>
      <c r="D911" s="125"/>
      <c r="E911" s="125"/>
      <c r="F911" s="126"/>
      <c r="G911" s="125"/>
      <c r="H911" s="125"/>
      <c r="I911" s="125"/>
      <c r="J911" s="125"/>
      <c r="K911" s="125"/>
      <c r="L911" s="125"/>
      <c r="M911" s="125"/>
      <c r="N911" s="129"/>
      <c r="O911" s="125"/>
      <c r="P911" s="173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spans="1:26" ht="15.75" customHeight="1">
      <c r="A912" s="125"/>
      <c r="B912" s="125"/>
      <c r="C912" s="125"/>
      <c r="D912" s="125"/>
      <c r="E912" s="125"/>
      <c r="F912" s="126"/>
      <c r="G912" s="125"/>
      <c r="H912" s="125"/>
      <c r="I912" s="125"/>
      <c r="J912" s="125"/>
      <c r="K912" s="125"/>
      <c r="L912" s="125"/>
      <c r="M912" s="125"/>
      <c r="N912" s="129"/>
      <c r="O912" s="125"/>
      <c r="P912" s="173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spans="1:26" ht="15.75" customHeight="1">
      <c r="A913" s="125"/>
      <c r="B913" s="125"/>
      <c r="C913" s="125"/>
      <c r="D913" s="125"/>
      <c r="E913" s="125"/>
      <c r="F913" s="126"/>
      <c r="G913" s="125"/>
      <c r="H913" s="125"/>
      <c r="I913" s="125"/>
      <c r="J913" s="125"/>
      <c r="K913" s="125"/>
      <c r="L913" s="125"/>
      <c r="M913" s="125"/>
      <c r="N913" s="129"/>
      <c r="O913" s="125"/>
      <c r="P913" s="173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spans="1:26" ht="15.75" customHeight="1">
      <c r="A914" s="125"/>
      <c r="B914" s="125"/>
      <c r="C914" s="125"/>
      <c r="D914" s="125"/>
      <c r="E914" s="125"/>
      <c r="F914" s="126"/>
      <c r="G914" s="125"/>
      <c r="H914" s="125"/>
      <c r="I914" s="125"/>
      <c r="J914" s="125"/>
      <c r="K914" s="125"/>
      <c r="L914" s="125"/>
      <c r="M914" s="125"/>
      <c r="N914" s="129"/>
      <c r="O914" s="125"/>
      <c r="P914" s="173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spans="1:26" ht="15.75" customHeight="1">
      <c r="A915" s="125"/>
      <c r="B915" s="125"/>
      <c r="C915" s="125"/>
      <c r="D915" s="125"/>
      <c r="E915" s="125"/>
      <c r="F915" s="126"/>
      <c r="G915" s="125"/>
      <c r="H915" s="125"/>
      <c r="I915" s="125"/>
      <c r="J915" s="125"/>
      <c r="K915" s="125"/>
      <c r="L915" s="125"/>
      <c r="M915" s="125"/>
      <c r="N915" s="129"/>
      <c r="O915" s="125"/>
      <c r="P915" s="173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spans="1:26" ht="15.75" customHeight="1">
      <c r="A916" s="125"/>
      <c r="B916" s="125"/>
      <c r="C916" s="125"/>
      <c r="D916" s="125"/>
      <c r="E916" s="125"/>
      <c r="F916" s="126"/>
      <c r="G916" s="125"/>
      <c r="H916" s="125"/>
      <c r="I916" s="125"/>
      <c r="J916" s="125"/>
      <c r="K916" s="125"/>
      <c r="L916" s="125"/>
      <c r="M916" s="125"/>
      <c r="N916" s="129"/>
      <c r="O916" s="125"/>
      <c r="P916" s="173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spans="1:26" ht="15.75" customHeight="1">
      <c r="A917" s="125"/>
      <c r="B917" s="125"/>
      <c r="C917" s="125"/>
      <c r="D917" s="125"/>
      <c r="E917" s="125"/>
      <c r="F917" s="126"/>
      <c r="G917" s="125"/>
      <c r="H917" s="125"/>
      <c r="I917" s="125"/>
      <c r="J917" s="125"/>
      <c r="K917" s="125"/>
      <c r="L917" s="125"/>
      <c r="M917" s="125"/>
      <c r="N917" s="129"/>
      <c r="O917" s="125"/>
      <c r="P917" s="173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spans="1:26" ht="15.75" customHeight="1">
      <c r="A918" s="125"/>
      <c r="B918" s="125"/>
      <c r="C918" s="125"/>
      <c r="D918" s="125"/>
      <c r="E918" s="125"/>
      <c r="F918" s="126"/>
      <c r="G918" s="125"/>
      <c r="H918" s="125"/>
      <c r="I918" s="125"/>
      <c r="J918" s="125"/>
      <c r="K918" s="125"/>
      <c r="L918" s="125"/>
      <c r="M918" s="125"/>
      <c r="N918" s="129"/>
      <c r="O918" s="125"/>
      <c r="P918" s="173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spans="1:26" ht="15.75" customHeight="1">
      <c r="A919" s="125"/>
      <c r="B919" s="125"/>
      <c r="C919" s="125"/>
      <c r="D919" s="125"/>
      <c r="E919" s="125"/>
      <c r="F919" s="126"/>
      <c r="G919" s="125"/>
      <c r="H919" s="125"/>
      <c r="I919" s="125"/>
      <c r="J919" s="125"/>
      <c r="K919" s="125"/>
      <c r="L919" s="125"/>
      <c r="M919" s="125"/>
      <c r="N919" s="129"/>
      <c r="O919" s="125"/>
      <c r="P919" s="173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spans="1:26" ht="15.75" customHeight="1">
      <c r="A920" s="125"/>
      <c r="B920" s="125"/>
      <c r="C920" s="125"/>
      <c r="D920" s="125"/>
      <c r="E920" s="125"/>
      <c r="F920" s="126"/>
      <c r="G920" s="125"/>
      <c r="H920" s="125"/>
      <c r="I920" s="125"/>
      <c r="J920" s="125"/>
      <c r="K920" s="125"/>
      <c r="L920" s="125"/>
      <c r="M920" s="125"/>
      <c r="N920" s="129"/>
      <c r="O920" s="125"/>
      <c r="P920" s="173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spans="1:26" ht="15.75" customHeight="1">
      <c r="A921" s="125"/>
      <c r="B921" s="125"/>
      <c r="C921" s="125"/>
      <c r="D921" s="125"/>
      <c r="E921" s="125"/>
      <c r="F921" s="126"/>
      <c r="G921" s="125"/>
      <c r="H921" s="125"/>
      <c r="I921" s="125"/>
      <c r="J921" s="125"/>
      <c r="K921" s="125"/>
      <c r="L921" s="125"/>
      <c r="M921" s="125"/>
      <c r="N921" s="129"/>
      <c r="O921" s="125"/>
      <c r="P921" s="173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spans="1:26" ht="15.75" customHeight="1">
      <c r="A922" s="125"/>
      <c r="B922" s="125"/>
      <c r="C922" s="125"/>
      <c r="D922" s="125"/>
      <c r="E922" s="125"/>
      <c r="F922" s="126"/>
      <c r="G922" s="125"/>
      <c r="H922" s="125"/>
      <c r="I922" s="125"/>
      <c r="J922" s="125"/>
      <c r="K922" s="125"/>
      <c r="L922" s="125"/>
      <c r="M922" s="125"/>
      <c r="N922" s="129"/>
      <c r="O922" s="125"/>
      <c r="P922" s="173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spans="1:26" ht="15.75" customHeight="1">
      <c r="A923" s="125"/>
      <c r="B923" s="125"/>
      <c r="C923" s="125"/>
      <c r="D923" s="125"/>
      <c r="E923" s="125"/>
      <c r="F923" s="126"/>
      <c r="G923" s="125"/>
      <c r="H923" s="125"/>
      <c r="I923" s="125"/>
      <c r="J923" s="125"/>
      <c r="K923" s="125"/>
      <c r="L923" s="125"/>
      <c r="M923" s="125"/>
      <c r="N923" s="129"/>
      <c r="O923" s="125"/>
      <c r="P923" s="173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spans="1:26" ht="15.75" customHeight="1">
      <c r="A924" s="125"/>
      <c r="B924" s="125"/>
      <c r="C924" s="125"/>
      <c r="D924" s="125"/>
      <c r="E924" s="125"/>
      <c r="F924" s="126"/>
      <c r="G924" s="125"/>
      <c r="H924" s="125"/>
      <c r="I924" s="125"/>
      <c r="J924" s="125"/>
      <c r="K924" s="125"/>
      <c r="L924" s="125"/>
      <c r="M924" s="125"/>
      <c r="N924" s="129"/>
      <c r="O924" s="125"/>
      <c r="P924" s="173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spans="1:26" ht="15.75" customHeight="1">
      <c r="A925" s="125"/>
      <c r="B925" s="125"/>
      <c r="C925" s="125"/>
      <c r="D925" s="125"/>
      <c r="E925" s="125"/>
      <c r="F925" s="126"/>
      <c r="G925" s="125"/>
      <c r="H925" s="125"/>
      <c r="I925" s="125"/>
      <c r="J925" s="125"/>
      <c r="K925" s="125"/>
      <c r="L925" s="125"/>
      <c r="M925" s="125"/>
      <c r="N925" s="129"/>
      <c r="O925" s="125"/>
      <c r="P925" s="173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spans="1:26" ht="15.75" customHeight="1">
      <c r="A926" s="125"/>
      <c r="B926" s="125"/>
      <c r="C926" s="125"/>
      <c r="D926" s="125"/>
      <c r="E926" s="125"/>
      <c r="F926" s="126"/>
      <c r="G926" s="125"/>
      <c r="H926" s="125"/>
      <c r="I926" s="125"/>
      <c r="J926" s="125"/>
      <c r="K926" s="125"/>
      <c r="L926" s="125"/>
      <c r="M926" s="125"/>
      <c r="N926" s="129"/>
      <c r="O926" s="125"/>
      <c r="P926" s="173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spans="1:26" ht="15.75" customHeight="1">
      <c r="A927" s="125"/>
      <c r="B927" s="125"/>
      <c r="C927" s="125"/>
      <c r="D927" s="125"/>
      <c r="E927" s="125"/>
      <c r="F927" s="126"/>
      <c r="G927" s="125"/>
      <c r="H927" s="125"/>
      <c r="I927" s="125"/>
      <c r="J927" s="125"/>
      <c r="K927" s="125"/>
      <c r="L927" s="125"/>
      <c r="M927" s="125"/>
      <c r="N927" s="129"/>
      <c r="O927" s="125"/>
      <c r="P927" s="173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spans="1:26" ht="15.75" customHeight="1">
      <c r="A928" s="125"/>
      <c r="B928" s="125"/>
      <c r="C928" s="125"/>
      <c r="D928" s="125"/>
      <c r="E928" s="125"/>
      <c r="F928" s="126"/>
      <c r="G928" s="125"/>
      <c r="H928" s="125"/>
      <c r="I928" s="125"/>
      <c r="J928" s="125"/>
      <c r="K928" s="125"/>
      <c r="L928" s="125"/>
      <c r="M928" s="125"/>
      <c r="N928" s="129"/>
      <c r="O928" s="125"/>
      <c r="P928" s="173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spans="1:26" ht="15.75" customHeight="1">
      <c r="A929" s="125"/>
      <c r="B929" s="125"/>
      <c r="C929" s="125"/>
      <c r="D929" s="125"/>
      <c r="E929" s="125"/>
      <c r="F929" s="126"/>
      <c r="G929" s="125"/>
      <c r="H929" s="125"/>
      <c r="I929" s="125"/>
      <c r="J929" s="125"/>
      <c r="K929" s="125"/>
      <c r="L929" s="125"/>
      <c r="M929" s="125"/>
      <c r="N929" s="129"/>
      <c r="O929" s="125"/>
      <c r="P929" s="173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spans="1:26" ht="15.75" customHeight="1">
      <c r="A930" s="125"/>
      <c r="B930" s="125"/>
      <c r="C930" s="125"/>
      <c r="D930" s="125"/>
      <c r="E930" s="125"/>
      <c r="F930" s="126"/>
      <c r="G930" s="125"/>
      <c r="H930" s="125"/>
      <c r="I930" s="125"/>
      <c r="J930" s="125"/>
      <c r="K930" s="125"/>
      <c r="L930" s="125"/>
      <c r="M930" s="125"/>
      <c r="N930" s="129"/>
      <c r="O930" s="125"/>
      <c r="P930" s="173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spans="1:26" ht="15.75" customHeight="1">
      <c r="A931" s="125"/>
      <c r="B931" s="125"/>
      <c r="C931" s="125"/>
      <c r="D931" s="125"/>
      <c r="E931" s="125"/>
      <c r="F931" s="126"/>
      <c r="G931" s="125"/>
      <c r="H931" s="125"/>
      <c r="I931" s="125"/>
      <c r="J931" s="125"/>
      <c r="K931" s="125"/>
      <c r="L931" s="125"/>
      <c r="M931" s="125"/>
      <c r="N931" s="129"/>
      <c r="O931" s="125"/>
      <c r="P931" s="173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spans="1:26" ht="15.75" customHeight="1">
      <c r="A932" s="125"/>
      <c r="B932" s="125"/>
      <c r="C932" s="125"/>
      <c r="D932" s="125"/>
      <c r="E932" s="125"/>
      <c r="F932" s="126"/>
      <c r="G932" s="125"/>
      <c r="H932" s="125"/>
      <c r="I932" s="125"/>
      <c r="J932" s="125"/>
      <c r="K932" s="125"/>
      <c r="L932" s="125"/>
      <c r="M932" s="125"/>
      <c r="N932" s="129"/>
      <c r="O932" s="125"/>
      <c r="P932" s="173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spans="1:26" ht="15.75" customHeight="1">
      <c r="A933" s="125"/>
      <c r="B933" s="125"/>
      <c r="C933" s="125"/>
      <c r="D933" s="125"/>
      <c r="E933" s="125"/>
      <c r="F933" s="126"/>
      <c r="G933" s="125"/>
      <c r="H933" s="125"/>
      <c r="I933" s="125"/>
      <c r="J933" s="125"/>
      <c r="K933" s="125"/>
      <c r="L933" s="125"/>
      <c r="M933" s="125"/>
      <c r="N933" s="129"/>
      <c r="O933" s="125"/>
      <c r="P933" s="173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spans="1:26" ht="15.75" customHeight="1">
      <c r="A934" s="125"/>
      <c r="B934" s="125"/>
      <c r="C934" s="125"/>
      <c r="D934" s="125"/>
      <c r="E934" s="125"/>
      <c r="F934" s="126"/>
      <c r="G934" s="125"/>
      <c r="H934" s="125"/>
      <c r="I934" s="125"/>
      <c r="J934" s="125"/>
      <c r="K934" s="125"/>
      <c r="L934" s="125"/>
      <c r="M934" s="125"/>
      <c r="N934" s="129"/>
      <c r="O934" s="125"/>
      <c r="P934" s="173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spans="1:26" ht="15.75" customHeight="1">
      <c r="A935" s="125"/>
      <c r="B935" s="125"/>
      <c r="C935" s="125"/>
      <c r="D935" s="125"/>
      <c r="E935" s="125"/>
      <c r="F935" s="126"/>
      <c r="G935" s="125"/>
      <c r="H935" s="125"/>
      <c r="I935" s="125"/>
      <c r="J935" s="125"/>
      <c r="K935" s="125"/>
      <c r="L935" s="125"/>
      <c r="M935" s="125"/>
      <c r="N935" s="129"/>
      <c r="O935" s="125"/>
      <c r="P935" s="173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spans="1:26" ht="15.75" customHeight="1">
      <c r="A936" s="125"/>
      <c r="B936" s="125"/>
      <c r="C936" s="125"/>
      <c r="D936" s="125"/>
      <c r="E936" s="125"/>
      <c r="F936" s="126"/>
      <c r="G936" s="125"/>
      <c r="H936" s="125"/>
      <c r="I936" s="125"/>
      <c r="J936" s="125"/>
      <c r="K936" s="125"/>
      <c r="L936" s="125"/>
      <c r="M936" s="125"/>
      <c r="N936" s="129"/>
      <c r="O936" s="125"/>
      <c r="P936" s="173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spans="1:26" ht="15.75" customHeight="1">
      <c r="A937" s="125"/>
      <c r="B937" s="125"/>
      <c r="C937" s="125"/>
      <c r="D937" s="125"/>
      <c r="E937" s="125"/>
      <c r="F937" s="126"/>
      <c r="G937" s="125"/>
      <c r="H937" s="125"/>
      <c r="I937" s="125"/>
      <c r="J937" s="125"/>
      <c r="K937" s="125"/>
      <c r="L937" s="125"/>
      <c r="M937" s="125"/>
      <c r="N937" s="129"/>
      <c r="O937" s="125"/>
      <c r="P937" s="173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spans="1:26" ht="15.75" customHeight="1">
      <c r="A938" s="125"/>
      <c r="B938" s="125"/>
      <c r="C938" s="125"/>
      <c r="D938" s="125"/>
      <c r="E938" s="125"/>
      <c r="F938" s="126"/>
      <c r="G938" s="125"/>
      <c r="H938" s="125"/>
      <c r="I938" s="125"/>
      <c r="J938" s="125"/>
      <c r="K938" s="125"/>
      <c r="L938" s="125"/>
      <c r="M938" s="125"/>
      <c r="N938" s="129"/>
      <c r="O938" s="125"/>
      <c r="P938" s="173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spans="1:26" ht="15.75" customHeight="1">
      <c r="A939" s="125"/>
      <c r="B939" s="125"/>
      <c r="C939" s="125"/>
      <c r="D939" s="125"/>
      <c r="E939" s="125"/>
      <c r="F939" s="126"/>
      <c r="G939" s="125"/>
      <c r="H939" s="125"/>
      <c r="I939" s="125"/>
      <c r="J939" s="125"/>
      <c r="K939" s="125"/>
      <c r="L939" s="125"/>
      <c r="M939" s="125"/>
      <c r="N939" s="129"/>
      <c r="O939" s="125"/>
      <c r="P939" s="173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spans="1:26" ht="15.75" customHeight="1">
      <c r="A940" s="125"/>
      <c r="B940" s="125"/>
      <c r="C940" s="125"/>
      <c r="D940" s="125"/>
      <c r="E940" s="125"/>
      <c r="F940" s="126"/>
      <c r="G940" s="125"/>
      <c r="H940" s="125"/>
      <c r="I940" s="125"/>
      <c r="J940" s="125"/>
      <c r="K940" s="125"/>
      <c r="L940" s="125"/>
      <c r="M940" s="125"/>
      <c r="N940" s="129"/>
      <c r="O940" s="125"/>
      <c r="P940" s="173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spans="1:26" ht="15.75" customHeight="1">
      <c r="A941" s="125"/>
      <c r="B941" s="125"/>
      <c r="C941" s="125"/>
      <c r="D941" s="125"/>
      <c r="E941" s="125"/>
      <c r="F941" s="126"/>
      <c r="G941" s="125"/>
      <c r="H941" s="125"/>
      <c r="I941" s="125"/>
      <c r="J941" s="125"/>
      <c r="K941" s="125"/>
      <c r="L941" s="125"/>
      <c r="M941" s="125"/>
      <c r="N941" s="129"/>
      <c r="O941" s="125"/>
      <c r="P941" s="173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spans="1:26" ht="15.75" customHeight="1">
      <c r="A942" s="125"/>
      <c r="B942" s="125"/>
      <c r="C942" s="125"/>
      <c r="D942" s="125"/>
      <c r="E942" s="125"/>
      <c r="F942" s="126"/>
      <c r="G942" s="125"/>
      <c r="H942" s="125"/>
      <c r="I942" s="125"/>
      <c r="J942" s="125"/>
      <c r="K942" s="125"/>
      <c r="L942" s="125"/>
      <c r="M942" s="125"/>
      <c r="N942" s="129"/>
      <c r="O942" s="125"/>
      <c r="P942" s="173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spans="1:26" ht="15.75" customHeight="1">
      <c r="A943" s="125"/>
      <c r="B943" s="125"/>
      <c r="C943" s="125"/>
      <c r="D943" s="125"/>
      <c r="E943" s="125"/>
      <c r="F943" s="126"/>
      <c r="G943" s="125"/>
      <c r="H943" s="125"/>
      <c r="I943" s="125"/>
      <c r="J943" s="125"/>
      <c r="K943" s="125"/>
      <c r="L943" s="125"/>
      <c r="M943" s="125"/>
      <c r="N943" s="129"/>
      <c r="O943" s="125"/>
      <c r="P943" s="173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spans="1:26" ht="15.75" customHeight="1">
      <c r="A944" s="125"/>
      <c r="B944" s="125"/>
      <c r="C944" s="125"/>
      <c r="D944" s="125"/>
      <c r="E944" s="125"/>
      <c r="F944" s="126"/>
      <c r="G944" s="125"/>
      <c r="H944" s="125"/>
      <c r="I944" s="125"/>
      <c r="J944" s="125"/>
      <c r="K944" s="125"/>
      <c r="L944" s="125"/>
      <c r="M944" s="125"/>
      <c r="N944" s="129"/>
      <c r="O944" s="125"/>
      <c r="P944" s="173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spans="1:26" ht="15.75" customHeight="1">
      <c r="A945" s="125"/>
      <c r="B945" s="125"/>
      <c r="C945" s="125"/>
      <c r="D945" s="125"/>
      <c r="E945" s="125"/>
      <c r="F945" s="126"/>
      <c r="G945" s="125"/>
      <c r="H945" s="125"/>
      <c r="I945" s="125"/>
      <c r="J945" s="125"/>
      <c r="K945" s="125"/>
      <c r="L945" s="125"/>
      <c r="M945" s="125"/>
      <c r="N945" s="129"/>
      <c r="O945" s="125"/>
      <c r="P945" s="173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spans="1:26" ht="15.75" customHeight="1">
      <c r="A946" s="125"/>
      <c r="B946" s="125"/>
      <c r="C946" s="125"/>
      <c r="D946" s="125"/>
      <c r="E946" s="125"/>
      <c r="F946" s="126"/>
      <c r="G946" s="125"/>
      <c r="H946" s="125"/>
      <c r="I946" s="125"/>
      <c r="J946" s="125"/>
      <c r="K946" s="125"/>
      <c r="L946" s="125"/>
      <c r="M946" s="125"/>
      <c r="N946" s="129"/>
      <c r="O946" s="125"/>
      <c r="P946" s="173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spans="1:26" ht="15.75" customHeight="1">
      <c r="A947" s="125"/>
      <c r="B947" s="125"/>
      <c r="C947" s="125"/>
      <c r="D947" s="125"/>
      <c r="E947" s="125"/>
      <c r="F947" s="126"/>
      <c r="G947" s="125"/>
      <c r="H947" s="125"/>
      <c r="I947" s="125"/>
      <c r="J947" s="125"/>
      <c r="K947" s="125"/>
      <c r="L947" s="125"/>
      <c r="M947" s="125"/>
      <c r="N947" s="129"/>
      <c r="O947" s="125"/>
      <c r="P947" s="173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spans="1:26" ht="15.75" customHeight="1">
      <c r="A948" s="125"/>
      <c r="B948" s="125"/>
      <c r="C948" s="125"/>
      <c r="D948" s="125"/>
      <c r="E948" s="125"/>
      <c r="F948" s="126"/>
      <c r="G948" s="125"/>
      <c r="H948" s="125"/>
      <c r="I948" s="125"/>
      <c r="J948" s="125"/>
      <c r="K948" s="125"/>
      <c r="L948" s="125"/>
      <c r="M948" s="125"/>
      <c r="N948" s="129"/>
      <c r="O948" s="125"/>
      <c r="P948" s="173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spans="1:26" ht="15.75" customHeight="1">
      <c r="A949" s="125"/>
      <c r="B949" s="125"/>
      <c r="C949" s="125"/>
      <c r="D949" s="125"/>
      <c r="E949" s="125"/>
      <c r="F949" s="126"/>
      <c r="G949" s="125"/>
      <c r="H949" s="125"/>
      <c r="I949" s="125"/>
      <c r="J949" s="125"/>
      <c r="K949" s="125"/>
      <c r="L949" s="125"/>
      <c r="M949" s="125"/>
      <c r="N949" s="129"/>
      <c r="O949" s="125"/>
      <c r="P949" s="173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spans="1:26" ht="15.75" customHeight="1">
      <c r="A950" s="125"/>
      <c r="B950" s="125"/>
      <c r="C950" s="125"/>
      <c r="D950" s="125"/>
      <c r="E950" s="125"/>
      <c r="F950" s="126"/>
      <c r="G950" s="125"/>
      <c r="H950" s="125"/>
      <c r="I950" s="125"/>
      <c r="J950" s="125"/>
      <c r="K950" s="125"/>
      <c r="L950" s="125"/>
      <c r="M950" s="125"/>
      <c r="N950" s="129"/>
      <c r="O950" s="125"/>
      <c r="P950" s="173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spans="1:26" ht="15.75" customHeight="1">
      <c r="A951" s="125"/>
      <c r="B951" s="125"/>
      <c r="C951" s="125"/>
      <c r="D951" s="125"/>
      <c r="E951" s="125"/>
      <c r="F951" s="126"/>
      <c r="G951" s="125"/>
      <c r="H951" s="125"/>
      <c r="I951" s="125"/>
      <c r="J951" s="125"/>
      <c r="K951" s="125"/>
      <c r="L951" s="125"/>
      <c r="M951" s="125"/>
      <c r="N951" s="129"/>
      <c r="O951" s="125"/>
      <c r="P951" s="173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spans="1:26" ht="15.75" customHeight="1">
      <c r="A952" s="125"/>
      <c r="B952" s="125"/>
      <c r="C952" s="125"/>
      <c r="D952" s="125"/>
      <c r="E952" s="125"/>
      <c r="F952" s="126"/>
      <c r="G952" s="125"/>
      <c r="H952" s="125"/>
      <c r="I952" s="125"/>
      <c r="J952" s="125"/>
      <c r="K952" s="125"/>
      <c r="L952" s="125"/>
      <c r="M952" s="125"/>
      <c r="N952" s="129"/>
      <c r="O952" s="125"/>
      <c r="P952" s="173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spans="1:26" ht="15.75" customHeight="1">
      <c r="A953" s="125"/>
      <c r="B953" s="125"/>
      <c r="C953" s="125"/>
      <c r="D953" s="125"/>
      <c r="E953" s="125"/>
      <c r="F953" s="126"/>
      <c r="G953" s="125"/>
      <c r="H953" s="125"/>
      <c r="I953" s="125"/>
      <c r="J953" s="125"/>
      <c r="K953" s="125"/>
      <c r="L953" s="125"/>
      <c r="M953" s="125"/>
      <c r="N953" s="129"/>
      <c r="O953" s="125"/>
      <c r="P953" s="173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spans="1:26" ht="15.75" customHeight="1">
      <c r="A954" s="125"/>
      <c r="B954" s="125"/>
      <c r="C954" s="125"/>
      <c r="D954" s="125"/>
      <c r="E954" s="125"/>
      <c r="F954" s="126"/>
      <c r="G954" s="125"/>
      <c r="H954" s="125"/>
      <c r="I954" s="125"/>
      <c r="J954" s="125"/>
      <c r="K954" s="125"/>
      <c r="L954" s="125"/>
      <c r="M954" s="125"/>
      <c r="N954" s="129"/>
      <c r="O954" s="125"/>
      <c r="P954" s="173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spans="1:26" ht="15.75" customHeight="1">
      <c r="A955" s="125"/>
      <c r="B955" s="125"/>
      <c r="C955" s="125"/>
      <c r="D955" s="125"/>
      <c r="E955" s="125"/>
      <c r="F955" s="126"/>
      <c r="G955" s="125"/>
      <c r="H955" s="125"/>
      <c r="I955" s="125"/>
      <c r="J955" s="125"/>
      <c r="K955" s="125"/>
      <c r="L955" s="125"/>
      <c r="M955" s="125"/>
      <c r="N955" s="129"/>
      <c r="O955" s="125"/>
      <c r="P955" s="173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spans="1:26" ht="15.75" customHeight="1">
      <c r="A956" s="125"/>
      <c r="B956" s="125"/>
      <c r="C956" s="125"/>
      <c r="D956" s="125"/>
      <c r="E956" s="125"/>
      <c r="F956" s="126"/>
      <c r="G956" s="125"/>
      <c r="H956" s="125"/>
      <c r="I956" s="125"/>
      <c r="J956" s="125"/>
      <c r="K956" s="125"/>
      <c r="L956" s="125"/>
      <c r="M956" s="125"/>
      <c r="N956" s="129"/>
      <c r="O956" s="125"/>
      <c r="P956" s="173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spans="1:26" ht="15.75" customHeight="1">
      <c r="A957" s="125"/>
      <c r="B957" s="125"/>
      <c r="C957" s="125"/>
      <c r="D957" s="125"/>
      <c r="E957" s="125"/>
      <c r="F957" s="126"/>
      <c r="G957" s="125"/>
      <c r="H957" s="125"/>
      <c r="I957" s="125"/>
      <c r="J957" s="125"/>
      <c r="K957" s="125"/>
      <c r="L957" s="125"/>
      <c r="M957" s="125"/>
      <c r="N957" s="129"/>
      <c r="O957" s="125"/>
      <c r="P957" s="173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spans="1:26" ht="15.75" customHeight="1">
      <c r="A958" s="125"/>
      <c r="B958" s="125"/>
      <c r="C958" s="125"/>
      <c r="D958" s="125"/>
      <c r="E958" s="125"/>
      <c r="F958" s="126"/>
      <c r="G958" s="125"/>
      <c r="H958" s="125"/>
      <c r="I958" s="125"/>
      <c r="J958" s="125"/>
      <c r="K958" s="125"/>
      <c r="L958" s="125"/>
      <c r="M958" s="125"/>
      <c r="N958" s="129"/>
      <c r="O958" s="125"/>
      <c r="P958" s="173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spans="1:26" ht="15.75" customHeight="1">
      <c r="A959" s="125"/>
      <c r="B959" s="125"/>
      <c r="C959" s="125"/>
      <c r="D959" s="125"/>
      <c r="E959" s="125"/>
      <c r="F959" s="126"/>
      <c r="G959" s="125"/>
      <c r="H959" s="125"/>
      <c r="I959" s="125"/>
      <c r="J959" s="125"/>
      <c r="K959" s="125"/>
      <c r="L959" s="125"/>
      <c r="M959" s="125"/>
      <c r="N959" s="129"/>
      <c r="O959" s="125"/>
      <c r="P959" s="173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spans="1:26" ht="15.75" customHeight="1">
      <c r="A960" s="125"/>
      <c r="B960" s="125"/>
      <c r="C960" s="125"/>
      <c r="D960" s="125"/>
      <c r="E960" s="125"/>
      <c r="F960" s="126"/>
      <c r="G960" s="125"/>
      <c r="H960" s="125"/>
      <c r="I960" s="125"/>
      <c r="J960" s="125"/>
      <c r="K960" s="125"/>
      <c r="L960" s="125"/>
      <c r="M960" s="125"/>
      <c r="N960" s="129"/>
      <c r="O960" s="125"/>
      <c r="P960" s="173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spans="1:26" ht="15.75" customHeight="1">
      <c r="A961" s="125"/>
      <c r="B961" s="125"/>
      <c r="C961" s="125"/>
      <c r="D961" s="125"/>
      <c r="E961" s="125"/>
      <c r="F961" s="126"/>
      <c r="G961" s="125"/>
      <c r="H961" s="125"/>
      <c r="I961" s="125"/>
      <c r="J961" s="125"/>
      <c r="K961" s="125"/>
      <c r="L961" s="125"/>
      <c r="M961" s="125"/>
      <c r="N961" s="129"/>
      <c r="O961" s="125"/>
      <c r="P961" s="173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spans="1:26" ht="15.75" customHeight="1">
      <c r="A962" s="125"/>
      <c r="B962" s="125"/>
      <c r="C962" s="125"/>
      <c r="D962" s="125"/>
      <c r="E962" s="125"/>
      <c r="F962" s="126"/>
      <c r="G962" s="125"/>
      <c r="H962" s="125"/>
      <c r="I962" s="125"/>
      <c r="J962" s="125"/>
      <c r="K962" s="125"/>
      <c r="L962" s="125"/>
      <c r="M962" s="125"/>
      <c r="N962" s="129"/>
      <c r="O962" s="125"/>
      <c r="P962" s="173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spans="1:26" ht="15.75" customHeight="1">
      <c r="A963" s="125"/>
      <c r="B963" s="125"/>
      <c r="C963" s="125"/>
      <c r="D963" s="125"/>
      <c r="E963" s="125"/>
      <c r="F963" s="126"/>
      <c r="G963" s="125"/>
      <c r="H963" s="125"/>
      <c r="I963" s="125"/>
      <c r="J963" s="125"/>
      <c r="K963" s="125"/>
      <c r="L963" s="125"/>
      <c r="M963" s="125"/>
      <c r="N963" s="129"/>
      <c r="O963" s="125"/>
      <c r="P963" s="173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spans="1:26" ht="15.75" customHeight="1">
      <c r="A964" s="125"/>
      <c r="B964" s="125"/>
      <c r="C964" s="125"/>
      <c r="D964" s="125"/>
      <c r="E964" s="125"/>
      <c r="F964" s="126"/>
      <c r="G964" s="125"/>
      <c r="H964" s="125"/>
      <c r="I964" s="125"/>
      <c r="J964" s="125"/>
      <c r="K964" s="125"/>
      <c r="L964" s="125"/>
      <c r="M964" s="125"/>
      <c r="N964" s="129"/>
      <c r="O964" s="125"/>
      <c r="P964" s="173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spans="1:26" ht="15.75" customHeight="1">
      <c r="A965" s="125"/>
      <c r="B965" s="125"/>
      <c r="C965" s="125"/>
      <c r="D965" s="125"/>
      <c r="E965" s="125"/>
      <c r="F965" s="126"/>
      <c r="G965" s="125"/>
      <c r="H965" s="125"/>
      <c r="I965" s="125"/>
      <c r="J965" s="125"/>
      <c r="K965" s="125"/>
      <c r="L965" s="125"/>
      <c r="M965" s="125"/>
      <c r="N965" s="129"/>
      <c r="O965" s="125"/>
      <c r="P965" s="173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spans="1:26" ht="15.75" customHeight="1">
      <c r="A966" s="125"/>
      <c r="B966" s="125"/>
      <c r="C966" s="125"/>
      <c r="D966" s="125"/>
      <c r="E966" s="125"/>
      <c r="F966" s="126"/>
      <c r="G966" s="125"/>
      <c r="H966" s="125"/>
      <c r="I966" s="125"/>
      <c r="J966" s="125"/>
      <c r="K966" s="125"/>
      <c r="L966" s="125"/>
      <c r="M966" s="125"/>
      <c r="N966" s="129"/>
      <c r="O966" s="125"/>
      <c r="P966" s="173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spans="1:26" ht="15.75" customHeight="1">
      <c r="A967" s="125"/>
      <c r="B967" s="125"/>
      <c r="C967" s="125"/>
      <c r="D967" s="125"/>
      <c r="E967" s="125"/>
      <c r="F967" s="126"/>
      <c r="G967" s="125"/>
      <c r="H967" s="125"/>
      <c r="I967" s="125"/>
      <c r="J967" s="125"/>
      <c r="K967" s="125"/>
      <c r="L967" s="125"/>
      <c r="M967" s="125"/>
      <c r="N967" s="129"/>
      <c r="O967" s="125"/>
      <c r="P967" s="173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spans="1:26" ht="15.75" customHeight="1">
      <c r="A968" s="125"/>
      <c r="B968" s="125"/>
      <c r="C968" s="125"/>
      <c r="D968" s="125"/>
      <c r="E968" s="125"/>
      <c r="F968" s="126"/>
      <c r="G968" s="125"/>
      <c r="H968" s="125"/>
      <c r="I968" s="125"/>
      <c r="J968" s="125"/>
      <c r="K968" s="125"/>
      <c r="L968" s="125"/>
      <c r="M968" s="125"/>
      <c r="N968" s="129"/>
      <c r="O968" s="125"/>
      <c r="P968" s="173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spans="1:26" ht="15.75" customHeight="1">
      <c r="A969" s="125"/>
      <c r="B969" s="125"/>
      <c r="C969" s="125"/>
      <c r="D969" s="125"/>
      <c r="E969" s="125"/>
      <c r="F969" s="126"/>
      <c r="G969" s="125"/>
      <c r="H969" s="125"/>
      <c r="I969" s="125"/>
      <c r="J969" s="125"/>
      <c r="K969" s="125"/>
      <c r="L969" s="125"/>
      <c r="M969" s="125"/>
      <c r="N969" s="129"/>
      <c r="O969" s="125"/>
      <c r="P969" s="173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spans="1:26" ht="15.75" customHeight="1">
      <c r="A970" s="125"/>
      <c r="B970" s="125"/>
      <c r="C970" s="125"/>
      <c r="D970" s="125"/>
      <c r="E970" s="125"/>
      <c r="F970" s="126"/>
      <c r="G970" s="125"/>
      <c r="H970" s="125"/>
      <c r="I970" s="125"/>
      <c r="J970" s="125"/>
      <c r="K970" s="125"/>
      <c r="L970" s="125"/>
      <c r="M970" s="125"/>
      <c r="N970" s="129"/>
      <c r="O970" s="125"/>
      <c r="P970" s="173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spans="1:26" ht="15.75" customHeight="1">
      <c r="A971" s="125"/>
      <c r="B971" s="125"/>
      <c r="C971" s="125"/>
      <c r="D971" s="125"/>
      <c r="E971" s="125"/>
      <c r="F971" s="126"/>
      <c r="G971" s="125"/>
      <c r="H971" s="125"/>
      <c r="I971" s="125"/>
      <c r="J971" s="125"/>
      <c r="K971" s="125"/>
      <c r="L971" s="125"/>
      <c r="M971" s="125"/>
      <c r="N971" s="129"/>
      <c r="O971" s="125"/>
      <c r="P971" s="173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spans="1:26" ht="15.75" customHeight="1">
      <c r="A972" s="125"/>
      <c r="B972" s="125"/>
      <c r="C972" s="125"/>
      <c r="D972" s="125"/>
      <c r="E972" s="125"/>
      <c r="F972" s="126"/>
      <c r="G972" s="125"/>
      <c r="H972" s="125"/>
      <c r="I972" s="125"/>
      <c r="J972" s="125"/>
      <c r="K972" s="125"/>
      <c r="L972" s="125"/>
      <c r="M972" s="125"/>
      <c r="N972" s="129"/>
      <c r="O972" s="125"/>
      <c r="P972" s="173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spans="1:26" ht="15.75" customHeight="1">
      <c r="A973" s="125"/>
      <c r="B973" s="125"/>
      <c r="C973" s="125"/>
      <c r="D973" s="125"/>
      <c r="E973" s="125"/>
      <c r="F973" s="126"/>
      <c r="G973" s="125"/>
      <c r="H973" s="125"/>
      <c r="I973" s="125"/>
      <c r="J973" s="125"/>
      <c r="K973" s="125"/>
      <c r="L973" s="125"/>
      <c r="M973" s="125"/>
      <c r="N973" s="129"/>
      <c r="O973" s="125"/>
      <c r="P973" s="173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spans="1:26" ht="15.75" customHeight="1">
      <c r="A974" s="125"/>
      <c r="B974" s="125"/>
      <c r="C974" s="125"/>
      <c r="D974" s="125"/>
      <c r="E974" s="125"/>
      <c r="F974" s="126"/>
      <c r="G974" s="125"/>
      <c r="H974" s="125"/>
      <c r="I974" s="125"/>
      <c r="J974" s="125"/>
      <c r="K974" s="125"/>
      <c r="L974" s="125"/>
      <c r="M974" s="125"/>
      <c r="N974" s="129"/>
      <c r="O974" s="125"/>
      <c r="P974" s="173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spans="1:26" ht="15.75" customHeight="1">
      <c r="A975" s="125"/>
      <c r="B975" s="125"/>
      <c r="C975" s="125"/>
      <c r="D975" s="125"/>
      <c r="E975" s="125"/>
      <c r="F975" s="126"/>
      <c r="G975" s="125"/>
      <c r="H975" s="125"/>
      <c r="I975" s="125"/>
      <c r="J975" s="125"/>
      <c r="K975" s="125"/>
      <c r="L975" s="125"/>
      <c r="M975" s="125"/>
      <c r="N975" s="129"/>
      <c r="O975" s="125"/>
      <c r="P975" s="173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spans="1:26" ht="15.75" customHeight="1">
      <c r="A976" s="125"/>
      <c r="B976" s="125"/>
      <c r="C976" s="125"/>
      <c r="D976" s="125"/>
      <c r="E976" s="125"/>
      <c r="F976" s="126"/>
      <c r="G976" s="125"/>
      <c r="H976" s="125"/>
      <c r="I976" s="125"/>
      <c r="J976" s="125"/>
      <c r="K976" s="125"/>
      <c r="L976" s="125"/>
      <c r="M976" s="125"/>
      <c r="N976" s="129"/>
      <c r="O976" s="125"/>
      <c r="P976" s="173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spans="1:26" ht="15.75" customHeight="1">
      <c r="A977" s="125"/>
      <c r="B977" s="125"/>
      <c r="C977" s="125"/>
      <c r="D977" s="125"/>
      <c r="E977" s="125"/>
      <c r="F977" s="126"/>
      <c r="G977" s="125"/>
      <c r="H977" s="125"/>
      <c r="I977" s="125"/>
      <c r="J977" s="125"/>
      <c r="K977" s="125"/>
      <c r="L977" s="125"/>
      <c r="M977" s="125"/>
      <c r="N977" s="129"/>
      <c r="O977" s="125"/>
      <c r="P977" s="173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spans="1:26" ht="15.75" customHeight="1">
      <c r="A978" s="125"/>
      <c r="B978" s="125"/>
      <c r="C978" s="125"/>
      <c r="D978" s="125"/>
      <c r="E978" s="125"/>
      <c r="F978" s="126"/>
      <c r="G978" s="125"/>
      <c r="H978" s="125"/>
      <c r="I978" s="125"/>
      <c r="J978" s="125"/>
      <c r="K978" s="125"/>
      <c r="L978" s="125"/>
      <c r="M978" s="125"/>
      <c r="N978" s="129"/>
      <c r="O978" s="125"/>
      <c r="P978" s="173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spans="1:26" ht="15.75" customHeight="1">
      <c r="A979" s="125"/>
      <c r="B979" s="125"/>
      <c r="C979" s="125"/>
      <c r="D979" s="125"/>
      <c r="E979" s="125"/>
      <c r="F979" s="126"/>
      <c r="G979" s="125"/>
      <c r="H979" s="125"/>
      <c r="I979" s="125"/>
      <c r="J979" s="125"/>
      <c r="K979" s="125"/>
      <c r="L979" s="125"/>
      <c r="M979" s="125"/>
      <c r="N979" s="129"/>
      <c r="O979" s="125"/>
      <c r="P979" s="173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spans="1:26" ht="15.75" customHeight="1">
      <c r="A980" s="125"/>
      <c r="B980" s="125"/>
      <c r="C980" s="125"/>
      <c r="D980" s="125"/>
      <c r="E980" s="125"/>
      <c r="F980" s="126"/>
      <c r="G980" s="125"/>
      <c r="H980" s="125"/>
      <c r="I980" s="125"/>
      <c r="J980" s="125"/>
      <c r="K980" s="125"/>
      <c r="L980" s="125"/>
      <c r="M980" s="125"/>
      <c r="N980" s="129"/>
      <c r="O980" s="125"/>
      <c r="P980" s="173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spans="1:26" ht="15.75" customHeight="1">
      <c r="A981" s="125"/>
      <c r="B981" s="125"/>
      <c r="C981" s="125"/>
      <c r="D981" s="125"/>
      <c r="E981" s="125"/>
      <c r="F981" s="126"/>
      <c r="G981" s="125"/>
      <c r="H981" s="125"/>
      <c r="I981" s="125"/>
      <c r="J981" s="125"/>
      <c r="K981" s="125"/>
      <c r="L981" s="125"/>
      <c r="M981" s="125"/>
      <c r="N981" s="129"/>
      <c r="O981" s="125"/>
      <c r="P981" s="173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spans="1:26" ht="15.75" customHeight="1">
      <c r="A982" s="125"/>
      <c r="B982" s="125"/>
      <c r="C982" s="125"/>
      <c r="D982" s="125"/>
      <c r="E982" s="125"/>
      <c r="F982" s="126"/>
      <c r="G982" s="125"/>
      <c r="H982" s="125"/>
      <c r="I982" s="125"/>
      <c r="J982" s="125"/>
      <c r="K982" s="125"/>
      <c r="L982" s="125"/>
      <c r="M982" s="125"/>
      <c r="N982" s="129"/>
      <c r="O982" s="125"/>
      <c r="P982" s="173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spans="1:26" ht="15.75" customHeight="1">
      <c r="A983" s="125"/>
      <c r="B983" s="125"/>
      <c r="C983" s="125"/>
      <c r="D983" s="125"/>
      <c r="E983" s="125"/>
      <c r="F983" s="126"/>
      <c r="G983" s="125"/>
      <c r="H983" s="125"/>
      <c r="I983" s="125"/>
      <c r="J983" s="125"/>
      <c r="K983" s="125"/>
      <c r="L983" s="125"/>
      <c r="M983" s="125"/>
      <c r="N983" s="129"/>
      <c r="O983" s="125"/>
      <c r="P983" s="173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spans="1:26" ht="15.75" customHeight="1">
      <c r="A984" s="125"/>
      <c r="B984" s="125"/>
      <c r="C984" s="125"/>
      <c r="D984" s="125"/>
      <c r="E984" s="125"/>
      <c r="F984" s="126"/>
      <c r="G984" s="125"/>
      <c r="H984" s="125"/>
      <c r="I984" s="125"/>
      <c r="J984" s="125"/>
      <c r="K984" s="125"/>
      <c r="L984" s="125"/>
      <c r="M984" s="125"/>
      <c r="N984" s="129"/>
      <c r="O984" s="125"/>
      <c r="P984" s="173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spans="1:26" ht="15.75" customHeight="1">
      <c r="A985" s="125"/>
      <c r="B985" s="125"/>
      <c r="C985" s="125"/>
      <c r="D985" s="125"/>
      <c r="E985" s="125"/>
      <c r="F985" s="126"/>
      <c r="G985" s="125"/>
      <c r="H985" s="125"/>
      <c r="I985" s="125"/>
      <c r="J985" s="125"/>
      <c r="K985" s="125"/>
      <c r="L985" s="125"/>
      <c r="M985" s="125"/>
      <c r="N985" s="129"/>
      <c r="O985" s="125"/>
      <c r="P985" s="173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spans="1:26" ht="15.75" customHeight="1">
      <c r="A986" s="125"/>
      <c r="B986" s="125"/>
      <c r="C986" s="125"/>
      <c r="D986" s="125"/>
      <c r="E986" s="125"/>
      <c r="F986" s="126"/>
      <c r="G986" s="125"/>
      <c r="H986" s="125"/>
      <c r="I986" s="125"/>
      <c r="J986" s="125"/>
      <c r="K986" s="125"/>
      <c r="L986" s="125"/>
      <c r="M986" s="125"/>
      <c r="N986" s="129"/>
      <c r="O986" s="125"/>
      <c r="P986" s="173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spans="1:26" ht="15.75" customHeight="1">
      <c r="A987" s="125"/>
      <c r="B987" s="125"/>
      <c r="C987" s="125"/>
      <c r="D987" s="125"/>
      <c r="E987" s="125"/>
      <c r="F987" s="126"/>
      <c r="G987" s="125"/>
      <c r="H987" s="125"/>
      <c r="I987" s="125"/>
      <c r="J987" s="125"/>
      <c r="K987" s="125"/>
      <c r="L987" s="125"/>
      <c r="M987" s="125"/>
      <c r="N987" s="129"/>
      <c r="O987" s="125"/>
      <c r="P987" s="173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spans="1:26" ht="15.75" customHeight="1">
      <c r="A988" s="125"/>
      <c r="B988" s="125"/>
      <c r="C988" s="125"/>
      <c r="D988" s="125"/>
      <c r="E988" s="125"/>
      <c r="F988" s="126"/>
      <c r="G988" s="125"/>
      <c r="H988" s="125"/>
      <c r="I988" s="125"/>
      <c r="J988" s="125"/>
      <c r="K988" s="125"/>
      <c r="L988" s="125"/>
      <c r="M988" s="125"/>
      <c r="N988" s="129"/>
      <c r="O988" s="125"/>
      <c r="P988" s="173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spans="1:26" ht="15.75" customHeight="1">
      <c r="A989" s="125"/>
      <c r="B989" s="125"/>
      <c r="C989" s="125"/>
      <c r="D989" s="125"/>
      <c r="E989" s="125"/>
      <c r="F989" s="126"/>
      <c r="G989" s="125"/>
      <c r="H989" s="125"/>
      <c r="I989" s="125"/>
      <c r="J989" s="125"/>
      <c r="K989" s="125"/>
      <c r="L989" s="125"/>
      <c r="M989" s="125"/>
      <c r="N989" s="129"/>
      <c r="O989" s="125"/>
      <c r="P989" s="173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spans="1:26" ht="15.75" customHeight="1">
      <c r="A990" s="125"/>
      <c r="B990" s="125"/>
      <c r="C990" s="125"/>
      <c r="D990" s="125"/>
      <c r="E990" s="125"/>
      <c r="F990" s="126"/>
      <c r="G990" s="125"/>
      <c r="H990" s="125"/>
      <c r="I990" s="125"/>
      <c r="J990" s="125"/>
      <c r="K990" s="125"/>
      <c r="L990" s="125"/>
      <c r="M990" s="125"/>
      <c r="N990" s="129"/>
      <c r="O990" s="125"/>
      <c r="P990" s="173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spans="1:26" ht="15.75" customHeight="1">
      <c r="A991" s="125"/>
      <c r="B991" s="125"/>
      <c r="C991" s="125"/>
      <c r="D991" s="125"/>
      <c r="E991" s="125"/>
      <c r="F991" s="126"/>
      <c r="G991" s="125"/>
      <c r="H991" s="125"/>
      <c r="I991" s="125"/>
      <c r="J991" s="125"/>
      <c r="K991" s="125"/>
      <c r="L991" s="125"/>
      <c r="M991" s="125"/>
      <c r="N991" s="129"/>
      <c r="O991" s="125"/>
      <c r="P991" s="173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spans="1:26" ht="15.75" customHeight="1">
      <c r="A992" s="125"/>
      <c r="B992" s="125"/>
      <c r="C992" s="125"/>
      <c r="D992" s="125"/>
      <c r="E992" s="125"/>
      <c r="F992" s="126"/>
      <c r="G992" s="125"/>
      <c r="H992" s="125"/>
      <c r="I992" s="125"/>
      <c r="J992" s="125"/>
      <c r="K992" s="125"/>
      <c r="L992" s="125"/>
      <c r="M992" s="125"/>
      <c r="N992" s="129"/>
      <c r="O992" s="125"/>
      <c r="P992" s="173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spans="1:26" ht="15.75" customHeight="1">
      <c r="A993" s="125"/>
      <c r="B993" s="125"/>
      <c r="C993" s="125"/>
      <c r="D993" s="125"/>
      <c r="E993" s="125"/>
      <c r="F993" s="126"/>
      <c r="G993" s="125"/>
      <c r="H993" s="125"/>
      <c r="I993" s="125"/>
      <c r="J993" s="125"/>
      <c r="K993" s="125"/>
      <c r="L993" s="125"/>
      <c r="M993" s="125"/>
      <c r="N993" s="129"/>
      <c r="O993" s="125"/>
      <c r="P993" s="173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spans="1:26" ht="15.75" customHeight="1">
      <c r="A994" s="125"/>
      <c r="B994" s="125"/>
      <c r="C994" s="125"/>
      <c r="D994" s="125"/>
      <c r="E994" s="125"/>
      <c r="F994" s="126"/>
      <c r="G994" s="125"/>
      <c r="H994" s="125"/>
      <c r="I994" s="125"/>
      <c r="J994" s="125"/>
      <c r="K994" s="125"/>
      <c r="L994" s="125"/>
      <c r="M994" s="125"/>
      <c r="N994" s="129"/>
      <c r="O994" s="125"/>
      <c r="P994" s="173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spans="1:26" ht="15.75" customHeight="1">
      <c r="A995" s="125"/>
      <c r="B995" s="125"/>
      <c r="C995" s="125"/>
      <c r="D995" s="125"/>
      <c r="E995" s="125"/>
      <c r="F995" s="126"/>
      <c r="G995" s="125"/>
      <c r="H995" s="125"/>
      <c r="I995" s="125"/>
      <c r="J995" s="125"/>
      <c r="K995" s="125"/>
      <c r="L995" s="125"/>
      <c r="M995" s="125"/>
      <c r="N995" s="129"/>
      <c r="O995" s="125"/>
      <c r="P995" s="173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spans="1:26" ht="15.75" customHeight="1">
      <c r="A996" s="125"/>
      <c r="B996" s="125"/>
      <c r="C996" s="125"/>
      <c r="D996" s="125"/>
      <c r="E996" s="125"/>
      <c r="F996" s="126"/>
      <c r="G996" s="125"/>
      <c r="H996" s="125"/>
      <c r="I996" s="125"/>
      <c r="J996" s="125"/>
      <c r="K996" s="125"/>
      <c r="L996" s="125"/>
      <c r="M996" s="125"/>
      <c r="N996" s="129"/>
      <c r="O996" s="125"/>
      <c r="P996" s="173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spans="1:26" ht="15.75" customHeight="1">
      <c r="A997" s="125"/>
      <c r="B997" s="125"/>
      <c r="C997" s="125"/>
      <c r="D997" s="125"/>
      <c r="E997" s="125"/>
      <c r="F997" s="126"/>
      <c r="G997" s="125"/>
      <c r="H997" s="125"/>
      <c r="I997" s="125"/>
      <c r="J997" s="125"/>
      <c r="K997" s="125"/>
      <c r="L997" s="125"/>
      <c r="M997" s="125"/>
      <c r="N997" s="129"/>
      <c r="O997" s="125"/>
      <c r="P997" s="173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spans="1:26" ht="15.75" customHeight="1">
      <c r="A998" s="125"/>
      <c r="B998" s="125"/>
      <c r="C998" s="125"/>
      <c r="D998" s="125"/>
      <c r="E998" s="125"/>
      <c r="F998" s="126"/>
      <c r="G998" s="125"/>
      <c r="H998" s="125"/>
      <c r="I998" s="125"/>
      <c r="J998" s="125"/>
      <c r="K998" s="125"/>
      <c r="L998" s="125"/>
      <c r="M998" s="125"/>
      <c r="N998" s="129"/>
      <c r="O998" s="125"/>
      <c r="P998" s="173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spans="1:26" ht="15.75" customHeight="1">
      <c r="A999" s="125"/>
      <c r="B999" s="125"/>
      <c r="C999" s="125"/>
      <c r="D999" s="125"/>
      <c r="E999" s="125"/>
      <c r="F999" s="126"/>
      <c r="G999" s="125"/>
      <c r="H999" s="125"/>
      <c r="I999" s="125"/>
      <c r="J999" s="125"/>
      <c r="K999" s="125"/>
      <c r="L999" s="125"/>
      <c r="M999" s="125"/>
      <c r="N999" s="129"/>
      <c r="O999" s="125"/>
      <c r="P999" s="173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spans="1:26" ht="15.75" customHeight="1">
      <c r="A1000" s="125"/>
      <c r="B1000" s="125"/>
      <c r="C1000" s="125"/>
      <c r="D1000" s="125"/>
      <c r="E1000" s="125"/>
      <c r="F1000" s="126"/>
      <c r="G1000" s="125"/>
      <c r="H1000" s="125"/>
      <c r="I1000" s="125"/>
      <c r="J1000" s="125"/>
      <c r="K1000" s="125"/>
      <c r="L1000" s="125"/>
      <c r="M1000" s="125"/>
      <c r="N1000" s="129"/>
      <c r="O1000" s="125"/>
      <c r="P1000" s="173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autoFilter ref="B5:N140" xr:uid="{00000000-0009-0000-0000-000009000000}"/>
  <conditionalFormatting sqref="E6:E138">
    <cfRule type="containsText" dxfId="1" priority="1" operator="containsText" text="EZD">
      <formula>NOT(ISERROR(SEARCH(("EZD"),(E6))))</formula>
    </cfRule>
  </conditionalFormatting>
  <pageMargins left="0.7" right="0.7" top="0.75" bottom="0.75" header="0" footer="0"/>
  <pageSetup paperSize="9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Z1000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4.42578125" defaultRowHeight="15" customHeight="1" outlineLevelRow="1"/>
  <cols>
    <col min="1" max="1" width="6.28515625" customWidth="1"/>
    <col min="2" max="4" width="8.42578125" customWidth="1"/>
    <col min="5" max="5" width="25.42578125" customWidth="1"/>
    <col min="6" max="6" width="13.42578125" customWidth="1"/>
    <col min="7" max="12" width="12.5703125" customWidth="1"/>
    <col min="13" max="13" width="13" customWidth="1"/>
    <col min="14" max="14" width="11.42578125" customWidth="1"/>
    <col min="15" max="15" width="13.5703125" customWidth="1"/>
    <col min="16" max="16" width="8.42578125" customWidth="1"/>
    <col min="17" max="17" width="12.5703125" customWidth="1"/>
    <col min="18" max="26" width="8.42578125" customWidth="1"/>
  </cols>
  <sheetData>
    <row r="1" spans="1:26">
      <c r="A1" s="125"/>
      <c r="B1" s="125"/>
      <c r="C1" s="125"/>
      <c r="D1" s="125"/>
      <c r="E1" s="125"/>
      <c r="F1" s="126"/>
      <c r="G1" s="125"/>
      <c r="H1" s="125"/>
      <c r="I1" s="125"/>
      <c r="J1" s="125"/>
      <c r="K1" s="125"/>
      <c r="L1" s="125"/>
      <c r="M1" s="125"/>
      <c r="N1" s="129"/>
      <c r="O1" s="125"/>
      <c r="P1" s="173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>
      <c r="A2" s="125"/>
      <c r="B2" s="125"/>
      <c r="C2" s="125"/>
      <c r="D2" s="125"/>
      <c r="E2" s="125"/>
      <c r="F2" s="126"/>
      <c r="G2" s="126">
        <v>7</v>
      </c>
      <c r="H2" s="126">
        <f t="shared" ref="H2:M2" si="0">G2+2</f>
        <v>9</v>
      </c>
      <c r="I2" s="126">
        <f t="shared" si="0"/>
        <v>11</v>
      </c>
      <c r="J2" s="126">
        <f t="shared" si="0"/>
        <v>13</v>
      </c>
      <c r="K2" s="126">
        <f t="shared" si="0"/>
        <v>15</v>
      </c>
      <c r="L2" s="126">
        <f t="shared" si="0"/>
        <v>17</v>
      </c>
      <c r="M2" s="126">
        <f t="shared" si="0"/>
        <v>19</v>
      </c>
      <c r="N2" s="129"/>
      <c r="O2" s="125"/>
      <c r="P2" s="185"/>
      <c r="Q2" s="125" t="s">
        <v>318</v>
      </c>
      <c r="R2" s="125"/>
      <c r="S2" s="125"/>
      <c r="T2" s="125"/>
      <c r="U2" s="125"/>
      <c r="V2" s="125"/>
      <c r="W2" s="125"/>
      <c r="X2" s="125"/>
      <c r="Y2" s="125"/>
      <c r="Z2" s="125"/>
    </row>
    <row r="3" spans="1:26">
      <c r="A3" s="125"/>
      <c r="B3" s="125"/>
      <c r="C3" s="125"/>
      <c r="D3" s="125"/>
      <c r="E3" s="125" t="s">
        <v>2775</v>
      </c>
      <c r="F3" s="133" t="str">
        <f>"EST. OS "&amp;'KPS #48'!$B$2&amp;'KPS #48'!$C$2</f>
        <v>EST. OS 48</v>
      </c>
      <c r="G3" s="134" t="s">
        <v>2776</v>
      </c>
      <c r="H3" s="134" t="s">
        <v>2777</v>
      </c>
      <c r="I3" s="134" t="s">
        <v>2778</v>
      </c>
      <c r="J3" s="134" t="s">
        <v>2779</v>
      </c>
      <c r="K3" s="134" t="s">
        <v>2780</v>
      </c>
      <c r="L3" s="134" t="s">
        <v>2781</v>
      </c>
      <c r="M3" s="134" t="s">
        <v>2782</v>
      </c>
      <c r="N3" s="129"/>
      <c r="O3" s="173">
        <f>N4-O4</f>
        <v>0</v>
      </c>
      <c r="P3" s="190"/>
      <c r="Q3" s="125" t="s">
        <v>317</v>
      </c>
      <c r="R3" s="125"/>
      <c r="S3" s="125"/>
      <c r="T3" s="125"/>
      <c r="U3" s="125"/>
      <c r="V3" s="125"/>
      <c r="W3" s="125"/>
      <c r="X3" s="125"/>
      <c r="Y3" s="125"/>
      <c r="Z3" s="125"/>
    </row>
    <row r="4" spans="1:26">
      <c r="A4" s="136"/>
      <c r="B4" s="136" t="s">
        <v>2783</v>
      </c>
      <c r="C4" s="136"/>
      <c r="D4" s="136"/>
      <c r="E4" s="137" t="s">
        <v>112</v>
      </c>
      <c r="F4" s="233">
        <v>0</v>
      </c>
      <c r="G4" s="234">
        <f>IFERROR(VLOOKUP($E$4,'KPS #48'!$D:$W,G$2,0),0)</f>
        <v>100</v>
      </c>
      <c r="H4" s="234">
        <f>IFERROR(VLOOKUP($E$4,'KPS #48'!$D:$W,H$2,0),0)</f>
        <v>0</v>
      </c>
      <c r="I4" s="234">
        <f>IFERROR(VLOOKUP($E$4,'KPS #48'!$D:$W,I$2,0),0)</f>
        <v>100</v>
      </c>
      <c r="J4" s="234">
        <f>IFERROR(VLOOKUP($E$4,'KPS #48'!$D:$W,J$2,0),0)</f>
        <v>0</v>
      </c>
      <c r="K4" s="234">
        <f>IFERROR(VLOOKUP($E$4,'KPS #48'!$D:$W,K$2,0),0)</f>
        <v>0</v>
      </c>
      <c r="L4" s="234">
        <f>IFERROR(VLOOKUP($E$4,'KPS #48'!$D:$W,L$2,0),0)</f>
        <v>200</v>
      </c>
      <c r="M4" s="234">
        <f>IFERROR(VLOOKUP($E$4,'KPS #48'!$D:$W,M$2,0),0)</f>
        <v>0</v>
      </c>
      <c r="N4" s="235">
        <f>SUM(F4:M4)</f>
        <v>400</v>
      </c>
      <c r="O4" s="142">
        <f>F140</f>
        <v>400</v>
      </c>
      <c r="P4" s="161"/>
      <c r="Q4" s="125" t="s">
        <v>2784</v>
      </c>
      <c r="R4" s="125"/>
      <c r="S4" s="125"/>
      <c r="T4" s="125"/>
      <c r="U4" s="125"/>
      <c r="V4" s="125"/>
      <c r="W4" s="125"/>
      <c r="X4" s="125"/>
      <c r="Y4" s="125"/>
      <c r="Z4" s="125"/>
    </row>
    <row r="5" spans="1:26" ht="33.75">
      <c r="A5" s="143" t="s">
        <v>325</v>
      </c>
      <c r="B5" s="144" t="s">
        <v>326</v>
      </c>
      <c r="C5" s="144" t="s">
        <v>327</v>
      </c>
      <c r="D5" s="144" t="s">
        <v>2785</v>
      </c>
      <c r="E5" s="145" t="s">
        <v>327</v>
      </c>
      <c r="F5" s="236" t="s">
        <v>2786</v>
      </c>
      <c r="G5" s="237" t="s">
        <v>2786</v>
      </c>
      <c r="H5" s="238" t="s">
        <v>2786</v>
      </c>
      <c r="I5" s="238" t="s">
        <v>2786</v>
      </c>
      <c r="J5" s="238" t="s">
        <v>2786</v>
      </c>
      <c r="K5" s="238" t="s">
        <v>2786</v>
      </c>
      <c r="L5" s="238" t="s">
        <v>2786</v>
      </c>
      <c r="M5" s="239" t="s">
        <v>2786</v>
      </c>
      <c r="N5" s="149" t="s">
        <v>291</v>
      </c>
      <c r="O5" s="125"/>
      <c r="P5" s="173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spans="1:26" ht="14.25" customHeight="1" outlineLevel="1">
      <c r="A6" s="150">
        <v>1</v>
      </c>
      <c r="B6" s="150" t="s">
        <v>332</v>
      </c>
      <c r="C6" s="150" t="str">
        <f t="shared" ref="C6:C18" si="1">MID(E6,4,LEN(E6))</f>
        <v xml:space="preserve"> Medan 1</v>
      </c>
      <c r="D6" s="150" t="str">
        <f t="shared" ref="D6:D19" si="2">IFERROR(VLOOKUP($E$4&amp;C6,#REF!,2,FALSE),"")</f>
        <v/>
      </c>
      <c r="E6" s="240" t="s">
        <v>335</v>
      </c>
      <c r="F6" s="241"/>
      <c r="G6" s="242"/>
      <c r="H6" s="243"/>
      <c r="I6" s="243"/>
      <c r="J6" s="243"/>
      <c r="K6" s="243"/>
      <c r="L6" s="243"/>
      <c r="M6" s="244"/>
      <c r="N6" s="245">
        <f t="shared" ref="N6:N19" si="3">SUM(F6:M6)</f>
        <v>0</v>
      </c>
      <c r="O6" s="125"/>
      <c r="P6" s="173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spans="1:26" ht="14.25" customHeight="1" outlineLevel="1">
      <c r="A7" s="150">
        <v>1</v>
      </c>
      <c r="B7" s="150" t="s">
        <v>336</v>
      </c>
      <c r="C7" s="150" t="str">
        <f t="shared" si="1"/>
        <v xml:space="preserve"> Langkat</v>
      </c>
      <c r="D7" s="150" t="str">
        <f t="shared" si="2"/>
        <v/>
      </c>
      <c r="E7" s="240" t="s">
        <v>337</v>
      </c>
      <c r="F7" s="241"/>
      <c r="G7" s="242"/>
      <c r="H7" s="243"/>
      <c r="I7" s="243"/>
      <c r="J7" s="243"/>
      <c r="K7" s="243"/>
      <c r="L7" s="243"/>
      <c r="M7" s="244"/>
      <c r="N7" s="245">
        <f t="shared" si="3"/>
        <v>0</v>
      </c>
      <c r="O7" s="125"/>
      <c r="P7" s="173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spans="1:26" ht="14.25" customHeight="1" outlineLevel="1">
      <c r="A8" s="150">
        <v>1</v>
      </c>
      <c r="B8" s="150" t="s">
        <v>338</v>
      </c>
      <c r="C8" s="150" t="str">
        <f t="shared" si="1"/>
        <v xml:space="preserve"> Medan 2</v>
      </c>
      <c r="D8" s="150" t="str">
        <f t="shared" si="2"/>
        <v/>
      </c>
      <c r="E8" s="240" t="s">
        <v>339</v>
      </c>
      <c r="F8" s="241"/>
      <c r="G8" s="242"/>
      <c r="H8" s="243"/>
      <c r="I8" s="243"/>
      <c r="J8" s="243"/>
      <c r="K8" s="243"/>
      <c r="L8" s="243"/>
      <c r="M8" s="244"/>
      <c r="N8" s="245">
        <f t="shared" si="3"/>
        <v>0</v>
      </c>
      <c r="O8" s="125"/>
      <c r="P8" s="173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spans="1:26" ht="14.25" customHeight="1" outlineLevel="1">
      <c r="A9" s="150">
        <v>1</v>
      </c>
      <c r="B9" s="150" t="s">
        <v>340</v>
      </c>
      <c r="C9" s="150" t="str">
        <f t="shared" si="1"/>
        <v xml:space="preserve"> Tanah Karo</v>
      </c>
      <c r="D9" s="150" t="str">
        <f t="shared" si="2"/>
        <v/>
      </c>
      <c r="E9" s="240" t="s">
        <v>341</v>
      </c>
      <c r="F9" s="241"/>
      <c r="G9" s="242"/>
      <c r="H9" s="243"/>
      <c r="I9" s="243"/>
      <c r="J9" s="243"/>
      <c r="K9" s="243"/>
      <c r="L9" s="243"/>
      <c r="M9" s="244"/>
      <c r="N9" s="245">
        <f t="shared" si="3"/>
        <v>0</v>
      </c>
      <c r="O9" s="125"/>
      <c r="P9" s="173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spans="1:26" ht="14.25" customHeight="1" outlineLevel="1">
      <c r="A10" s="150">
        <v>1</v>
      </c>
      <c r="B10" s="150" t="s">
        <v>342</v>
      </c>
      <c r="C10" s="150" t="str">
        <f t="shared" si="1"/>
        <v xml:space="preserve"> Pematang Siantar</v>
      </c>
      <c r="D10" s="150" t="str">
        <f t="shared" si="2"/>
        <v/>
      </c>
      <c r="E10" s="240" t="s">
        <v>343</v>
      </c>
      <c r="F10" s="241"/>
      <c r="G10" s="242"/>
      <c r="H10" s="243"/>
      <c r="I10" s="243"/>
      <c r="J10" s="243"/>
      <c r="K10" s="243"/>
      <c r="L10" s="243"/>
      <c r="M10" s="244"/>
      <c r="N10" s="245">
        <f t="shared" si="3"/>
        <v>0</v>
      </c>
      <c r="O10" s="125"/>
      <c r="P10" s="173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spans="1:26" ht="14.25" customHeight="1" outlineLevel="1">
      <c r="A11" s="150">
        <v>1</v>
      </c>
      <c r="B11" s="150" t="s">
        <v>344</v>
      </c>
      <c r="C11" s="150" t="str">
        <f t="shared" si="1"/>
        <v xml:space="preserve"> Rantau Prapat</v>
      </c>
      <c r="D11" s="150" t="str">
        <f t="shared" si="2"/>
        <v/>
      </c>
      <c r="E11" s="240" t="s">
        <v>345</v>
      </c>
      <c r="F11" s="241"/>
      <c r="G11" s="242"/>
      <c r="H11" s="243"/>
      <c r="I11" s="243"/>
      <c r="J11" s="243"/>
      <c r="K11" s="243"/>
      <c r="L11" s="243"/>
      <c r="M11" s="244"/>
      <c r="N11" s="245">
        <f t="shared" si="3"/>
        <v>0</v>
      </c>
      <c r="O11" s="125"/>
      <c r="P11" s="173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spans="1:26" ht="14.25" customHeight="1" outlineLevel="1">
      <c r="A12" s="150">
        <v>1</v>
      </c>
      <c r="B12" s="150" t="s">
        <v>346</v>
      </c>
      <c r="C12" s="150" t="str">
        <f t="shared" si="1"/>
        <v xml:space="preserve"> Kisaran</v>
      </c>
      <c r="D12" s="150" t="str">
        <f t="shared" si="2"/>
        <v/>
      </c>
      <c r="E12" s="240" t="s">
        <v>347</v>
      </c>
      <c r="F12" s="241"/>
      <c r="G12" s="242"/>
      <c r="H12" s="243"/>
      <c r="I12" s="243"/>
      <c r="J12" s="243"/>
      <c r="K12" s="243"/>
      <c r="L12" s="243"/>
      <c r="M12" s="244"/>
      <c r="N12" s="245">
        <f t="shared" si="3"/>
        <v>0</v>
      </c>
      <c r="O12" s="125"/>
      <c r="P12" s="173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spans="1:26" ht="14.25" customHeight="1" outlineLevel="1">
      <c r="A13" s="150">
        <v>1</v>
      </c>
      <c r="B13" s="150" t="s">
        <v>348</v>
      </c>
      <c r="C13" s="150" t="str">
        <f t="shared" si="1"/>
        <v xml:space="preserve"> Banda Aceh</v>
      </c>
      <c r="D13" s="150" t="str">
        <f t="shared" si="2"/>
        <v/>
      </c>
      <c r="E13" s="240" t="s">
        <v>349</v>
      </c>
      <c r="F13" s="241"/>
      <c r="G13" s="242"/>
      <c r="H13" s="243"/>
      <c r="I13" s="243"/>
      <c r="J13" s="243"/>
      <c r="K13" s="243"/>
      <c r="L13" s="243"/>
      <c r="M13" s="244"/>
      <c r="N13" s="245">
        <f t="shared" si="3"/>
        <v>0</v>
      </c>
      <c r="O13" s="125"/>
      <c r="P13" s="173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spans="1:26" ht="14.25" customHeight="1" outlineLevel="1">
      <c r="A14" s="150">
        <v>1</v>
      </c>
      <c r="B14" s="150" t="s">
        <v>350</v>
      </c>
      <c r="C14" s="150" t="str">
        <f t="shared" si="1"/>
        <v xml:space="preserve"> Meulaboh</v>
      </c>
      <c r="D14" s="150" t="str">
        <f t="shared" si="2"/>
        <v/>
      </c>
      <c r="E14" s="240" t="s">
        <v>351</v>
      </c>
      <c r="F14" s="241"/>
      <c r="G14" s="242"/>
      <c r="H14" s="243"/>
      <c r="I14" s="243"/>
      <c r="J14" s="243"/>
      <c r="K14" s="243"/>
      <c r="L14" s="243"/>
      <c r="M14" s="244"/>
      <c r="N14" s="245">
        <f t="shared" si="3"/>
        <v>0</v>
      </c>
      <c r="O14" s="125"/>
      <c r="P14" s="173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spans="1:26" ht="14.25" customHeight="1" outlineLevel="1">
      <c r="A15" s="150">
        <v>1</v>
      </c>
      <c r="B15" s="150" t="s">
        <v>352</v>
      </c>
      <c r="C15" s="150" t="str">
        <f t="shared" si="1"/>
        <v xml:space="preserve"> Lhokseumawe</v>
      </c>
      <c r="D15" s="150" t="str">
        <f t="shared" si="2"/>
        <v/>
      </c>
      <c r="E15" s="240" t="s">
        <v>353</v>
      </c>
      <c r="F15" s="241"/>
      <c r="G15" s="242"/>
      <c r="H15" s="243"/>
      <c r="I15" s="243"/>
      <c r="J15" s="243"/>
      <c r="K15" s="243"/>
      <c r="L15" s="243"/>
      <c r="M15" s="244"/>
      <c r="N15" s="245">
        <f t="shared" si="3"/>
        <v>0</v>
      </c>
      <c r="O15" s="125"/>
      <c r="P15" s="173"/>
      <c r="Q15" s="125"/>
      <c r="R15" s="125"/>
      <c r="S15" s="125"/>
      <c r="T15" s="125"/>
      <c r="U15" s="125"/>
      <c r="V15" s="125"/>
      <c r="W15" s="125"/>
      <c r="X15" s="125"/>
      <c r="Y15" s="125"/>
      <c r="Z15" s="125"/>
    </row>
    <row r="16" spans="1:26" ht="14.25" customHeight="1" outlineLevel="1">
      <c r="A16" s="150">
        <v>1</v>
      </c>
      <c r="B16" s="150" t="s">
        <v>354</v>
      </c>
      <c r="C16" s="150" t="str">
        <f t="shared" si="1"/>
        <v xml:space="preserve"> Langsa</v>
      </c>
      <c r="D16" s="150" t="str">
        <f t="shared" si="2"/>
        <v/>
      </c>
      <c r="E16" s="240" t="s">
        <v>355</v>
      </c>
      <c r="F16" s="241"/>
      <c r="G16" s="242"/>
      <c r="H16" s="243"/>
      <c r="I16" s="243"/>
      <c r="J16" s="243"/>
      <c r="K16" s="243"/>
      <c r="L16" s="243"/>
      <c r="M16" s="244"/>
      <c r="N16" s="245">
        <f t="shared" si="3"/>
        <v>0</v>
      </c>
      <c r="O16" s="125"/>
      <c r="P16" s="173"/>
      <c r="Q16" s="125"/>
      <c r="R16" s="125"/>
      <c r="S16" s="125"/>
      <c r="T16" s="125"/>
      <c r="U16" s="125"/>
      <c r="V16" s="125"/>
      <c r="W16" s="125"/>
      <c r="X16" s="125"/>
      <c r="Y16" s="125"/>
      <c r="Z16" s="125"/>
    </row>
    <row r="17" spans="1:26" ht="14.25" customHeight="1" outlineLevel="1">
      <c r="A17" s="150">
        <v>1</v>
      </c>
      <c r="B17" s="150" t="s">
        <v>356</v>
      </c>
      <c r="C17" s="150" t="str">
        <f t="shared" si="1"/>
        <v xml:space="preserve"> Padang Sidempuan</v>
      </c>
      <c r="D17" s="150" t="str">
        <f t="shared" si="2"/>
        <v/>
      </c>
      <c r="E17" s="240" t="s">
        <v>357</v>
      </c>
      <c r="F17" s="241"/>
      <c r="G17" s="242"/>
      <c r="H17" s="243"/>
      <c r="I17" s="243"/>
      <c r="J17" s="243"/>
      <c r="K17" s="243"/>
      <c r="L17" s="243"/>
      <c r="M17" s="244"/>
      <c r="N17" s="245">
        <f t="shared" si="3"/>
        <v>0</v>
      </c>
      <c r="O17" s="125"/>
      <c r="P17" s="173"/>
      <c r="Q17" s="125"/>
      <c r="R17" s="125"/>
      <c r="S17" s="125"/>
      <c r="T17" s="125"/>
      <c r="U17" s="125"/>
      <c r="V17" s="125"/>
      <c r="W17" s="125"/>
      <c r="X17" s="125"/>
      <c r="Y17" s="125"/>
      <c r="Z17" s="125"/>
    </row>
    <row r="18" spans="1:26" ht="14.25" customHeight="1" outlineLevel="1">
      <c r="A18" s="150">
        <v>1</v>
      </c>
      <c r="B18" s="150" t="s">
        <v>358</v>
      </c>
      <c r="C18" s="150" t="str">
        <f t="shared" si="1"/>
        <v xml:space="preserve"> Sibolga</v>
      </c>
      <c r="D18" s="150" t="str">
        <f t="shared" si="2"/>
        <v/>
      </c>
      <c r="E18" s="240" t="s">
        <v>359</v>
      </c>
      <c r="F18" s="246"/>
      <c r="G18" s="242"/>
      <c r="H18" s="243"/>
      <c r="I18" s="243"/>
      <c r="J18" s="243"/>
      <c r="K18" s="243"/>
      <c r="L18" s="243"/>
      <c r="M18" s="244"/>
      <c r="N18" s="247">
        <f t="shared" si="3"/>
        <v>0</v>
      </c>
      <c r="O18" s="125"/>
      <c r="P18" s="173"/>
      <c r="Q18" s="125"/>
      <c r="R18" s="125"/>
      <c r="S18" s="125"/>
      <c r="T18" s="125"/>
      <c r="U18" s="125"/>
      <c r="V18" s="125"/>
      <c r="W18" s="125"/>
      <c r="X18" s="125"/>
      <c r="Y18" s="125"/>
      <c r="Z18" s="125"/>
    </row>
    <row r="19" spans="1:26" ht="14.25" customHeight="1" outlineLevel="1">
      <c r="A19" s="157">
        <v>1</v>
      </c>
      <c r="B19" s="157" t="s">
        <v>360</v>
      </c>
      <c r="C19" s="157" t="s">
        <v>361</v>
      </c>
      <c r="D19" s="157" t="str">
        <f t="shared" si="2"/>
        <v/>
      </c>
      <c r="E19" s="157" t="s">
        <v>363</v>
      </c>
      <c r="F19" s="246">
        <v>30</v>
      </c>
      <c r="G19" s="248"/>
      <c r="H19" s="249"/>
      <c r="I19" s="250"/>
      <c r="J19" s="250"/>
      <c r="K19" s="250"/>
      <c r="L19" s="243"/>
      <c r="M19" s="244"/>
      <c r="N19" s="247">
        <f t="shared" si="3"/>
        <v>30</v>
      </c>
      <c r="O19" s="125"/>
      <c r="P19" s="173"/>
      <c r="Q19" s="125"/>
      <c r="R19" s="125"/>
      <c r="S19" s="125"/>
      <c r="T19" s="125"/>
      <c r="U19" s="125"/>
      <c r="V19" s="125"/>
      <c r="W19" s="125"/>
      <c r="X19" s="125"/>
      <c r="Y19" s="125"/>
      <c r="Z19" s="125"/>
    </row>
    <row r="20" spans="1:26">
      <c r="A20" s="162" t="s">
        <v>364</v>
      </c>
      <c r="B20" s="162"/>
      <c r="C20" s="162"/>
      <c r="D20" s="162">
        <v>1</v>
      </c>
      <c r="E20" s="162" t="s">
        <v>365</v>
      </c>
      <c r="F20" s="251">
        <f t="shared" ref="F20:N20" si="4">SUM(F6:F19)</f>
        <v>30</v>
      </c>
      <c r="G20" s="251">
        <f t="shared" si="4"/>
        <v>0</v>
      </c>
      <c r="H20" s="251">
        <f t="shared" si="4"/>
        <v>0</v>
      </c>
      <c r="I20" s="251">
        <f t="shared" si="4"/>
        <v>0</v>
      </c>
      <c r="J20" s="251">
        <f t="shared" si="4"/>
        <v>0</v>
      </c>
      <c r="K20" s="251">
        <f t="shared" si="4"/>
        <v>0</v>
      </c>
      <c r="L20" s="251">
        <f t="shared" si="4"/>
        <v>0</v>
      </c>
      <c r="M20" s="251">
        <f t="shared" si="4"/>
        <v>0</v>
      </c>
      <c r="N20" s="251">
        <f t="shared" si="4"/>
        <v>30</v>
      </c>
      <c r="O20" s="125"/>
      <c r="P20" s="173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spans="1:26" ht="14.25" hidden="1" customHeight="1" outlineLevel="1">
      <c r="A21" s="168">
        <v>10</v>
      </c>
      <c r="B21" s="168" t="s">
        <v>366</v>
      </c>
      <c r="C21" s="168" t="str">
        <f t="shared" ref="C21:C29" si="5">MID(E21,4,LEN(E21))</f>
        <v xml:space="preserve"> Padang</v>
      </c>
      <c r="D21" s="168" t="str">
        <f t="shared" ref="D21:D29" si="6">IFERROR(VLOOKUP($E$4&amp;C21,#REF!,2,FALSE),"")</f>
        <v/>
      </c>
      <c r="E21" s="252" t="s">
        <v>368</v>
      </c>
      <c r="F21" s="246"/>
      <c r="G21" s="242"/>
      <c r="H21" s="243"/>
      <c r="I21" s="249"/>
      <c r="J21" s="243"/>
      <c r="K21" s="243"/>
      <c r="L21" s="243"/>
      <c r="M21" s="244"/>
      <c r="N21" s="247">
        <f t="shared" ref="N21:N29" si="7">SUM(F21:M21)</f>
        <v>0</v>
      </c>
      <c r="O21" s="125"/>
      <c r="P21" s="173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spans="1:26" ht="14.25" hidden="1" customHeight="1" outlineLevel="1">
      <c r="A22" s="168">
        <v>4</v>
      </c>
      <c r="B22" s="168" t="s">
        <v>369</v>
      </c>
      <c r="C22" s="168" t="str">
        <f t="shared" si="5"/>
        <v xml:space="preserve"> Solok</v>
      </c>
      <c r="D22" s="168" t="str">
        <f t="shared" si="6"/>
        <v/>
      </c>
      <c r="E22" s="253" t="s">
        <v>371</v>
      </c>
      <c r="F22" s="246"/>
      <c r="G22" s="242"/>
      <c r="H22" s="243"/>
      <c r="I22" s="243"/>
      <c r="J22" s="243"/>
      <c r="K22" s="249"/>
      <c r="L22" s="243"/>
      <c r="M22" s="244"/>
      <c r="N22" s="247">
        <f t="shared" si="7"/>
        <v>0</v>
      </c>
      <c r="O22" s="125"/>
      <c r="P22" s="173"/>
      <c r="Q22" s="125"/>
      <c r="R22" s="125"/>
      <c r="S22" s="125"/>
      <c r="T22" s="125"/>
      <c r="U22" s="125"/>
      <c r="V22" s="125"/>
      <c r="W22" s="125"/>
      <c r="X22" s="125"/>
      <c r="Y22" s="125"/>
      <c r="Z22" s="125"/>
    </row>
    <row r="23" spans="1:26" ht="14.25" hidden="1" customHeight="1" outlineLevel="1">
      <c r="A23" s="168">
        <v>4</v>
      </c>
      <c r="B23" s="168" t="s">
        <v>372</v>
      </c>
      <c r="C23" s="168" t="str">
        <f t="shared" si="5"/>
        <v xml:space="preserve"> Bukittinggi</v>
      </c>
      <c r="D23" s="168" t="str">
        <f t="shared" si="6"/>
        <v/>
      </c>
      <c r="E23" s="253" t="s">
        <v>374</v>
      </c>
      <c r="F23" s="246"/>
      <c r="G23" s="242"/>
      <c r="H23" s="243"/>
      <c r="I23" s="243"/>
      <c r="J23" s="243"/>
      <c r="K23" s="249"/>
      <c r="L23" s="249"/>
      <c r="M23" s="244"/>
      <c r="N23" s="247">
        <f t="shared" si="7"/>
        <v>0</v>
      </c>
      <c r="O23" s="125"/>
      <c r="P23" s="173"/>
      <c r="Q23" s="125"/>
      <c r="R23" s="125"/>
      <c r="S23" s="125"/>
      <c r="T23" s="125"/>
      <c r="U23" s="125"/>
      <c r="V23" s="125"/>
      <c r="W23" s="125"/>
      <c r="X23" s="125"/>
      <c r="Y23" s="125"/>
      <c r="Z23" s="125"/>
    </row>
    <row r="24" spans="1:26" ht="14.25" hidden="1" customHeight="1" outlineLevel="1">
      <c r="A24" s="168">
        <v>12</v>
      </c>
      <c r="B24" s="168" t="s">
        <v>375</v>
      </c>
      <c r="C24" s="168" t="str">
        <f t="shared" si="5"/>
        <v xml:space="preserve"> Pekanbaru</v>
      </c>
      <c r="D24" s="168" t="str">
        <f t="shared" si="6"/>
        <v/>
      </c>
      <c r="E24" s="252" t="s">
        <v>376</v>
      </c>
      <c r="F24" s="246"/>
      <c r="G24" s="242"/>
      <c r="H24" s="243"/>
      <c r="I24" s="243"/>
      <c r="J24" s="249"/>
      <c r="K24" s="243"/>
      <c r="L24" s="243"/>
      <c r="M24" s="244"/>
      <c r="N24" s="247">
        <f t="shared" si="7"/>
        <v>0</v>
      </c>
      <c r="O24" s="125"/>
      <c r="P24" s="173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26" ht="14.25" hidden="1" customHeight="1" outlineLevel="1">
      <c r="A25" s="168">
        <v>10</v>
      </c>
      <c r="B25" s="168" t="s">
        <v>377</v>
      </c>
      <c r="C25" s="168" t="str">
        <f t="shared" si="5"/>
        <v xml:space="preserve"> Duri</v>
      </c>
      <c r="D25" s="168" t="str">
        <f t="shared" si="6"/>
        <v/>
      </c>
      <c r="E25" s="252" t="s">
        <v>379</v>
      </c>
      <c r="F25" s="246"/>
      <c r="G25" s="242"/>
      <c r="H25" s="243"/>
      <c r="I25" s="243"/>
      <c r="J25" s="249"/>
      <c r="K25" s="249"/>
      <c r="L25" s="243"/>
      <c r="M25" s="244"/>
      <c r="N25" s="247">
        <f t="shared" si="7"/>
        <v>0</v>
      </c>
      <c r="O25" s="125"/>
      <c r="P25" s="173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26" ht="14.25" hidden="1" customHeight="1" outlineLevel="1">
      <c r="A26" s="168">
        <v>5</v>
      </c>
      <c r="B26" s="168" t="s">
        <v>380</v>
      </c>
      <c r="C26" s="168" t="str">
        <f t="shared" si="5"/>
        <v xml:space="preserve"> Air Molek</v>
      </c>
      <c r="D26" s="168" t="str">
        <f t="shared" si="6"/>
        <v/>
      </c>
      <c r="E26" s="252" t="s">
        <v>381</v>
      </c>
      <c r="F26" s="246"/>
      <c r="G26" s="242"/>
      <c r="H26" s="243"/>
      <c r="I26" s="243"/>
      <c r="J26" s="243"/>
      <c r="K26" s="249"/>
      <c r="L26" s="243"/>
      <c r="M26" s="244"/>
      <c r="N26" s="247">
        <f t="shared" si="7"/>
        <v>0</v>
      </c>
      <c r="O26" s="125"/>
      <c r="P26" s="173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26" ht="14.25" hidden="1" customHeight="1" outlineLevel="1">
      <c r="A27" s="168">
        <v>14</v>
      </c>
      <c r="B27" s="168" t="s">
        <v>382</v>
      </c>
      <c r="C27" s="168" t="str">
        <f t="shared" si="5"/>
        <v xml:space="preserve"> Batam</v>
      </c>
      <c r="D27" s="168" t="str">
        <f t="shared" si="6"/>
        <v/>
      </c>
      <c r="E27" s="252" t="s">
        <v>383</v>
      </c>
      <c r="F27" s="246"/>
      <c r="G27" s="242"/>
      <c r="H27" s="243"/>
      <c r="I27" s="243"/>
      <c r="J27" s="249"/>
      <c r="K27" s="243"/>
      <c r="L27" s="243"/>
      <c r="M27" s="244"/>
      <c r="N27" s="247">
        <f t="shared" si="7"/>
        <v>0</v>
      </c>
      <c r="O27" s="125"/>
      <c r="P27" s="173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26" ht="14.25" hidden="1" customHeight="1" outlineLevel="1">
      <c r="A28" s="168"/>
      <c r="B28" s="168" t="s">
        <v>384</v>
      </c>
      <c r="C28" s="168" t="str">
        <f t="shared" si="5"/>
        <v xml:space="preserve"> Tanjung Pinang</v>
      </c>
      <c r="D28" s="168" t="str">
        <f t="shared" si="6"/>
        <v/>
      </c>
      <c r="E28" s="252" t="s">
        <v>386</v>
      </c>
      <c r="F28" s="246"/>
      <c r="G28" s="242"/>
      <c r="H28" s="243"/>
      <c r="I28" s="249"/>
      <c r="J28" s="243"/>
      <c r="K28" s="243"/>
      <c r="L28" s="243"/>
      <c r="M28" s="244"/>
      <c r="N28" s="247">
        <f t="shared" si="7"/>
        <v>0</v>
      </c>
      <c r="O28" s="125"/>
      <c r="P28" s="173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26" ht="14.25" hidden="1" customHeight="1" outlineLevel="1">
      <c r="A29" s="168"/>
      <c r="B29" s="168" t="s">
        <v>387</v>
      </c>
      <c r="C29" s="168" t="str">
        <f t="shared" si="5"/>
        <v xml:space="preserve"> Tanjung Balai Karimun</v>
      </c>
      <c r="D29" s="168" t="str">
        <f t="shared" si="6"/>
        <v/>
      </c>
      <c r="E29" s="252" t="s">
        <v>389</v>
      </c>
      <c r="F29" s="246"/>
      <c r="G29" s="242"/>
      <c r="H29" s="243"/>
      <c r="I29" s="243"/>
      <c r="J29" s="249"/>
      <c r="K29" s="243"/>
      <c r="L29" s="243"/>
      <c r="M29" s="244"/>
      <c r="N29" s="247">
        <f t="shared" si="7"/>
        <v>0</v>
      </c>
      <c r="O29" s="125"/>
      <c r="P29" s="173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26" ht="15.75" customHeight="1" collapsed="1">
      <c r="A30" s="162" t="s">
        <v>390</v>
      </c>
      <c r="B30" s="162"/>
      <c r="C30" s="162"/>
      <c r="D30" s="162">
        <v>1</v>
      </c>
      <c r="E30" s="162" t="s">
        <v>391</v>
      </c>
      <c r="F30" s="251">
        <f t="shared" ref="F30:N30" si="8">SUM(F21:F29)</f>
        <v>0</v>
      </c>
      <c r="G30" s="251">
        <f t="shared" si="8"/>
        <v>0</v>
      </c>
      <c r="H30" s="251">
        <f t="shared" si="8"/>
        <v>0</v>
      </c>
      <c r="I30" s="251">
        <f t="shared" si="8"/>
        <v>0</v>
      </c>
      <c r="J30" s="251">
        <f t="shared" si="8"/>
        <v>0</v>
      </c>
      <c r="K30" s="251">
        <f t="shared" si="8"/>
        <v>0</v>
      </c>
      <c r="L30" s="251">
        <f t="shared" si="8"/>
        <v>0</v>
      </c>
      <c r="M30" s="251">
        <f t="shared" si="8"/>
        <v>0</v>
      </c>
      <c r="N30" s="251">
        <f t="shared" si="8"/>
        <v>0</v>
      </c>
      <c r="O30" s="125"/>
      <c r="P30" s="173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26" ht="14.25" hidden="1" customHeight="1" outlineLevel="1">
      <c r="A31" s="168">
        <v>3</v>
      </c>
      <c r="B31" s="168" t="s">
        <v>392</v>
      </c>
      <c r="C31" s="168" t="str">
        <f t="shared" ref="C31:C38" si="9">MID(E31,4,LEN(E31))</f>
        <v xml:space="preserve"> Palembang Inner</v>
      </c>
      <c r="D31" s="168" t="str">
        <f t="shared" ref="D31:D38" si="10">IFERROR(VLOOKUP($E$4&amp;C31,#REF!,2,FALSE),"")</f>
        <v/>
      </c>
      <c r="E31" s="252" t="s">
        <v>394</v>
      </c>
      <c r="F31" s="246"/>
      <c r="G31" s="248"/>
      <c r="H31" s="254"/>
      <c r="I31" s="243"/>
      <c r="J31" s="243"/>
      <c r="K31" s="243"/>
      <c r="L31" s="249"/>
      <c r="M31" s="244"/>
      <c r="N31" s="247">
        <f t="shared" ref="N31:N33" si="11">SUM(F31:M31)</f>
        <v>0</v>
      </c>
      <c r="O31" s="125"/>
      <c r="P31" s="173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26" ht="14.25" hidden="1" customHeight="1" outlineLevel="1">
      <c r="A32" s="168">
        <v>3</v>
      </c>
      <c r="B32" s="168" t="s">
        <v>395</v>
      </c>
      <c r="C32" s="168" t="str">
        <f t="shared" si="9"/>
        <v xml:space="preserve"> Palembang Outer</v>
      </c>
      <c r="D32" s="168" t="str">
        <f t="shared" si="10"/>
        <v/>
      </c>
      <c r="E32" s="252" t="s">
        <v>396</v>
      </c>
      <c r="F32" s="246"/>
      <c r="G32" s="242"/>
      <c r="H32" s="249"/>
      <c r="I32" s="243"/>
      <c r="J32" s="243"/>
      <c r="K32" s="243"/>
      <c r="L32" s="249"/>
      <c r="M32" s="244"/>
      <c r="N32" s="247">
        <f t="shared" si="11"/>
        <v>0</v>
      </c>
      <c r="O32" s="125"/>
      <c r="P32" s="173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 ht="14.25" hidden="1" customHeight="1" outlineLevel="1">
      <c r="A33" s="168">
        <v>3</v>
      </c>
      <c r="B33" s="168" t="s">
        <v>397</v>
      </c>
      <c r="C33" s="168" t="str">
        <f t="shared" si="9"/>
        <v xml:space="preserve"> Pangkal Pinang</v>
      </c>
      <c r="D33" s="168" t="str">
        <f t="shared" si="10"/>
        <v/>
      </c>
      <c r="E33" s="252" t="s">
        <v>399</v>
      </c>
      <c r="F33" s="246"/>
      <c r="G33" s="242"/>
      <c r="H33" s="243"/>
      <c r="I33" s="249"/>
      <c r="J33" s="243"/>
      <c r="K33" s="243"/>
      <c r="L33" s="243"/>
      <c r="M33" s="244"/>
      <c r="N33" s="247">
        <f t="shared" si="11"/>
        <v>0</v>
      </c>
      <c r="O33" s="125"/>
      <c r="P33" s="173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 ht="14.25" hidden="1" customHeight="1" outlineLevel="1">
      <c r="A34" s="168"/>
      <c r="B34" s="168" t="s">
        <v>397</v>
      </c>
      <c r="C34" s="168" t="str">
        <f t="shared" si="9"/>
        <v xml:space="preserve"> Tanjung Pandan</v>
      </c>
      <c r="D34" s="168" t="str">
        <f t="shared" si="10"/>
        <v/>
      </c>
      <c r="E34" s="252" t="s">
        <v>2787</v>
      </c>
      <c r="F34" s="246"/>
      <c r="G34" s="242"/>
      <c r="H34" s="243"/>
      <c r="I34" s="243"/>
      <c r="J34" s="249"/>
      <c r="K34" s="243"/>
      <c r="L34" s="243"/>
      <c r="M34" s="244"/>
      <c r="N34" s="247"/>
      <c r="O34" s="125"/>
      <c r="P34" s="173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 ht="14.25" hidden="1" customHeight="1" outlineLevel="1">
      <c r="A35" s="168">
        <v>3</v>
      </c>
      <c r="B35" s="168" t="s">
        <v>400</v>
      </c>
      <c r="C35" s="168" t="str">
        <f t="shared" si="9"/>
        <v xml:space="preserve"> Lahat</v>
      </c>
      <c r="D35" s="168" t="str">
        <f t="shared" si="10"/>
        <v/>
      </c>
      <c r="E35" s="252" t="s">
        <v>402</v>
      </c>
      <c r="F35" s="246"/>
      <c r="G35" s="242"/>
      <c r="H35" s="249"/>
      <c r="I35" s="243"/>
      <c r="J35" s="243"/>
      <c r="K35" s="249"/>
      <c r="L35" s="243"/>
      <c r="M35" s="244"/>
      <c r="N35" s="247">
        <f t="shared" ref="N35:N38" si="12">SUM(F35:M35)</f>
        <v>0</v>
      </c>
      <c r="O35" s="125"/>
      <c r="P35" s="173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 ht="14.25" hidden="1" customHeight="1" outlineLevel="1">
      <c r="A36" s="168">
        <v>3</v>
      </c>
      <c r="B36" s="168" t="s">
        <v>403</v>
      </c>
      <c r="C36" s="168" t="str">
        <f t="shared" si="9"/>
        <v xml:space="preserve"> Batu Raja</v>
      </c>
      <c r="D36" s="168" t="str">
        <f t="shared" si="10"/>
        <v/>
      </c>
      <c r="E36" s="252" t="s">
        <v>405</v>
      </c>
      <c r="F36" s="246"/>
      <c r="G36" s="242"/>
      <c r="H36" s="249"/>
      <c r="I36" s="243"/>
      <c r="J36" s="243"/>
      <c r="K36" s="249"/>
      <c r="L36" s="243"/>
      <c r="M36" s="244"/>
      <c r="N36" s="247">
        <f t="shared" si="12"/>
        <v>0</v>
      </c>
      <c r="O36" s="125"/>
      <c r="P36" s="173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 ht="14.25" hidden="1" customHeight="1" outlineLevel="1">
      <c r="A37" s="168">
        <v>4</v>
      </c>
      <c r="B37" s="168" t="s">
        <v>406</v>
      </c>
      <c r="C37" s="168" t="str">
        <f t="shared" si="9"/>
        <v xml:space="preserve"> Jambi</v>
      </c>
      <c r="D37" s="168" t="str">
        <f t="shared" si="10"/>
        <v/>
      </c>
      <c r="E37" s="252" t="s">
        <v>407</v>
      </c>
      <c r="F37" s="246"/>
      <c r="G37" s="242"/>
      <c r="H37" s="249"/>
      <c r="I37" s="243"/>
      <c r="J37" s="243"/>
      <c r="K37" s="249"/>
      <c r="L37" s="243"/>
      <c r="M37" s="244"/>
      <c r="N37" s="247">
        <f t="shared" si="12"/>
        <v>0</v>
      </c>
      <c r="O37" s="125"/>
      <c r="P37" s="173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 ht="14.25" hidden="1" customHeight="1" outlineLevel="1">
      <c r="A38" s="168">
        <v>4</v>
      </c>
      <c r="B38" s="168" t="s">
        <v>408</v>
      </c>
      <c r="C38" s="168" t="str">
        <f t="shared" si="9"/>
        <v xml:space="preserve"> Muara Bungo</v>
      </c>
      <c r="D38" s="168" t="str">
        <f t="shared" si="10"/>
        <v/>
      </c>
      <c r="E38" s="252" t="s">
        <v>409</v>
      </c>
      <c r="F38" s="246"/>
      <c r="G38" s="242"/>
      <c r="H38" s="249"/>
      <c r="I38" s="243"/>
      <c r="J38" s="243"/>
      <c r="K38" s="249"/>
      <c r="L38" s="243"/>
      <c r="M38" s="244"/>
      <c r="N38" s="247">
        <f t="shared" si="12"/>
        <v>0</v>
      </c>
      <c r="O38" s="125"/>
      <c r="P38" s="173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 ht="15.75" customHeight="1" collapsed="1">
      <c r="A39" s="162" t="s">
        <v>410</v>
      </c>
      <c r="B39" s="162"/>
      <c r="C39" s="162"/>
      <c r="D39" s="162">
        <v>1</v>
      </c>
      <c r="E39" s="162" t="s">
        <v>411</v>
      </c>
      <c r="F39" s="251">
        <f t="shared" ref="F39:N39" si="13">SUM(F31:F38)</f>
        <v>0</v>
      </c>
      <c r="G39" s="251">
        <f t="shared" si="13"/>
        <v>0</v>
      </c>
      <c r="H39" s="251">
        <f t="shared" si="13"/>
        <v>0</v>
      </c>
      <c r="I39" s="251">
        <f t="shared" si="13"/>
        <v>0</v>
      </c>
      <c r="J39" s="251">
        <f t="shared" si="13"/>
        <v>0</v>
      </c>
      <c r="K39" s="251">
        <f t="shared" si="13"/>
        <v>0</v>
      </c>
      <c r="L39" s="251">
        <f t="shared" si="13"/>
        <v>0</v>
      </c>
      <c r="M39" s="251">
        <f t="shared" si="13"/>
        <v>0</v>
      </c>
      <c r="N39" s="251">
        <f t="shared" si="13"/>
        <v>0</v>
      </c>
      <c r="O39" s="125"/>
      <c r="P39" s="173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 ht="14.25" hidden="1" customHeight="1" outlineLevel="1">
      <c r="A40" s="168">
        <v>3</v>
      </c>
      <c r="B40" s="168" t="s">
        <v>412</v>
      </c>
      <c r="C40" s="168" t="str">
        <f t="shared" ref="C40:C47" si="14">MID(E40,4,LEN(E40))</f>
        <v xml:space="preserve"> Lampung</v>
      </c>
      <c r="D40" s="168" t="str">
        <f t="shared" ref="D40:D47" si="15">IFERROR(VLOOKUP($E$4&amp;C40,#REF!,2,FALSE),"")</f>
        <v/>
      </c>
      <c r="E40" s="252" t="s">
        <v>413</v>
      </c>
      <c r="F40" s="246"/>
      <c r="G40" s="248"/>
      <c r="H40" s="243"/>
      <c r="I40" s="249"/>
      <c r="J40" s="243"/>
      <c r="K40" s="243"/>
      <c r="L40" s="249"/>
      <c r="M40" s="255"/>
      <c r="N40" s="247">
        <f t="shared" ref="N40:N47" si="16">SUM(F40:M40)</f>
        <v>0</v>
      </c>
      <c r="O40" s="125"/>
      <c r="P40" s="173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 ht="14.25" hidden="1" customHeight="1" outlineLevel="1">
      <c r="A41" s="168">
        <v>3</v>
      </c>
      <c r="B41" s="168" t="s">
        <v>414</v>
      </c>
      <c r="C41" s="168" t="str">
        <f t="shared" si="14"/>
        <v xml:space="preserve"> Kalianda</v>
      </c>
      <c r="D41" s="168" t="str">
        <f t="shared" si="15"/>
        <v/>
      </c>
      <c r="E41" s="253" t="s">
        <v>415</v>
      </c>
      <c r="F41" s="246"/>
      <c r="G41" s="242"/>
      <c r="H41" s="243"/>
      <c r="I41" s="243"/>
      <c r="J41" s="243"/>
      <c r="K41" s="243"/>
      <c r="L41" s="243"/>
      <c r="M41" s="244"/>
      <c r="N41" s="247">
        <f t="shared" si="16"/>
        <v>0</v>
      </c>
      <c r="O41" s="125"/>
      <c r="P41" s="173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 ht="14.25" hidden="1" customHeight="1" outlineLevel="1">
      <c r="A42" s="168">
        <v>3</v>
      </c>
      <c r="B42" s="168" t="s">
        <v>416</v>
      </c>
      <c r="C42" s="168" t="str">
        <f t="shared" si="14"/>
        <v xml:space="preserve"> Pringsewu</v>
      </c>
      <c r="D42" s="168" t="str">
        <f t="shared" si="15"/>
        <v/>
      </c>
      <c r="E42" s="252" t="s">
        <v>417</v>
      </c>
      <c r="F42" s="246"/>
      <c r="G42" s="242"/>
      <c r="H42" s="243"/>
      <c r="I42" s="249"/>
      <c r="J42" s="243"/>
      <c r="K42" s="243"/>
      <c r="L42" s="249"/>
      <c r="M42" s="244"/>
      <c r="N42" s="247">
        <f t="shared" si="16"/>
        <v>0</v>
      </c>
      <c r="O42" s="125"/>
      <c r="P42" s="173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 ht="14.25" hidden="1" customHeight="1" outlineLevel="1">
      <c r="A43" s="168">
        <v>3</v>
      </c>
      <c r="B43" s="168" t="s">
        <v>418</v>
      </c>
      <c r="C43" s="168" t="str">
        <f t="shared" si="14"/>
        <v xml:space="preserve"> Kota Bumi</v>
      </c>
      <c r="D43" s="168" t="str">
        <f t="shared" si="15"/>
        <v/>
      </c>
      <c r="E43" s="252" t="s">
        <v>419</v>
      </c>
      <c r="F43" s="246"/>
      <c r="G43" s="242"/>
      <c r="H43" s="243"/>
      <c r="I43" s="249"/>
      <c r="J43" s="243"/>
      <c r="K43" s="243"/>
      <c r="L43" s="249"/>
      <c r="M43" s="244"/>
      <c r="N43" s="247">
        <f t="shared" si="16"/>
        <v>0</v>
      </c>
      <c r="O43" s="125"/>
      <c r="P43" s="173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 ht="14.25" hidden="1" customHeight="1" outlineLevel="1">
      <c r="A44" s="168">
        <v>3</v>
      </c>
      <c r="B44" s="168" t="s">
        <v>420</v>
      </c>
      <c r="C44" s="168" t="str">
        <f t="shared" si="14"/>
        <v xml:space="preserve"> Tuba</v>
      </c>
      <c r="D44" s="168" t="str">
        <f t="shared" si="15"/>
        <v/>
      </c>
      <c r="E44" s="252" t="s">
        <v>421</v>
      </c>
      <c r="F44" s="246"/>
      <c r="G44" s="242"/>
      <c r="H44" s="243"/>
      <c r="I44" s="249"/>
      <c r="J44" s="243"/>
      <c r="K44" s="243"/>
      <c r="L44" s="249"/>
      <c r="M44" s="244"/>
      <c r="N44" s="247">
        <f t="shared" si="16"/>
        <v>0</v>
      </c>
      <c r="O44" s="125"/>
      <c r="P44" s="173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spans="1:26" ht="14.25" hidden="1" customHeight="1" outlineLevel="1">
      <c r="A45" s="168">
        <v>3</v>
      </c>
      <c r="B45" s="168" t="s">
        <v>422</v>
      </c>
      <c r="C45" s="168" t="str">
        <f t="shared" si="14"/>
        <v xml:space="preserve"> Metro</v>
      </c>
      <c r="D45" s="168" t="str">
        <f t="shared" si="15"/>
        <v/>
      </c>
      <c r="E45" s="252" t="s">
        <v>423</v>
      </c>
      <c r="F45" s="246"/>
      <c r="G45" s="242"/>
      <c r="H45" s="249"/>
      <c r="I45" s="243"/>
      <c r="J45" s="243"/>
      <c r="K45" s="243"/>
      <c r="L45" s="249"/>
      <c r="M45" s="244"/>
      <c r="N45" s="247">
        <f t="shared" si="16"/>
        <v>0</v>
      </c>
      <c r="O45" s="125"/>
      <c r="P45" s="173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spans="1:26" ht="14.25" hidden="1" customHeight="1" outlineLevel="1">
      <c r="A46" s="168">
        <v>4</v>
      </c>
      <c r="B46" s="168" t="s">
        <v>424</v>
      </c>
      <c r="C46" s="168" t="str">
        <f t="shared" si="14"/>
        <v xml:space="preserve"> Bengkulu</v>
      </c>
      <c r="D46" s="168" t="str">
        <f t="shared" si="15"/>
        <v/>
      </c>
      <c r="E46" s="252" t="s">
        <v>425</v>
      </c>
      <c r="F46" s="246"/>
      <c r="G46" s="242"/>
      <c r="H46" s="249"/>
      <c r="I46" s="243"/>
      <c r="J46" s="243"/>
      <c r="K46" s="249"/>
      <c r="L46" s="243"/>
      <c r="M46" s="244"/>
      <c r="N46" s="247">
        <f t="shared" si="16"/>
        <v>0</v>
      </c>
      <c r="O46" s="125"/>
      <c r="P46" s="173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spans="1:26" ht="14.25" hidden="1" customHeight="1" outlineLevel="1">
      <c r="A47" s="168">
        <v>4</v>
      </c>
      <c r="B47" s="168" t="s">
        <v>426</v>
      </c>
      <c r="C47" s="168" t="str">
        <f t="shared" si="14"/>
        <v xml:space="preserve"> Lubuk Linggau</v>
      </c>
      <c r="D47" s="168" t="str">
        <f t="shared" si="15"/>
        <v/>
      </c>
      <c r="E47" s="252" t="s">
        <v>427</v>
      </c>
      <c r="F47" s="246"/>
      <c r="G47" s="242"/>
      <c r="H47" s="249"/>
      <c r="I47" s="243"/>
      <c r="J47" s="243"/>
      <c r="K47" s="249"/>
      <c r="L47" s="243"/>
      <c r="M47" s="244"/>
      <c r="N47" s="247">
        <f t="shared" si="16"/>
        <v>0</v>
      </c>
      <c r="O47" s="125"/>
      <c r="P47" s="173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spans="1:26" ht="15.75" customHeight="1" collapsed="1">
      <c r="A48" s="162" t="s">
        <v>410</v>
      </c>
      <c r="B48" s="162"/>
      <c r="C48" s="162"/>
      <c r="D48" s="162">
        <v>1</v>
      </c>
      <c r="E48" s="162" t="s">
        <v>428</v>
      </c>
      <c r="F48" s="251">
        <f t="shared" ref="F48:N48" si="17">SUM(F40:F47)</f>
        <v>0</v>
      </c>
      <c r="G48" s="251">
        <f t="shared" si="17"/>
        <v>0</v>
      </c>
      <c r="H48" s="251">
        <f t="shared" si="17"/>
        <v>0</v>
      </c>
      <c r="I48" s="251">
        <f t="shared" si="17"/>
        <v>0</v>
      </c>
      <c r="J48" s="251">
        <f t="shared" si="17"/>
        <v>0</v>
      </c>
      <c r="K48" s="251">
        <f t="shared" si="17"/>
        <v>0</v>
      </c>
      <c r="L48" s="251">
        <f t="shared" si="17"/>
        <v>0</v>
      </c>
      <c r="M48" s="251">
        <f t="shared" si="17"/>
        <v>0</v>
      </c>
      <c r="N48" s="251">
        <f t="shared" si="17"/>
        <v>0</v>
      </c>
      <c r="O48" s="125"/>
      <c r="P48" s="173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spans="1:26" ht="14.25" hidden="1" customHeight="1" outlineLevel="1">
      <c r="A49" s="168"/>
      <c r="B49" s="168" t="s">
        <v>449</v>
      </c>
      <c r="C49" s="168" t="s">
        <v>430</v>
      </c>
      <c r="D49" s="168" t="str">
        <f t="shared" ref="D49:D57" si="18">IFERROR(VLOOKUP($E$4&amp;C49,#REF!,2,FALSE),"")</f>
        <v/>
      </c>
      <c r="E49" s="252" t="s">
        <v>450</v>
      </c>
      <c r="F49" s="246"/>
      <c r="G49" s="242"/>
      <c r="H49" s="250"/>
      <c r="I49" s="243"/>
      <c r="J49" s="249"/>
      <c r="K49" s="243"/>
      <c r="L49" s="250"/>
      <c r="M49" s="255"/>
      <c r="N49" s="247">
        <f t="shared" ref="N49:N57" si="19">SUM(F49:M49)</f>
        <v>0</v>
      </c>
      <c r="O49" s="125"/>
      <c r="P49" s="173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spans="1:26" ht="14.25" hidden="1" customHeight="1" outlineLevel="1">
      <c r="A50" s="168"/>
      <c r="B50" s="168" t="s">
        <v>436</v>
      </c>
      <c r="C50" s="168" t="s">
        <v>437</v>
      </c>
      <c r="D50" s="168" t="str">
        <f t="shared" si="18"/>
        <v/>
      </c>
      <c r="E50" s="252" t="s">
        <v>2788</v>
      </c>
      <c r="F50" s="246"/>
      <c r="G50" s="248"/>
      <c r="H50" s="256"/>
      <c r="I50" s="249"/>
      <c r="J50" s="256"/>
      <c r="K50" s="249"/>
      <c r="L50" s="256"/>
      <c r="M50" s="255"/>
      <c r="N50" s="247">
        <f t="shared" si="19"/>
        <v>0</v>
      </c>
      <c r="O50" s="125"/>
      <c r="P50" s="173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spans="1:26" ht="14.25" hidden="1" customHeight="1" outlineLevel="1">
      <c r="A51" s="168"/>
      <c r="B51" s="168" t="s">
        <v>429</v>
      </c>
      <c r="C51" s="168" t="s">
        <v>430</v>
      </c>
      <c r="D51" s="168" t="str">
        <f t="shared" si="18"/>
        <v/>
      </c>
      <c r="E51" s="253" t="s">
        <v>432</v>
      </c>
      <c r="F51" s="246"/>
      <c r="G51" s="242"/>
      <c r="H51" s="250"/>
      <c r="I51" s="243"/>
      <c r="J51" s="249"/>
      <c r="K51" s="243"/>
      <c r="L51" s="250"/>
      <c r="M51" s="255"/>
      <c r="N51" s="247">
        <f t="shared" si="19"/>
        <v>0</v>
      </c>
      <c r="O51" s="125"/>
      <c r="P51" s="173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spans="1:26" ht="14.25" hidden="1" customHeight="1" outlineLevel="1">
      <c r="A52" s="168"/>
      <c r="B52" s="168" t="s">
        <v>433</v>
      </c>
      <c r="C52" s="168" t="s">
        <v>434</v>
      </c>
      <c r="D52" s="168" t="str">
        <f t="shared" si="18"/>
        <v/>
      </c>
      <c r="E52" s="253" t="s">
        <v>435</v>
      </c>
      <c r="F52" s="246"/>
      <c r="G52" s="242"/>
      <c r="H52" s="243"/>
      <c r="I52" s="243"/>
      <c r="J52" s="243"/>
      <c r="K52" s="243"/>
      <c r="L52" s="243"/>
      <c r="M52" s="244"/>
      <c r="N52" s="247">
        <f t="shared" si="19"/>
        <v>0</v>
      </c>
      <c r="O52" s="125"/>
      <c r="P52" s="173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14.25" hidden="1" customHeight="1" outlineLevel="1">
      <c r="A53" s="168"/>
      <c r="B53" s="168" t="s">
        <v>439</v>
      </c>
      <c r="C53" s="168" t="s">
        <v>437</v>
      </c>
      <c r="D53" s="168" t="str">
        <f t="shared" si="18"/>
        <v/>
      </c>
      <c r="E53" s="253" t="s">
        <v>440</v>
      </c>
      <c r="F53" s="246"/>
      <c r="G53" s="248"/>
      <c r="H53" s="249"/>
      <c r="I53" s="243"/>
      <c r="J53" s="249"/>
      <c r="K53" s="243"/>
      <c r="L53" s="249"/>
      <c r="M53" s="244"/>
      <c r="N53" s="247">
        <f t="shared" si="19"/>
        <v>0</v>
      </c>
      <c r="O53" s="125"/>
      <c r="P53" s="173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spans="1:26" ht="14.25" hidden="1" customHeight="1" outlineLevel="1">
      <c r="A54" s="168"/>
      <c r="B54" s="168" t="s">
        <v>441</v>
      </c>
      <c r="C54" s="168" t="s">
        <v>442</v>
      </c>
      <c r="D54" s="168" t="str">
        <f t="shared" si="18"/>
        <v/>
      </c>
      <c r="E54" s="253" t="s">
        <v>443</v>
      </c>
      <c r="F54" s="246"/>
      <c r="G54" s="242"/>
      <c r="H54" s="243"/>
      <c r="I54" s="243"/>
      <c r="J54" s="243"/>
      <c r="K54" s="243"/>
      <c r="L54" s="243"/>
      <c r="M54" s="244"/>
      <c r="N54" s="247">
        <f t="shared" si="19"/>
        <v>0</v>
      </c>
      <c r="O54" s="125"/>
      <c r="P54" s="173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spans="1:26" ht="14.25" hidden="1" customHeight="1" outlineLevel="1">
      <c r="A55" s="168"/>
      <c r="B55" s="168" t="s">
        <v>444</v>
      </c>
      <c r="C55" s="168" t="s">
        <v>442</v>
      </c>
      <c r="D55" s="168" t="str">
        <f t="shared" si="18"/>
        <v/>
      </c>
      <c r="E55" s="253" t="s">
        <v>445</v>
      </c>
      <c r="F55" s="246"/>
      <c r="G55" s="242"/>
      <c r="H55" s="243"/>
      <c r="I55" s="243"/>
      <c r="J55" s="243"/>
      <c r="K55" s="243"/>
      <c r="L55" s="243"/>
      <c r="M55" s="244"/>
      <c r="N55" s="247">
        <f t="shared" si="19"/>
        <v>0</v>
      </c>
      <c r="O55" s="125"/>
      <c r="P55" s="173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spans="1:26" ht="14.25" hidden="1" customHeight="1" outlineLevel="1">
      <c r="A56" s="168"/>
      <c r="B56" s="168" t="s">
        <v>446</v>
      </c>
      <c r="C56" s="168" t="s">
        <v>447</v>
      </c>
      <c r="D56" s="168" t="str">
        <f t="shared" si="18"/>
        <v/>
      </c>
      <c r="E56" s="253" t="s">
        <v>448</v>
      </c>
      <c r="F56" s="246"/>
      <c r="G56" s="242"/>
      <c r="H56" s="243"/>
      <c r="I56" s="243"/>
      <c r="J56" s="243"/>
      <c r="K56" s="243"/>
      <c r="L56" s="243"/>
      <c r="M56" s="244"/>
      <c r="N56" s="247">
        <f t="shared" si="19"/>
        <v>0</v>
      </c>
      <c r="O56" s="125"/>
      <c r="P56" s="173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spans="1:26" ht="14.25" hidden="1" customHeight="1" outlineLevel="1">
      <c r="A57" s="168"/>
      <c r="B57" s="168" t="s">
        <v>451</v>
      </c>
      <c r="C57" s="168" t="str">
        <f>MID(E57,4,LEN(E57))</f>
        <v xml:space="preserve"> Depok</v>
      </c>
      <c r="D57" s="168" t="str">
        <f t="shared" si="18"/>
        <v/>
      </c>
      <c r="E57" s="253" t="s">
        <v>452</v>
      </c>
      <c r="F57" s="246"/>
      <c r="G57" s="242"/>
      <c r="H57" s="243"/>
      <c r="I57" s="243"/>
      <c r="J57" s="243"/>
      <c r="K57" s="243"/>
      <c r="L57" s="243"/>
      <c r="M57" s="244"/>
      <c r="N57" s="247">
        <f t="shared" si="19"/>
        <v>0</v>
      </c>
      <c r="O57" s="125"/>
      <c r="P57" s="173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spans="1:26" ht="15.75" customHeight="1" collapsed="1">
      <c r="A58" s="162" t="s">
        <v>453</v>
      </c>
      <c r="B58" s="162"/>
      <c r="C58" s="162"/>
      <c r="D58" s="162">
        <v>1</v>
      </c>
      <c r="E58" s="162" t="s">
        <v>454</v>
      </c>
      <c r="F58" s="251">
        <f t="shared" ref="F58:N58" si="20">SUM(F49:F57)</f>
        <v>0</v>
      </c>
      <c r="G58" s="251">
        <f t="shared" si="20"/>
        <v>0</v>
      </c>
      <c r="H58" s="251">
        <f t="shared" si="20"/>
        <v>0</v>
      </c>
      <c r="I58" s="251">
        <f t="shared" si="20"/>
        <v>0</v>
      </c>
      <c r="J58" s="251">
        <f t="shared" si="20"/>
        <v>0</v>
      </c>
      <c r="K58" s="251">
        <f t="shared" si="20"/>
        <v>0</v>
      </c>
      <c r="L58" s="251">
        <f t="shared" si="20"/>
        <v>0</v>
      </c>
      <c r="M58" s="251">
        <f t="shared" si="20"/>
        <v>0</v>
      </c>
      <c r="N58" s="251">
        <f t="shared" si="20"/>
        <v>0</v>
      </c>
      <c r="O58" s="125"/>
      <c r="P58" s="173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spans="1:26" ht="14.25" hidden="1" customHeight="1" outlineLevel="1">
      <c r="A59" s="168"/>
      <c r="B59" s="168" t="s">
        <v>455</v>
      </c>
      <c r="C59" s="168" t="str">
        <f>MID(E59,4,LEN(E59))</f>
        <v xml:space="preserve"> Tangerang</v>
      </c>
      <c r="D59" s="168" t="str">
        <f t="shared" ref="D59:D67" si="21">IFERROR(VLOOKUP($E$4&amp;C59,#REF!,2,FALSE),"")</f>
        <v/>
      </c>
      <c r="E59" s="252" t="s">
        <v>457</v>
      </c>
      <c r="F59" s="246"/>
      <c r="G59" s="242"/>
      <c r="H59" s="250"/>
      <c r="I59" s="243"/>
      <c r="J59" s="250"/>
      <c r="K59" s="243"/>
      <c r="L59" s="256"/>
      <c r="M59" s="255"/>
      <c r="N59" s="247">
        <f t="shared" ref="N59:N67" si="22">SUM(F59:M59)</f>
        <v>0</v>
      </c>
      <c r="O59" s="125"/>
      <c r="P59" s="173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spans="1:26" ht="14.25" hidden="1" customHeight="1" outlineLevel="1">
      <c r="A60" s="168"/>
      <c r="B60" s="168" t="s">
        <v>458</v>
      </c>
      <c r="C60" s="168" t="s">
        <v>456</v>
      </c>
      <c r="D60" s="168" t="str">
        <f t="shared" si="21"/>
        <v/>
      </c>
      <c r="E60" s="252" t="s">
        <v>459</v>
      </c>
      <c r="F60" s="246"/>
      <c r="G60" s="242"/>
      <c r="H60" s="250"/>
      <c r="I60" s="243"/>
      <c r="J60" s="250"/>
      <c r="K60" s="243"/>
      <c r="L60" s="256"/>
      <c r="M60" s="255"/>
      <c r="N60" s="247">
        <f t="shared" si="22"/>
        <v>0</v>
      </c>
      <c r="O60" s="125"/>
      <c r="P60" s="173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spans="1:26" ht="14.25" hidden="1" customHeight="1" outlineLevel="1">
      <c r="A61" s="168"/>
      <c r="B61" s="168" t="s">
        <v>460</v>
      </c>
      <c r="C61" s="168" t="str">
        <f>MID(E61,4,LEN(E61))</f>
        <v xml:space="preserve"> Bogor</v>
      </c>
      <c r="D61" s="168" t="str">
        <f t="shared" si="21"/>
        <v/>
      </c>
      <c r="E61" s="252" t="s">
        <v>462</v>
      </c>
      <c r="F61" s="246"/>
      <c r="G61" s="257"/>
      <c r="H61" s="243"/>
      <c r="I61" s="250"/>
      <c r="J61" s="256"/>
      <c r="K61" s="249"/>
      <c r="L61" s="256"/>
      <c r="M61" s="255"/>
      <c r="N61" s="247">
        <f t="shared" si="22"/>
        <v>0</v>
      </c>
      <c r="O61" s="125"/>
      <c r="P61" s="173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4.25" hidden="1" customHeight="1" outlineLevel="1">
      <c r="A62" s="168"/>
      <c r="B62" s="168" t="s">
        <v>463</v>
      </c>
      <c r="C62" s="168" t="s">
        <v>461</v>
      </c>
      <c r="D62" s="168" t="str">
        <f t="shared" si="21"/>
        <v/>
      </c>
      <c r="E62" s="252" t="s">
        <v>464</v>
      </c>
      <c r="F62" s="246"/>
      <c r="G62" s="242"/>
      <c r="H62" s="243"/>
      <c r="I62" s="243"/>
      <c r="J62" s="243"/>
      <c r="K62" s="243"/>
      <c r="L62" s="243"/>
      <c r="M62" s="244"/>
      <c r="N62" s="247">
        <f t="shared" si="22"/>
        <v>0</v>
      </c>
      <c r="O62" s="125"/>
      <c r="P62" s="173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spans="1:26" ht="14.25" hidden="1" customHeight="1" outlineLevel="1">
      <c r="A63" s="168"/>
      <c r="B63" s="168" t="s">
        <v>465</v>
      </c>
      <c r="C63" s="168" t="str">
        <f t="shared" ref="C63:C67" si="23">MID(E63,4,LEN(E63))</f>
        <v xml:space="preserve"> Karawang</v>
      </c>
      <c r="D63" s="168" t="str">
        <f t="shared" si="21"/>
        <v/>
      </c>
      <c r="E63" s="252" t="s">
        <v>468</v>
      </c>
      <c r="F63" s="246"/>
      <c r="G63" s="242"/>
      <c r="H63" s="243"/>
      <c r="I63" s="243"/>
      <c r="J63" s="243"/>
      <c r="K63" s="243"/>
      <c r="L63" s="243"/>
      <c r="M63" s="244"/>
      <c r="N63" s="247">
        <f t="shared" si="22"/>
        <v>0</v>
      </c>
      <c r="O63" s="125"/>
      <c r="P63" s="173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spans="1:26" ht="14.25" hidden="1" customHeight="1" outlineLevel="1">
      <c r="A64" s="168"/>
      <c r="B64" s="168" t="s">
        <v>469</v>
      </c>
      <c r="C64" s="168" t="str">
        <f t="shared" si="23"/>
        <v xml:space="preserve"> Serang</v>
      </c>
      <c r="D64" s="168" t="str">
        <f t="shared" si="21"/>
        <v/>
      </c>
      <c r="E64" s="252" t="s">
        <v>471</v>
      </c>
      <c r="F64" s="246"/>
      <c r="G64" s="258"/>
      <c r="H64" s="256"/>
      <c r="I64" s="259"/>
      <c r="J64" s="256"/>
      <c r="K64" s="243"/>
      <c r="L64" s="250"/>
      <c r="M64" s="244"/>
      <c r="N64" s="247">
        <f t="shared" si="22"/>
        <v>0</v>
      </c>
      <c r="O64" s="125"/>
      <c r="P64" s="173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4.25" hidden="1" customHeight="1" outlineLevel="1">
      <c r="A65" s="168"/>
      <c r="B65" s="168" t="s">
        <v>478</v>
      </c>
      <c r="C65" s="168" t="str">
        <f t="shared" si="23"/>
        <v xml:space="preserve"> Labuan (rangkas)</v>
      </c>
      <c r="D65" s="168" t="str">
        <f t="shared" si="21"/>
        <v/>
      </c>
      <c r="E65" s="252" t="s">
        <v>2789</v>
      </c>
      <c r="F65" s="246"/>
      <c r="G65" s="242"/>
      <c r="H65" s="259"/>
      <c r="I65" s="243"/>
      <c r="J65" s="243"/>
      <c r="K65" s="259"/>
      <c r="L65" s="243"/>
      <c r="M65" s="244"/>
      <c r="N65" s="247">
        <f t="shared" si="22"/>
        <v>0</v>
      </c>
      <c r="O65" s="125"/>
      <c r="P65" s="173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spans="1:26" ht="14.25" hidden="1" customHeight="1" outlineLevel="1">
      <c r="A66" s="168"/>
      <c r="B66" s="168" t="s">
        <v>472</v>
      </c>
      <c r="C66" s="168" t="str">
        <f t="shared" si="23"/>
        <v xml:space="preserve"> Pondok Pinang</v>
      </c>
      <c r="D66" s="168" t="str">
        <f t="shared" si="21"/>
        <v/>
      </c>
      <c r="E66" s="253" t="s">
        <v>474</v>
      </c>
      <c r="F66" s="246"/>
      <c r="G66" s="242"/>
      <c r="H66" s="243"/>
      <c r="I66" s="243"/>
      <c r="J66" s="243"/>
      <c r="K66" s="243"/>
      <c r="L66" s="243"/>
      <c r="M66" s="244"/>
      <c r="N66" s="247">
        <f t="shared" si="22"/>
        <v>0</v>
      </c>
      <c r="O66" s="125"/>
      <c r="P66" s="173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spans="1:26" ht="14.25" hidden="1" customHeight="1" outlineLevel="1">
      <c r="A67" s="168"/>
      <c r="B67" s="168" t="s">
        <v>475</v>
      </c>
      <c r="C67" s="168" t="str">
        <f t="shared" si="23"/>
        <v xml:space="preserve"> Bekasi</v>
      </c>
      <c r="D67" s="168" t="str">
        <f t="shared" si="21"/>
        <v/>
      </c>
      <c r="E67" s="253" t="s">
        <v>477</v>
      </c>
      <c r="F67" s="246"/>
      <c r="G67" s="242"/>
      <c r="H67" s="243"/>
      <c r="I67" s="243"/>
      <c r="J67" s="243"/>
      <c r="K67" s="243"/>
      <c r="L67" s="243"/>
      <c r="M67" s="244"/>
      <c r="N67" s="247">
        <f t="shared" si="22"/>
        <v>0</v>
      </c>
      <c r="O67" s="125"/>
      <c r="P67" s="173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spans="1:26" ht="15.75" customHeight="1" collapsed="1">
      <c r="A68" s="162" t="s">
        <v>453</v>
      </c>
      <c r="B68" s="162"/>
      <c r="C68" s="162"/>
      <c r="D68" s="162">
        <v>1</v>
      </c>
      <c r="E68" s="162" t="s">
        <v>481</v>
      </c>
      <c r="F68" s="251">
        <f t="shared" ref="F68:N68" si="24">SUM(F59:F67)</f>
        <v>0</v>
      </c>
      <c r="G68" s="251">
        <f t="shared" si="24"/>
        <v>0</v>
      </c>
      <c r="H68" s="251">
        <f t="shared" si="24"/>
        <v>0</v>
      </c>
      <c r="I68" s="251">
        <f t="shared" si="24"/>
        <v>0</v>
      </c>
      <c r="J68" s="251">
        <f t="shared" si="24"/>
        <v>0</v>
      </c>
      <c r="K68" s="251">
        <f t="shared" si="24"/>
        <v>0</v>
      </c>
      <c r="L68" s="251">
        <f t="shared" si="24"/>
        <v>0</v>
      </c>
      <c r="M68" s="251">
        <f t="shared" si="24"/>
        <v>0</v>
      </c>
      <c r="N68" s="251">
        <f t="shared" si="24"/>
        <v>0</v>
      </c>
      <c r="O68" s="125"/>
      <c r="P68" s="173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spans="1:26" ht="14.25" hidden="1" customHeight="1" outlineLevel="1">
      <c r="A69" s="168"/>
      <c r="B69" s="168" t="s">
        <v>486</v>
      </c>
      <c r="C69" s="168" t="str">
        <f>MID(E69,4,LEN(E69))</f>
        <v xml:space="preserve"> Bandung</v>
      </c>
      <c r="D69" s="168" t="str">
        <f t="shared" ref="D69:D79" si="25">IFERROR(VLOOKUP($E$4&amp;C69,#REF!,2,FALSE),"")</f>
        <v/>
      </c>
      <c r="E69" s="252" t="s">
        <v>487</v>
      </c>
      <c r="F69" s="246"/>
      <c r="G69" s="257"/>
      <c r="H69" s="259"/>
      <c r="I69" s="250"/>
      <c r="J69" s="250"/>
      <c r="K69" s="259"/>
      <c r="L69" s="256"/>
      <c r="M69" s="260"/>
      <c r="N69" s="247">
        <f t="shared" ref="N69:N79" si="26">SUM(F69:M69)</f>
        <v>0</v>
      </c>
      <c r="O69" s="125"/>
      <c r="P69" s="173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spans="1:26" ht="14.25" hidden="1" customHeight="1" outlineLevel="1">
      <c r="A70" s="168"/>
      <c r="B70" s="168" t="s">
        <v>488</v>
      </c>
      <c r="C70" s="168" t="s">
        <v>489</v>
      </c>
      <c r="D70" s="168" t="str">
        <f t="shared" si="25"/>
        <v/>
      </c>
      <c r="E70" s="253" t="s">
        <v>490</v>
      </c>
      <c r="F70" s="246"/>
      <c r="G70" s="242"/>
      <c r="H70" s="243"/>
      <c r="I70" s="243"/>
      <c r="J70" s="243"/>
      <c r="K70" s="243"/>
      <c r="L70" s="243"/>
      <c r="M70" s="244"/>
      <c r="N70" s="247">
        <f t="shared" si="26"/>
        <v>0</v>
      </c>
      <c r="O70" s="125"/>
      <c r="P70" s="173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spans="1:26" ht="14.25" hidden="1" customHeight="1" outlineLevel="1">
      <c r="A71" s="168"/>
      <c r="B71" s="168" t="s">
        <v>491</v>
      </c>
      <c r="C71" s="168" t="str">
        <f>MID(E71,4,LEN(E71))</f>
        <v xml:space="preserve"> Sumedang</v>
      </c>
      <c r="D71" s="168" t="str">
        <f t="shared" si="25"/>
        <v/>
      </c>
      <c r="E71" s="252" t="s">
        <v>492</v>
      </c>
      <c r="F71" s="246"/>
      <c r="G71" s="242"/>
      <c r="H71" s="243"/>
      <c r="I71" s="259"/>
      <c r="J71" s="243"/>
      <c r="K71" s="243"/>
      <c r="L71" s="243"/>
      <c r="M71" s="260"/>
      <c r="N71" s="247">
        <f t="shared" si="26"/>
        <v>0</v>
      </c>
      <c r="O71" s="125"/>
      <c r="P71" s="173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spans="1:26" ht="14.25" hidden="1" customHeight="1" outlineLevel="1">
      <c r="A72" s="168"/>
      <c r="B72" s="168" t="s">
        <v>493</v>
      </c>
      <c r="C72" s="168" t="s">
        <v>494</v>
      </c>
      <c r="D72" s="168" t="str">
        <f t="shared" si="25"/>
        <v/>
      </c>
      <c r="E72" s="252" t="s">
        <v>495</v>
      </c>
      <c r="F72" s="246"/>
      <c r="G72" s="242"/>
      <c r="H72" s="259"/>
      <c r="I72" s="243"/>
      <c r="J72" s="243"/>
      <c r="K72" s="243"/>
      <c r="L72" s="259"/>
      <c r="M72" s="244"/>
      <c r="N72" s="247">
        <f t="shared" si="26"/>
        <v>0</v>
      </c>
      <c r="O72" s="125"/>
      <c r="P72" s="173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spans="1:26" ht="14.25" hidden="1" customHeight="1" outlineLevel="1">
      <c r="A73" s="168"/>
      <c r="B73" s="168" t="s">
        <v>496</v>
      </c>
      <c r="C73" s="168" t="str">
        <f t="shared" ref="C73:C79" si="27">MID(E73,4,LEN(E73))</f>
        <v xml:space="preserve"> Padalarang</v>
      </c>
      <c r="D73" s="168" t="str">
        <f t="shared" si="25"/>
        <v/>
      </c>
      <c r="E73" s="253" t="s">
        <v>497</v>
      </c>
      <c r="F73" s="246"/>
      <c r="G73" s="242"/>
      <c r="H73" s="243"/>
      <c r="I73" s="243"/>
      <c r="J73" s="243"/>
      <c r="K73" s="243"/>
      <c r="L73" s="243"/>
      <c r="M73" s="244"/>
      <c r="N73" s="247">
        <f t="shared" si="26"/>
        <v>0</v>
      </c>
      <c r="O73" s="125"/>
      <c r="P73" s="173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spans="1:26" ht="14.25" hidden="1" customHeight="1" outlineLevel="1">
      <c r="A74" s="168"/>
      <c r="B74" s="168" t="s">
        <v>498</v>
      </c>
      <c r="C74" s="168" t="str">
        <f t="shared" si="27"/>
        <v xml:space="preserve"> Sukabumi</v>
      </c>
      <c r="D74" s="168" t="str">
        <f t="shared" si="25"/>
        <v/>
      </c>
      <c r="E74" s="252" t="s">
        <v>500</v>
      </c>
      <c r="F74" s="246"/>
      <c r="G74" s="242"/>
      <c r="H74" s="250"/>
      <c r="I74" s="243"/>
      <c r="J74" s="261"/>
      <c r="K74" s="262"/>
      <c r="L74" s="263"/>
      <c r="M74" s="264"/>
      <c r="N74" s="247">
        <f t="shared" si="26"/>
        <v>0</v>
      </c>
      <c r="O74" s="125"/>
      <c r="P74" s="173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spans="1:26" ht="14.25" hidden="1" customHeight="1" outlineLevel="1">
      <c r="A75" s="168"/>
      <c r="B75" s="168" t="s">
        <v>501</v>
      </c>
      <c r="C75" s="168" t="str">
        <f t="shared" si="27"/>
        <v xml:space="preserve"> Cianjur</v>
      </c>
      <c r="D75" s="168" t="str">
        <f t="shared" si="25"/>
        <v/>
      </c>
      <c r="E75" s="252" t="s">
        <v>502</v>
      </c>
      <c r="F75" s="246"/>
      <c r="G75" s="242"/>
      <c r="H75" s="250"/>
      <c r="I75" s="243"/>
      <c r="J75" s="261"/>
      <c r="K75" s="243"/>
      <c r="L75" s="263"/>
      <c r="M75" s="264"/>
      <c r="N75" s="247">
        <f t="shared" si="26"/>
        <v>0</v>
      </c>
      <c r="O75" s="125"/>
      <c r="P75" s="173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spans="1:26" ht="14.25" hidden="1" customHeight="1" outlineLevel="1">
      <c r="A76" s="168"/>
      <c r="B76" s="168" t="s">
        <v>503</v>
      </c>
      <c r="C76" s="168" t="str">
        <f t="shared" si="27"/>
        <v xml:space="preserve"> Tasikmalaya</v>
      </c>
      <c r="D76" s="168" t="str">
        <f t="shared" si="25"/>
        <v/>
      </c>
      <c r="E76" s="252" t="s">
        <v>504</v>
      </c>
      <c r="F76" s="246"/>
      <c r="G76" s="242"/>
      <c r="H76" s="250"/>
      <c r="I76" s="243"/>
      <c r="J76" s="243"/>
      <c r="K76" s="261"/>
      <c r="L76" s="263"/>
      <c r="M76" s="244"/>
      <c r="N76" s="247">
        <f t="shared" si="26"/>
        <v>0</v>
      </c>
      <c r="O76" s="125"/>
      <c r="P76" s="173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spans="1:26" ht="14.25" hidden="1" customHeight="1" outlineLevel="1">
      <c r="A77" s="168"/>
      <c r="B77" s="168" t="s">
        <v>505</v>
      </c>
      <c r="C77" s="168" t="str">
        <f t="shared" si="27"/>
        <v xml:space="preserve"> Garut</v>
      </c>
      <c r="D77" s="168" t="str">
        <f t="shared" si="25"/>
        <v/>
      </c>
      <c r="E77" s="252" t="s">
        <v>506</v>
      </c>
      <c r="F77" s="246"/>
      <c r="G77" s="242"/>
      <c r="H77" s="250"/>
      <c r="I77" s="243"/>
      <c r="J77" s="243"/>
      <c r="K77" s="261"/>
      <c r="L77" s="263"/>
      <c r="M77" s="244"/>
      <c r="N77" s="247">
        <f t="shared" si="26"/>
        <v>0</v>
      </c>
      <c r="O77" s="125"/>
      <c r="P77" s="173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spans="1:26" ht="14.25" hidden="1" customHeight="1" outlineLevel="1">
      <c r="A78" s="168"/>
      <c r="B78" s="168" t="s">
        <v>507</v>
      </c>
      <c r="C78" s="168" t="str">
        <f t="shared" si="27"/>
        <v xml:space="preserve"> Cirebon</v>
      </c>
      <c r="D78" s="168" t="str">
        <f t="shared" si="25"/>
        <v/>
      </c>
      <c r="E78" s="252" t="s">
        <v>508</v>
      </c>
      <c r="F78" s="246"/>
      <c r="G78" s="242"/>
      <c r="H78" s="250"/>
      <c r="I78" s="243"/>
      <c r="J78" s="263"/>
      <c r="K78" s="261"/>
      <c r="L78" s="263"/>
      <c r="M78" s="244"/>
      <c r="N78" s="247">
        <f t="shared" si="26"/>
        <v>0</v>
      </c>
      <c r="O78" s="125"/>
      <c r="P78" s="173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spans="1:26" ht="14.25" hidden="1" customHeight="1" outlineLevel="1">
      <c r="A79" s="168"/>
      <c r="B79" s="168" t="s">
        <v>509</v>
      </c>
      <c r="C79" s="168" t="str">
        <f t="shared" si="27"/>
        <v xml:space="preserve"> Indramayu</v>
      </c>
      <c r="D79" s="168" t="str">
        <f t="shared" si="25"/>
        <v/>
      </c>
      <c r="E79" s="252" t="s">
        <v>510</v>
      </c>
      <c r="F79" s="246"/>
      <c r="G79" s="242"/>
      <c r="H79" s="261"/>
      <c r="I79" s="243"/>
      <c r="J79" s="261"/>
      <c r="K79" s="243"/>
      <c r="L79" s="243"/>
      <c r="M79" s="264"/>
      <c r="N79" s="247">
        <f t="shared" si="26"/>
        <v>0</v>
      </c>
      <c r="O79" s="125"/>
      <c r="P79" s="173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spans="1:26" ht="15.75" customHeight="1" collapsed="1">
      <c r="A80" s="162" t="s">
        <v>453</v>
      </c>
      <c r="B80" s="162"/>
      <c r="C80" s="162"/>
      <c r="D80" s="162">
        <v>1</v>
      </c>
      <c r="E80" s="162" t="s">
        <v>511</v>
      </c>
      <c r="F80" s="251">
        <f t="shared" ref="F80:N80" si="28">SUM(F69:F79)</f>
        <v>0</v>
      </c>
      <c r="G80" s="251">
        <f t="shared" si="28"/>
        <v>0</v>
      </c>
      <c r="H80" s="251">
        <f t="shared" si="28"/>
        <v>0</v>
      </c>
      <c r="I80" s="251">
        <f t="shared" si="28"/>
        <v>0</v>
      </c>
      <c r="J80" s="251">
        <f t="shared" si="28"/>
        <v>0</v>
      </c>
      <c r="K80" s="251">
        <f t="shared" si="28"/>
        <v>0</v>
      </c>
      <c r="L80" s="251">
        <f t="shared" si="28"/>
        <v>0</v>
      </c>
      <c r="M80" s="251">
        <f t="shared" si="28"/>
        <v>0</v>
      </c>
      <c r="N80" s="251">
        <f t="shared" si="28"/>
        <v>0</v>
      </c>
      <c r="O80" s="125"/>
      <c r="P80" s="173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spans="1:26" ht="14.25" hidden="1" customHeight="1" outlineLevel="1">
      <c r="A81" s="168"/>
      <c r="B81" s="168" t="s">
        <v>512</v>
      </c>
      <c r="C81" s="168" t="str">
        <f t="shared" ref="C81:C87" si="29">MID(E81,4,LEN(E81))</f>
        <v xml:space="preserve"> Purwokerto</v>
      </c>
      <c r="D81" s="168" t="str">
        <f t="shared" ref="D81:D87" si="30">IFERROR(VLOOKUP($E$4&amp;C81,#REF!,2,FALSE),"")</f>
        <v/>
      </c>
      <c r="E81" s="252" t="s">
        <v>513</v>
      </c>
      <c r="F81" s="246"/>
      <c r="G81" s="242"/>
      <c r="H81" s="243"/>
      <c r="I81" s="250"/>
      <c r="J81" s="243"/>
      <c r="K81" s="243"/>
      <c r="L81" s="256"/>
      <c r="M81" s="255"/>
      <c r="N81" s="247">
        <f t="shared" ref="N81:N87" si="31">SUM(F81:M81)</f>
        <v>0</v>
      </c>
      <c r="O81" s="125"/>
      <c r="P81" s="173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spans="1:26" ht="14.25" hidden="1" customHeight="1" outlineLevel="1">
      <c r="A82" s="168"/>
      <c r="B82" s="168" t="s">
        <v>514</v>
      </c>
      <c r="C82" s="168" t="str">
        <f t="shared" si="29"/>
        <v xml:space="preserve"> Cilacap</v>
      </c>
      <c r="D82" s="168" t="str">
        <f t="shared" si="30"/>
        <v/>
      </c>
      <c r="E82" s="252" t="s">
        <v>515</v>
      </c>
      <c r="F82" s="246"/>
      <c r="G82" s="242"/>
      <c r="H82" s="243"/>
      <c r="I82" s="249"/>
      <c r="J82" s="256"/>
      <c r="K82" s="249"/>
      <c r="L82" s="250"/>
      <c r="M82" s="244"/>
      <c r="N82" s="247">
        <f t="shared" si="31"/>
        <v>0</v>
      </c>
      <c r="O82" s="125"/>
      <c r="P82" s="173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spans="1:26" ht="14.25" hidden="1" customHeight="1" outlineLevel="1">
      <c r="A83" s="168"/>
      <c r="B83" s="168" t="s">
        <v>516</v>
      </c>
      <c r="C83" s="168" t="str">
        <f t="shared" si="29"/>
        <v xml:space="preserve"> Yogyakarta</v>
      </c>
      <c r="D83" s="168" t="str">
        <f t="shared" si="30"/>
        <v/>
      </c>
      <c r="E83" s="252" t="s">
        <v>518</v>
      </c>
      <c r="F83" s="246"/>
      <c r="G83" s="242"/>
      <c r="H83" s="249"/>
      <c r="I83" s="256"/>
      <c r="J83" s="249"/>
      <c r="K83" s="243"/>
      <c r="L83" s="256"/>
      <c r="M83" s="255"/>
      <c r="N83" s="247">
        <f t="shared" si="31"/>
        <v>0</v>
      </c>
      <c r="O83" s="125"/>
      <c r="P83" s="173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spans="1:26" ht="14.25" hidden="1" customHeight="1" outlineLevel="1">
      <c r="A84" s="168"/>
      <c r="B84" s="168" t="s">
        <v>519</v>
      </c>
      <c r="C84" s="168" t="str">
        <f t="shared" si="29"/>
        <v xml:space="preserve"> Magelang</v>
      </c>
      <c r="D84" s="168" t="str">
        <f t="shared" si="30"/>
        <v/>
      </c>
      <c r="E84" s="252" t="s">
        <v>520</v>
      </c>
      <c r="F84" s="246"/>
      <c r="G84" s="242"/>
      <c r="H84" s="249"/>
      <c r="I84" s="256"/>
      <c r="J84" s="249"/>
      <c r="K84" s="243"/>
      <c r="L84" s="243"/>
      <c r="M84" s="265"/>
      <c r="N84" s="247">
        <f t="shared" si="31"/>
        <v>0</v>
      </c>
      <c r="O84" s="125"/>
      <c r="P84" s="173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spans="1:26" ht="14.25" hidden="1" customHeight="1" outlineLevel="1">
      <c r="A85" s="168"/>
      <c r="B85" s="168" t="s">
        <v>521</v>
      </c>
      <c r="C85" s="168" t="str">
        <f t="shared" si="29"/>
        <v xml:space="preserve"> Surakarta</v>
      </c>
      <c r="D85" s="168" t="str">
        <f t="shared" si="30"/>
        <v/>
      </c>
      <c r="E85" s="252" t="s">
        <v>522</v>
      </c>
      <c r="F85" s="246"/>
      <c r="G85" s="242"/>
      <c r="H85" s="249"/>
      <c r="I85" s="256"/>
      <c r="J85" s="249"/>
      <c r="K85" s="256"/>
      <c r="L85" s="243"/>
      <c r="M85" s="265"/>
      <c r="N85" s="247">
        <f t="shared" si="31"/>
        <v>0</v>
      </c>
      <c r="O85" s="125"/>
      <c r="P85" s="173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spans="1:26" ht="14.25" hidden="1" customHeight="1" outlineLevel="1">
      <c r="A86" s="168"/>
      <c r="B86" s="168" t="s">
        <v>523</v>
      </c>
      <c r="C86" s="168" t="str">
        <f t="shared" si="29"/>
        <v xml:space="preserve"> Salatiga</v>
      </c>
      <c r="D86" s="168" t="str">
        <f t="shared" si="30"/>
        <v/>
      </c>
      <c r="E86" s="253" t="s">
        <v>524</v>
      </c>
      <c r="F86" s="246"/>
      <c r="G86" s="242"/>
      <c r="H86" s="249"/>
      <c r="I86" s="256"/>
      <c r="J86" s="249"/>
      <c r="K86" s="243"/>
      <c r="L86" s="243"/>
      <c r="M86" s="265"/>
      <c r="N86" s="247">
        <f t="shared" si="31"/>
        <v>0</v>
      </c>
      <c r="O86" s="125"/>
      <c r="P86" s="173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spans="1:26" ht="14.25" hidden="1" customHeight="1" outlineLevel="1">
      <c r="A87" s="168"/>
      <c r="B87" s="168" t="s">
        <v>525</v>
      </c>
      <c r="C87" s="168" t="str">
        <f t="shared" si="29"/>
        <v xml:space="preserve"> Madiun</v>
      </c>
      <c r="D87" s="168" t="str">
        <f t="shared" si="30"/>
        <v/>
      </c>
      <c r="E87" s="252" t="s">
        <v>526</v>
      </c>
      <c r="F87" s="246"/>
      <c r="G87" s="242"/>
      <c r="H87" s="243"/>
      <c r="I87" s="256"/>
      <c r="J87" s="243"/>
      <c r="K87" s="256"/>
      <c r="L87" s="243"/>
      <c r="M87" s="266"/>
      <c r="N87" s="247">
        <f t="shared" si="31"/>
        <v>0</v>
      </c>
      <c r="O87" s="125"/>
      <c r="P87" s="173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6" ht="15.75" customHeight="1" collapsed="1">
      <c r="A88" s="162" t="s">
        <v>453</v>
      </c>
      <c r="B88" s="162"/>
      <c r="C88" s="162"/>
      <c r="D88" s="162">
        <v>1</v>
      </c>
      <c r="E88" s="162" t="s">
        <v>527</v>
      </c>
      <c r="F88" s="251">
        <f t="shared" ref="F88:N88" si="32">SUM(F81:F87)</f>
        <v>0</v>
      </c>
      <c r="G88" s="251">
        <f t="shared" si="32"/>
        <v>0</v>
      </c>
      <c r="H88" s="251">
        <f t="shared" si="32"/>
        <v>0</v>
      </c>
      <c r="I88" s="251">
        <f t="shared" si="32"/>
        <v>0</v>
      </c>
      <c r="J88" s="251">
        <f t="shared" si="32"/>
        <v>0</v>
      </c>
      <c r="K88" s="251">
        <f t="shared" si="32"/>
        <v>0</v>
      </c>
      <c r="L88" s="251">
        <f t="shared" si="32"/>
        <v>0</v>
      </c>
      <c r="M88" s="251">
        <f t="shared" si="32"/>
        <v>0</v>
      </c>
      <c r="N88" s="251">
        <f t="shared" si="32"/>
        <v>0</v>
      </c>
      <c r="O88" s="125"/>
      <c r="P88" s="173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spans="1:26" ht="14.25" hidden="1" customHeight="1" outlineLevel="1">
      <c r="A89" s="168"/>
      <c r="B89" s="168" t="s">
        <v>528</v>
      </c>
      <c r="C89" s="168" t="str">
        <f t="shared" ref="C89:C94" si="33">MID(E89,4,LEN(E89))</f>
        <v xml:space="preserve"> Semarang</v>
      </c>
      <c r="D89" s="168" t="str">
        <f t="shared" ref="D89:D99" si="34">IFERROR(VLOOKUP($E$4&amp;C89,#REF!,2,FALSE),"")</f>
        <v/>
      </c>
      <c r="E89" s="252" t="s">
        <v>529</v>
      </c>
      <c r="F89" s="246"/>
      <c r="G89" s="242"/>
      <c r="H89" s="249"/>
      <c r="I89" s="263"/>
      <c r="J89" s="256"/>
      <c r="K89" s="249"/>
      <c r="L89" s="243"/>
      <c r="M89" s="266"/>
      <c r="N89" s="247">
        <f t="shared" ref="N89:N94" si="35">SUM(F89:M89)</f>
        <v>0</v>
      </c>
      <c r="O89" s="125"/>
      <c r="P89" s="173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spans="1:26" ht="14.25" hidden="1" customHeight="1" outlineLevel="1">
      <c r="A90" s="168"/>
      <c r="B90" s="168" t="s">
        <v>530</v>
      </c>
      <c r="C90" s="168" t="str">
        <f t="shared" si="33"/>
        <v xml:space="preserve"> Pati</v>
      </c>
      <c r="D90" s="168" t="str">
        <f t="shared" si="34"/>
        <v/>
      </c>
      <c r="E90" s="252" t="s">
        <v>531</v>
      </c>
      <c r="F90" s="246"/>
      <c r="G90" s="242"/>
      <c r="H90" s="243"/>
      <c r="I90" s="250"/>
      <c r="J90" s="243"/>
      <c r="K90" s="243"/>
      <c r="L90" s="249"/>
      <c r="M90" s="266"/>
      <c r="N90" s="247">
        <f t="shared" si="35"/>
        <v>0</v>
      </c>
      <c r="O90" s="125"/>
      <c r="P90" s="173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spans="1:26" ht="14.25" hidden="1" customHeight="1" outlineLevel="1">
      <c r="A91" s="168"/>
      <c r="B91" s="168" t="s">
        <v>532</v>
      </c>
      <c r="C91" s="168" t="str">
        <f t="shared" si="33"/>
        <v xml:space="preserve"> Tuban</v>
      </c>
      <c r="D91" s="168" t="str">
        <f t="shared" si="34"/>
        <v/>
      </c>
      <c r="E91" s="252" t="s">
        <v>533</v>
      </c>
      <c r="F91" s="246"/>
      <c r="G91" s="242"/>
      <c r="H91" s="243"/>
      <c r="I91" s="250"/>
      <c r="J91" s="243"/>
      <c r="K91" s="243"/>
      <c r="L91" s="249"/>
      <c r="M91" s="266"/>
      <c r="N91" s="247">
        <f t="shared" si="35"/>
        <v>0</v>
      </c>
      <c r="O91" s="125"/>
      <c r="P91" s="173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spans="1:26" ht="14.25" hidden="1" customHeight="1" outlineLevel="1">
      <c r="A92" s="168"/>
      <c r="B92" s="168" t="s">
        <v>534</v>
      </c>
      <c r="C92" s="168" t="str">
        <f t="shared" si="33"/>
        <v xml:space="preserve"> Kediri</v>
      </c>
      <c r="D92" s="168" t="str">
        <f t="shared" si="34"/>
        <v/>
      </c>
      <c r="E92" s="252" t="s">
        <v>535</v>
      </c>
      <c r="F92" s="246"/>
      <c r="G92" s="242"/>
      <c r="H92" s="256"/>
      <c r="I92" s="267"/>
      <c r="J92" s="256"/>
      <c r="K92" s="243"/>
      <c r="L92" s="243"/>
      <c r="M92" s="266"/>
      <c r="N92" s="247">
        <f t="shared" si="35"/>
        <v>0</v>
      </c>
      <c r="O92" s="125"/>
      <c r="P92" s="173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spans="1:26" ht="14.25" hidden="1" customHeight="1" outlineLevel="1">
      <c r="A93" s="168"/>
      <c r="B93" s="168" t="s">
        <v>536</v>
      </c>
      <c r="C93" s="168" t="str">
        <f t="shared" si="33"/>
        <v xml:space="preserve"> Tegal</v>
      </c>
      <c r="D93" s="168" t="str">
        <f t="shared" si="34"/>
        <v/>
      </c>
      <c r="E93" s="252" t="s">
        <v>537</v>
      </c>
      <c r="F93" s="246"/>
      <c r="G93" s="242"/>
      <c r="H93" s="256"/>
      <c r="I93" s="254"/>
      <c r="J93" s="256"/>
      <c r="K93" s="243"/>
      <c r="L93" s="268"/>
      <c r="M93" s="244"/>
      <c r="N93" s="247">
        <f t="shared" si="35"/>
        <v>0</v>
      </c>
      <c r="O93" s="125"/>
      <c r="P93" s="173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spans="1:26" ht="14.25" hidden="1" customHeight="1" outlineLevel="1">
      <c r="A94" s="168"/>
      <c r="B94" s="168" t="s">
        <v>538</v>
      </c>
      <c r="C94" s="168" t="str">
        <f t="shared" si="33"/>
        <v xml:space="preserve"> Pekalongan</v>
      </c>
      <c r="D94" s="168" t="str">
        <f t="shared" si="34"/>
        <v/>
      </c>
      <c r="E94" s="252" t="s">
        <v>539</v>
      </c>
      <c r="F94" s="246"/>
      <c r="G94" s="242"/>
      <c r="H94" s="256"/>
      <c r="I94" s="254"/>
      <c r="J94" s="256"/>
      <c r="K94" s="243"/>
      <c r="L94" s="256"/>
      <c r="M94" s="269"/>
      <c r="N94" s="247">
        <f t="shared" si="35"/>
        <v>0</v>
      </c>
      <c r="O94" s="125"/>
      <c r="P94" s="173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spans="1:26" ht="15.75" customHeight="1" collapsed="1">
      <c r="A95" s="162" t="s">
        <v>453</v>
      </c>
      <c r="B95" s="162"/>
      <c r="C95" s="162"/>
      <c r="D95" s="162" t="str">
        <f t="shared" si="34"/>
        <v/>
      </c>
      <c r="E95" s="162" t="s">
        <v>540</v>
      </c>
      <c r="F95" s="251">
        <f t="shared" ref="F95:N95" si="36">SUM(F89:F94)</f>
        <v>0</v>
      </c>
      <c r="G95" s="251">
        <f t="shared" si="36"/>
        <v>0</v>
      </c>
      <c r="H95" s="251">
        <f t="shared" si="36"/>
        <v>0</v>
      </c>
      <c r="I95" s="251">
        <f t="shared" si="36"/>
        <v>0</v>
      </c>
      <c r="J95" s="251">
        <f t="shared" si="36"/>
        <v>0</v>
      </c>
      <c r="K95" s="251">
        <f t="shared" si="36"/>
        <v>0</v>
      </c>
      <c r="L95" s="251">
        <f t="shared" si="36"/>
        <v>0</v>
      </c>
      <c r="M95" s="251">
        <f t="shared" si="36"/>
        <v>0</v>
      </c>
      <c r="N95" s="251">
        <f t="shared" si="36"/>
        <v>0</v>
      </c>
      <c r="O95" s="125"/>
      <c r="P95" s="173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spans="1:26" ht="14.25" hidden="1" customHeight="1" outlineLevel="1">
      <c r="A96" s="168"/>
      <c r="B96" s="168" t="s">
        <v>541</v>
      </c>
      <c r="C96" s="168" t="str">
        <f t="shared" ref="C96:C99" si="37">MID(E96,4,LEN(E96))</f>
        <v xml:space="preserve"> Surabaya</v>
      </c>
      <c r="D96" s="168" t="str">
        <f t="shared" si="34"/>
        <v/>
      </c>
      <c r="E96" s="252" t="s">
        <v>542</v>
      </c>
      <c r="F96" s="246"/>
      <c r="G96" s="242"/>
      <c r="H96" s="256"/>
      <c r="I96" s="256"/>
      <c r="J96" s="256"/>
      <c r="K96" s="256"/>
      <c r="L96" s="243"/>
      <c r="M96" s="266"/>
      <c r="N96" s="247">
        <f t="shared" ref="N96:N99" si="38">SUM(F96:M96)</f>
        <v>0</v>
      </c>
      <c r="O96" s="125"/>
      <c r="P96" s="173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spans="1:26" ht="14.25" hidden="1" customHeight="1" outlineLevel="1">
      <c r="A97" s="168"/>
      <c r="B97" s="168" t="s">
        <v>543</v>
      </c>
      <c r="C97" s="168" t="str">
        <f t="shared" si="37"/>
        <v xml:space="preserve"> Pamekasan</v>
      </c>
      <c r="D97" s="168" t="str">
        <f t="shared" si="34"/>
        <v/>
      </c>
      <c r="E97" s="252" t="s">
        <v>544</v>
      </c>
      <c r="F97" s="246"/>
      <c r="G97" s="242"/>
      <c r="H97" s="256"/>
      <c r="I97" s="243"/>
      <c r="J97" s="256"/>
      <c r="K97" s="256"/>
      <c r="L97" s="243"/>
      <c r="M97" s="266"/>
      <c r="N97" s="247">
        <f t="shared" si="38"/>
        <v>0</v>
      </c>
      <c r="O97" s="125"/>
      <c r="P97" s="173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spans="1:26" ht="14.25" hidden="1" customHeight="1" outlineLevel="1">
      <c r="A98" s="168"/>
      <c r="B98" s="168" t="s">
        <v>545</v>
      </c>
      <c r="C98" s="168" t="str">
        <f t="shared" si="37"/>
        <v xml:space="preserve"> Sidoarjo</v>
      </c>
      <c r="D98" s="168" t="str">
        <f t="shared" si="34"/>
        <v/>
      </c>
      <c r="E98" s="253" t="s">
        <v>546</v>
      </c>
      <c r="F98" s="246"/>
      <c r="G98" s="242"/>
      <c r="H98" s="256"/>
      <c r="I98" s="256"/>
      <c r="J98" s="256"/>
      <c r="K98" s="256"/>
      <c r="L98" s="243"/>
      <c r="M98" s="266"/>
      <c r="N98" s="247">
        <f t="shared" si="38"/>
        <v>0</v>
      </c>
      <c r="O98" s="125"/>
      <c r="P98" s="173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spans="1:26" ht="14.25" hidden="1" customHeight="1" outlineLevel="1">
      <c r="A99" s="168"/>
      <c r="B99" s="168" t="s">
        <v>547</v>
      </c>
      <c r="C99" s="168" t="str">
        <f t="shared" si="37"/>
        <v xml:space="preserve"> Malang</v>
      </c>
      <c r="D99" s="168" t="str">
        <f t="shared" si="34"/>
        <v/>
      </c>
      <c r="E99" s="252" t="s">
        <v>548</v>
      </c>
      <c r="F99" s="246"/>
      <c r="G99" s="242"/>
      <c r="H99" s="243"/>
      <c r="I99" s="243"/>
      <c r="J99" s="256"/>
      <c r="K99" s="243"/>
      <c r="L99" s="243"/>
      <c r="M99" s="266"/>
      <c r="N99" s="247">
        <f t="shared" si="38"/>
        <v>0</v>
      </c>
      <c r="O99" s="125"/>
      <c r="P99" s="173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spans="1:26" ht="14.25" hidden="1" customHeight="1" outlineLevel="1">
      <c r="A100" s="168"/>
      <c r="B100" s="168" t="s">
        <v>549</v>
      </c>
      <c r="C100" s="168" t="s">
        <v>550</v>
      </c>
      <c r="D100" s="168"/>
      <c r="E100" s="252" t="s">
        <v>551</v>
      </c>
      <c r="F100" s="246"/>
      <c r="G100" s="242"/>
      <c r="H100" s="243"/>
      <c r="I100" s="243"/>
      <c r="J100" s="243"/>
      <c r="K100" s="243"/>
      <c r="L100" s="243"/>
      <c r="M100" s="244"/>
      <c r="N100" s="247"/>
      <c r="O100" s="125"/>
      <c r="P100" s="173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spans="1:26" ht="14.25" hidden="1" customHeight="1" outlineLevel="1">
      <c r="A101" s="168"/>
      <c r="B101" s="168" t="s">
        <v>552</v>
      </c>
      <c r="C101" s="168" t="str">
        <f t="shared" ref="C101:C105" si="39">MID(E101,4,LEN(E101))</f>
        <v xml:space="preserve"> Mojokerto</v>
      </c>
      <c r="D101" s="168" t="str">
        <f t="shared" ref="D101:D105" si="40">IFERROR(VLOOKUP($E$4&amp;C101,#REF!,2,FALSE),"")</f>
        <v/>
      </c>
      <c r="E101" s="252" t="s">
        <v>553</v>
      </c>
      <c r="F101" s="246"/>
      <c r="G101" s="242"/>
      <c r="H101" s="243"/>
      <c r="I101" s="256"/>
      <c r="J101" s="256"/>
      <c r="K101" s="243"/>
      <c r="L101" s="243"/>
      <c r="M101" s="266"/>
      <c r="N101" s="247">
        <f t="shared" ref="N101:N105" si="41">SUM(F101:M101)</f>
        <v>0</v>
      </c>
      <c r="O101" s="125"/>
      <c r="P101" s="173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 ht="14.25" hidden="1" customHeight="1" outlineLevel="1">
      <c r="A102" s="168"/>
      <c r="B102" s="168" t="s">
        <v>554</v>
      </c>
      <c r="C102" s="168" t="str">
        <f t="shared" si="39"/>
        <v xml:space="preserve"> Jember</v>
      </c>
      <c r="D102" s="168" t="str">
        <f t="shared" si="40"/>
        <v/>
      </c>
      <c r="E102" s="252" t="s">
        <v>555</v>
      </c>
      <c r="F102" s="246"/>
      <c r="G102" s="242"/>
      <c r="H102" s="243"/>
      <c r="I102" s="256"/>
      <c r="J102" s="243"/>
      <c r="K102" s="243"/>
      <c r="L102" s="243"/>
      <c r="M102" s="266"/>
      <c r="N102" s="247">
        <f t="shared" si="41"/>
        <v>0</v>
      </c>
      <c r="O102" s="125"/>
      <c r="P102" s="173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 ht="14.25" hidden="1" customHeight="1" outlineLevel="1">
      <c r="A103" s="168"/>
      <c r="B103" s="168" t="s">
        <v>556</v>
      </c>
      <c r="C103" s="168" t="str">
        <f t="shared" si="39"/>
        <v xml:space="preserve"> Banyuwangi</v>
      </c>
      <c r="D103" s="168" t="str">
        <f t="shared" si="40"/>
        <v/>
      </c>
      <c r="E103" s="252" t="s">
        <v>557</v>
      </c>
      <c r="F103" s="246"/>
      <c r="G103" s="242"/>
      <c r="H103" s="243"/>
      <c r="I103" s="256"/>
      <c r="J103" s="243"/>
      <c r="K103" s="243"/>
      <c r="L103" s="243"/>
      <c r="M103" s="266"/>
      <c r="N103" s="247">
        <f t="shared" si="41"/>
        <v>0</v>
      </c>
      <c r="O103" s="125"/>
      <c r="P103" s="173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spans="1:26" ht="14.25" hidden="1" customHeight="1" outlineLevel="1">
      <c r="A104" s="168"/>
      <c r="B104" s="168" t="s">
        <v>558</v>
      </c>
      <c r="C104" s="168" t="str">
        <f t="shared" si="39"/>
        <v xml:space="preserve"> Probolinggo</v>
      </c>
      <c r="D104" s="168" t="str">
        <f t="shared" si="40"/>
        <v/>
      </c>
      <c r="E104" s="252" t="s">
        <v>559</v>
      </c>
      <c r="F104" s="246"/>
      <c r="G104" s="242"/>
      <c r="H104" s="243"/>
      <c r="I104" s="256"/>
      <c r="J104" s="243"/>
      <c r="K104" s="243"/>
      <c r="L104" s="243"/>
      <c r="M104" s="266"/>
      <c r="N104" s="247">
        <f t="shared" si="41"/>
        <v>0</v>
      </c>
      <c r="O104" s="125"/>
      <c r="P104" s="173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spans="1:26" ht="14.25" hidden="1" customHeight="1" outlineLevel="1">
      <c r="A105" s="168"/>
      <c r="B105" s="168" t="s">
        <v>560</v>
      </c>
      <c r="C105" s="168" t="str">
        <f t="shared" si="39"/>
        <v xml:space="preserve"> Gresik</v>
      </c>
      <c r="D105" s="168" t="str">
        <f t="shared" si="40"/>
        <v/>
      </c>
      <c r="E105" s="252" t="s">
        <v>561</v>
      </c>
      <c r="F105" s="246"/>
      <c r="G105" s="242"/>
      <c r="H105" s="243"/>
      <c r="I105" s="256"/>
      <c r="J105" s="243"/>
      <c r="K105" s="256"/>
      <c r="L105" s="243"/>
      <c r="M105" s="266"/>
      <c r="N105" s="247">
        <f t="shared" si="41"/>
        <v>0</v>
      </c>
      <c r="O105" s="125"/>
      <c r="P105" s="173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  <row r="106" spans="1:26" ht="15.75" customHeight="1" collapsed="1">
      <c r="A106" s="162" t="s">
        <v>453</v>
      </c>
      <c r="B106" s="162"/>
      <c r="C106" s="162"/>
      <c r="D106" s="162">
        <v>1</v>
      </c>
      <c r="E106" s="162" t="s">
        <v>562</v>
      </c>
      <c r="F106" s="251">
        <f t="shared" ref="F106:N106" si="42">SUM(F96:F105)</f>
        <v>0</v>
      </c>
      <c r="G106" s="251">
        <f t="shared" si="42"/>
        <v>0</v>
      </c>
      <c r="H106" s="251">
        <f t="shared" si="42"/>
        <v>0</v>
      </c>
      <c r="I106" s="251">
        <f t="shared" si="42"/>
        <v>0</v>
      </c>
      <c r="J106" s="251">
        <f t="shared" si="42"/>
        <v>0</v>
      </c>
      <c r="K106" s="251">
        <f t="shared" si="42"/>
        <v>0</v>
      </c>
      <c r="L106" s="251">
        <f t="shared" si="42"/>
        <v>0</v>
      </c>
      <c r="M106" s="251">
        <f t="shared" si="42"/>
        <v>0</v>
      </c>
      <c r="N106" s="251">
        <f t="shared" si="42"/>
        <v>0</v>
      </c>
      <c r="O106" s="125"/>
      <c r="P106" s="173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</row>
    <row r="107" spans="1:26" ht="14.25" customHeight="1" outlineLevel="1">
      <c r="A107" s="150"/>
      <c r="B107" s="193" t="s">
        <v>563</v>
      </c>
      <c r="C107" s="193" t="str">
        <f t="shared" ref="C107:C111" si="43">MID(E107,4,LEN(E107))</f>
        <v xml:space="preserve"> Denpasar</v>
      </c>
      <c r="D107" s="193" t="str">
        <f t="shared" ref="D107:D119" si="44">IFERROR(VLOOKUP($E$4&amp;C107,#REF!,2,FALSE),"")</f>
        <v/>
      </c>
      <c r="E107" s="199" t="s">
        <v>565</v>
      </c>
      <c r="F107" s="270"/>
      <c r="G107" s="242"/>
      <c r="H107" s="256"/>
      <c r="I107" s="249"/>
      <c r="J107" s="256"/>
      <c r="K107" s="243"/>
      <c r="L107" s="250"/>
      <c r="M107" s="244"/>
      <c r="N107" s="271">
        <f t="shared" ref="N107:N111" si="45">SUM(F107:M107)</f>
        <v>0</v>
      </c>
      <c r="O107" s="125"/>
      <c r="P107" s="173"/>
      <c r="Q107" s="125"/>
      <c r="R107" s="125"/>
      <c r="S107" s="125"/>
      <c r="T107" s="125"/>
      <c r="U107" s="125"/>
      <c r="V107" s="125"/>
      <c r="W107" s="125"/>
      <c r="X107" s="125"/>
      <c r="Y107" s="125"/>
      <c r="Z107" s="125"/>
    </row>
    <row r="108" spans="1:26" ht="14.25" customHeight="1" outlineLevel="1">
      <c r="A108" s="150"/>
      <c r="B108" s="193" t="s">
        <v>566</v>
      </c>
      <c r="C108" s="193" t="str">
        <f t="shared" si="43"/>
        <v xml:space="preserve"> Singaraja</v>
      </c>
      <c r="D108" s="193" t="str">
        <f t="shared" si="44"/>
        <v/>
      </c>
      <c r="E108" s="199" t="s">
        <v>567</v>
      </c>
      <c r="F108" s="270"/>
      <c r="G108" s="242"/>
      <c r="H108" s="243"/>
      <c r="I108" s="256"/>
      <c r="J108" s="243"/>
      <c r="K108" s="243"/>
      <c r="L108" s="243"/>
      <c r="M108" s="266"/>
      <c r="N108" s="271">
        <f t="shared" si="45"/>
        <v>0</v>
      </c>
      <c r="O108" s="125"/>
      <c r="P108" s="173"/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</row>
    <row r="109" spans="1:26" ht="14.25" customHeight="1" outlineLevel="1">
      <c r="A109" s="150"/>
      <c r="B109" s="193" t="s">
        <v>568</v>
      </c>
      <c r="C109" s="193" t="str">
        <f t="shared" si="43"/>
        <v xml:space="preserve"> Mataram</v>
      </c>
      <c r="D109" s="193" t="str">
        <f t="shared" si="44"/>
        <v/>
      </c>
      <c r="E109" s="199" t="s">
        <v>569</v>
      </c>
      <c r="F109" s="270"/>
      <c r="G109" s="242"/>
      <c r="H109" s="256"/>
      <c r="I109" s="243"/>
      <c r="J109" s="256"/>
      <c r="K109" s="243"/>
      <c r="L109" s="256"/>
      <c r="M109" s="244"/>
      <c r="N109" s="271">
        <f t="shared" si="45"/>
        <v>0</v>
      </c>
      <c r="O109" s="125"/>
      <c r="P109" s="173"/>
      <c r="Q109" s="125"/>
      <c r="R109" s="125"/>
      <c r="S109" s="125"/>
      <c r="T109" s="125"/>
      <c r="U109" s="125"/>
      <c r="V109" s="125"/>
      <c r="W109" s="125"/>
      <c r="X109" s="125"/>
      <c r="Y109" s="125"/>
      <c r="Z109" s="125"/>
    </row>
    <row r="110" spans="1:26" ht="14.25" customHeight="1" outlineLevel="1">
      <c r="A110" s="150"/>
      <c r="B110" s="193" t="s">
        <v>570</v>
      </c>
      <c r="C110" s="193" t="str">
        <f t="shared" si="43"/>
        <v xml:space="preserve"> Ende</v>
      </c>
      <c r="D110" s="193" t="str">
        <f t="shared" si="44"/>
        <v/>
      </c>
      <c r="E110" s="199" t="s">
        <v>572</v>
      </c>
      <c r="F110" s="270"/>
      <c r="G110" s="242"/>
      <c r="H110" s="243"/>
      <c r="I110" s="256"/>
      <c r="J110" s="243"/>
      <c r="K110" s="243"/>
      <c r="L110" s="243"/>
      <c r="M110" s="244"/>
      <c r="N110" s="271">
        <f t="shared" si="45"/>
        <v>0</v>
      </c>
      <c r="O110" s="125"/>
      <c r="P110" s="173"/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</row>
    <row r="111" spans="1:26" ht="14.25" customHeight="1" outlineLevel="1">
      <c r="A111" s="150"/>
      <c r="B111" s="193" t="s">
        <v>576</v>
      </c>
      <c r="C111" s="193" t="str">
        <f t="shared" si="43"/>
        <v xml:space="preserve"> Kupang</v>
      </c>
      <c r="D111" s="193" t="str">
        <f t="shared" si="44"/>
        <v/>
      </c>
      <c r="E111" s="199" t="s">
        <v>577</v>
      </c>
      <c r="F111" s="270">
        <v>370</v>
      </c>
      <c r="G111" s="272"/>
      <c r="H111" s="256"/>
      <c r="I111" s="256"/>
      <c r="J111" s="243"/>
      <c r="K111" s="243"/>
      <c r="L111" s="243"/>
      <c r="M111" s="244"/>
      <c r="N111" s="271">
        <f t="shared" si="45"/>
        <v>370</v>
      </c>
      <c r="O111" s="125"/>
      <c r="P111" s="173"/>
      <c r="Q111" s="125"/>
      <c r="R111" s="125"/>
      <c r="S111" s="125"/>
      <c r="T111" s="125"/>
      <c r="U111" s="125"/>
      <c r="V111" s="125"/>
      <c r="W111" s="125"/>
      <c r="X111" s="125"/>
      <c r="Y111" s="125"/>
      <c r="Z111" s="125"/>
    </row>
    <row r="112" spans="1:26" ht="15.75" customHeight="1">
      <c r="A112" s="162" t="s">
        <v>453</v>
      </c>
      <c r="B112" s="162"/>
      <c r="C112" s="162"/>
      <c r="D112" s="162" t="str">
        <f t="shared" si="44"/>
        <v/>
      </c>
      <c r="E112" s="162" t="s">
        <v>578</v>
      </c>
      <c r="F112" s="251">
        <f t="shared" ref="F112:N112" si="46">SUM(F107:F111)</f>
        <v>370</v>
      </c>
      <c r="G112" s="251">
        <f t="shared" si="46"/>
        <v>0</v>
      </c>
      <c r="H112" s="251">
        <f t="shared" si="46"/>
        <v>0</v>
      </c>
      <c r="I112" s="251">
        <f t="shared" si="46"/>
        <v>0</v>
      </c>
      <c r="J112" s="251">
        <f t="shared" si="46"/>
        <v>0</v>
      </c>
      <c r="K112" s="251">
        <f t="shared" si="46"/>
        <v>0</v>
      </c>
      <c r="L112" s="251">
        <f t="shared" si="46"/>
        <v>0</v>
      </c>
      <c r="M112" s="251">
        <f t="shared" si="46"/>
        <v>0</v>
      </c>
      <c r="N112" s="251">
        <f t="shared" si="46"/>
        <v>370</v>
      </c>
      <c r="O112" s="125"/>
      <c r="P112" s="173"/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</row>
    <row r="113" spans="1:26" ht="14.25" hidden="1" customHeight="1" outlineLevel="1">
      <c r="A113" s="168" t="s">
        <v>579</v>
      </c>
      <c r="B113" s="193" t="s">
        <v>580</v>
      </c>
      <c r="C113" s="193" t="str">
        <f t="shared" ref="C113:C118" si="47">MID(E113,4,LEN(E113))</f>
        <v xml:space="preserve"> Banjarmasin</v>
      </c>
      <c r="D113" s="193" t="str">
        <f t="shared" si="44"/>
        <v/>
      </c>
      <c r="E113" s="199" t="s">
        <v>581</v>
      </c>
      <c r="F113" s="273"/>
      <c r="G113" s="242"/>
      <c r="H113" s="256"/>
      <c r="I113" s="256"/>
      <c r="J113" s="243"/>
      <c r="K113" s="243"/>
      <c r="L113" s="243"/>
      <c r="M113" s="244"/>
      <c r="N113" s="271">
        <f t="shared" ref="N113:N119" si="48">SUM(F113:M113)</f>
        <v>0</v>
      </c>
      <c r="O113" s="125"/>
      <c r="P113" s="173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</row>
    <row r="114" spans="1:26" ht="14.25" hidden="1" customHeight="1" outlineLevel="1">
      <c r="A114" s="168"/>
      <c r="B114" s="193" t="s">
        <v>582</v>
      </c>
      <c r="C114" s="193" t="str">
        <f t="shared" si="47"/>
        <v xml:space="preserve"> Barabai</v>
      </c>
      <c r="D114" s="193" t="str">
        <f t="shared" si="44"/>
        <v/>
      </c>
      <c r="E114" s="199" t="s">
        <v>583</v>
      </c>
      <c r="F114" s="270"/>
      <c r="G114" s="242"/>
      <c r="H114" s="243"/>
      <c r="I114" s="256"/>
      <c r="J114" s="243"/>
      <c r="K114" s="243"/>
      <c r="L114" s="243"/>
      <c r="M114" s="244"/>
      <c r="N114" s="271">
        <f t="shared" si="48"/>
        <v>0</v>
      </c>
      <c r="O114" s="125"/>
      <c r="P114" s="173"/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</row>
    <row r="115" spans="1:26" ht="14.25" hidden="1" customHeight="1" outlineLevel="1">
      <c r="A115" s="196"/>
      <c r="B115" s="193" t="s">
        <v>584</v>
      </c>
      <c r="C115" s="193" t="str">
        <f t="shared" si="47"/>
        <v xml:space="preserve"> Samarinda</v>
      </c>
      <c r="D115" s="193" t="str">
        <f t="shared" si="44"/>
        <v/>
      </c>
      <c r="E115" s="274" t="s">
        <v>586</v>
      </c>
      <c r="F115" s="270"/>
      <c r="G115" s="242"/>
      <c r="H115" s="256"/>
      <c r="I115" s="243"/>
      <c r="J115" s="249"/>
      <c r="K115" s="243"/>
      <c r="L115" s="243"/>
      <c r="M115" s="244"/>
      <c r="N115" s="271">
        <f t="shared" si="48"/>
        <v>0</v>
      </c>
      <c r="O115" s="125"/>
      <c r="P115" s="173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</row>
    <row r="116" spans="1:26" ht="14.25" hidden="1" customHeight="1" outlineLevel="1">
      <c r="A116" s="196"/>
      <c r="B116" s="193" t="s">
        <v>587</v>
      </c>
      <c r="C116" s="193" t="str">
        <f t="shared" si="47"/>
        <v xml:space="preserve"> Berau</v>
      </c>
      <c r="D116" s="193" t="str">
        <f t="shared" si="44"/>
        <v/>
      </c>
      <c r="E116" s="274" t="s">
        <v>588</v>
      </c>
      <c r="F116" s="270"/>
      <c r="G116" s="242"/>
      <c r="H116" s="243"/>
      <c r="I116" s="243"/>
      <c r="J116" s="243"/>
      <c r="K116" s="243"/>
      <c r="L116" s="243"/>
      <c r="M116" s="244"/>
      <c r="N116" s="271">
        <f t="shared" si="48"/>
        <v>0</v>
      </c>
      <c r="O116" s="125"/>
      <c r="P116" s="173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</row>
    <row r="117" spans="1:26" ht="14.25" hidden="1" customHeight="1" outlineLevel="1">
      <c r="A117" s="196"/>
      <c r="B117" s="193" t="s">
        <v>589</v>
      </c>
      <c r="C117" s="193" t="str">
        <f t="shared" si="47"/>
        <v xml:space="preserve"> Sengatta</v>
      </c>
      <c r="D117" s="193" t="str">
        <f t="shared" si="44"/>
        <v/>
      </c>
      <c r="E117" s="274" t="s">
        <v>590</v>
      </c>
      <c r="F117" s="270"/>
      <c r="G117" s="242"/>
      <c r="H117" s="243"/>
      <c r="I117" s="243"/>
      <c r="J117" s="243"/>
      <c r="K117" s="243"/>
      <c r="L117" s="243"/>
      <c r="M117" s="244"/>
      <c r="N117" s="271">
        <f t="shared" si="48"/>
        <v>0</v>
      </c>
      <c r="O117" s="125"/>
      <c r="P117" s="173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</row>
    <row r="118" spans="1:26" ht="14.25" hidden="1" customHeight="1" outlineLevel="1">
      <c r="A118" s="168"/>
      <c r="B118" s="193" t="s">
        <v>591</v>
      </c>
      <c r="C118" s="193" t="str">
        <f t="shared" si="47"/>
        <v xml:space="preserve"> Balikpapan</v>
      </c>
      <c r="D118" s="193" t="str">
        <f t="shared" si="44"/>
        <v/>
      </c>
      <c r="E118" s="199" t="s">
        <v>593</v>
      </c>
      <c r="F118" s="273"/>
      <c r="G118" s="242"/>
      <c r="H118" s="256"/>
      <c r="I118" s="243"/>
      <c r="J118" s="250"/>
      <c r="K118" s="243"/>
      <c r="L118" s="243"/>
      <c r="M118" s="244"/>
      <c r="N118" s="271">
        <f t="shared" si="48"/>
        <v>0</v>
      </c>
      <c r="O118" s="125"/>
      <c r="P118" s="173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</row>
    <row r="119" spans="1:26" ht="14.25" hidden="1" customHeight="1" outlineLevel="1">
      <c r="A119" s="196"/>
      <c r="B119" s="193" t="s">
        <v>594</v>
      </c>
      <c r="C119" s="193" t="s">
        <v>595</v>
      </c>
      <c r="D119" s="193" t="str">
        <f t="shared" si="44"/>
        <v/>
      </c>
      <c r="E119" s="199" t="s">
        <v>596</v>
      </c>
      <c r="F119" s="273"/>
      <c r="G119" s="242"/>
      <c r="H119" s="256"/>
      <c r="I119" s="243"/>
      <c r="J119" s="249"/>
      <c r="K119" s="243"/>
      <c r="L119" s="243"/>
      <c r="M119" s="244"/>
      <c r="N119" s="271">
        <f t="shared" si="48"/>
        <v>0</v>
      </c>
      <c r="O119" s="125"/>
      <c r="P119" s="173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</row>
    <row r="120" spans="1:26" ht="15.75" customHeight="1" collapsed="1">
      <c r="A120" s="162" t="s">
        <v>597</v>
      </c>
      <c r="B120" s="162"/>
      <c r="C120" s="162"/>
      <c r="D120" s="162">
        <v>1</v>
      </c>
      <c r="E120" s="162" t="s">
        <v>598</v>
      </c>
      <c r="F120" s="251">
        <f t="shared" ref="F120:N120" si="49">SUM(F113:F119)</f>
        <v>0</v>
      </c>
      <c r="G120" s="251">
        <f t="shared" si="49"/>
        <v>0</v>
      </c>
      <c r="H120" s="251">
        <f t="shared" si="49"/>
        <v>0</v>
      </c>
      <c r="I120" s="251">
        <f t="shared" si="49"/>
        <v>0</v>
      </c>
      <c r="J120" s="251">
        <f t="shared" si="49"/>
        <v>0</v>
      </c>
      <c r="K120" s="251">
        <f t="shared" si="49"/>
        <v>0</v>
      </c>
      <c r="L120" s="251">
        <f t="shared" si="49"/>
        <v>0</v>
      </c>
      <c r="M120" s="251">
        <f t="shared" si="49"/>
        <v>0</v>
      </c>
      <c r="N120" s="251">
        <f t="shared" si="49"/>
        <v>0</v>
      </c>
      <c r="O120" s="125"/>
      <c r="P120" s="173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</row>
    <row r="121" spans="1:26" ht="14.25" hidden="1" customHeight="1" outlineLevel="1">
      <c r="A121" s="168"/>
      <c r="B121" s="193" t="s">
        <v>599</v>
      </c>
      <c r="C121" s="193" t="str">
        <f t="shared" ref="C121:C123" si="50">MID(E121,4,LEN(E121))</f>
        <v xml:space="preserve"> Pontianak</v>
      </c>
      <c r="D121" s="193" t="str">
        <f t="shared" ref="D121:D123" si="51">IFERROR(VLOOKUP($E$4&amp;C121,#REF!,2,FALSE),"")</f>
        <v/>
      </c>
      <c r="E121" s="199" t="s">
        <v>600</v>
      </c>
      <c r="F121" s="270"/>
      <c r="G121" s="242"/>
      <c r="H121" s="243"/>
      <c r="I121" s="249"/>
      <c r="J121" s="243"/>
      <c r="K121" s="249"/>
      <c r="L121" s="243"/>
      <c r="M121" s="244"/>
      <c r="N121" s="271">
        <f t="shared" ref="N121:N123" si="52">SUM(F121:M121)</f>
        <v>0</v>
      </c>
      <c r="O121" s="125"/>
      <c r="P121" s="173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</row>
    <row r="122" spans="1:26" ht="14.25" hidden="1" customHeight="1" outlineLevel="1">
      <c r="A122" s="168"/>
      <c r="B122" s="193" t="s">
        <v>601</v>
      </c>
      <c r="C122" s="193" t="str">
        <f t="shared" si="50"/>
        <v xml:space="preserve"> Sintang</v>
      </c>
      <c r="D122" s="193" t="str">
        <f t="shared" si="51"/>
        <v/>
      </c>
      <c r="E122" s="274" t="s">
        <v>602</v>
      </c>
      <c r="F122" s="270"/>
      <c r="G122" s="242"/>
      <c r="H122" s="243"/>
      <c r="I122" s="243"/>
      <c r="J122" s="243"/>
      <c r="K122" s="243"/>
      <c r="L122" s="243"/>
      <c r="M122" s="244"/>
      <c r="N122" s="271">
        <f t="shared" si="52"/>
        <v>0</v>
      </c>
      <c r="O122" s="125"/>
      <c r="P122" s="173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</row>
    <row r="123" spans="1:26" ht="14.25" hidden="1" customHeight="1" outlineLevel="1">
      <c r="A123" s="168"/>
      <c r="B123" s="193" t="s">
        <v>603</v>
      </c>
      <c r="C123" s="193" t="str">
        <f t="shared" si="50"/>
        <v xml:space="preserve"> Palangkaraya</v>
      </c>
      <c r="D123" s="193" t="str">
        <f t="shared" si="51"/>
        <v/>
      </c>
      <c r="E123" s="274" t="s">
        <v>604</v>
      </c>
      <c r="F123" s="270"/>
      <c r="G123" s="242"/>
      <c r="H123" s="243"/>
      <c r="I123" s="243"/>
      <c r="J123" s="243"/>
      <c r="K123" s="243"/>
      <c r="L123" s="243"/>
      <c r="M123" s="244"/>
      <c r="N123" s="271">
        <f t="shared" si="52"/>
        <v>0</v>
      </c>
      <c r="O123" s="125"/>
      <c r="P123" s="173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</row>
    <row r="124" spans="1:26" ht="15.75" customHeight="1" collapsed="1">
      <c r="A124" s="162" t="s">
        <v>597</v>
      </c>
      <c r="B124" s="162"/>
      <c r="C124" s="162"/>
      <c r="D124" s="162">
        <v>1</v>
      </c>
      <c r="E124" s="162" t="s">
        <v>605</v>
      </c>
      <c r="F124" s="251">
        <f t="shared" ref="F124:N124" si="53">SUM(F121:F123)</f>
        <v>0</v>
      </c>
      <c r="G124" s="251">
        <f t="shared" si="53"/>
        <v>0</v>
      </c>
      <c r="H124" s="251">
        <f t="shared" si="53"/>
        <v>0</v>
      </c>
      <c r="I124" s="251">
        <f t="shared" si="53"/>
        <v>0</v>
      </c>
      <c r="J124" s="251">
        <f t="shared" si="53"/>
        <v>0</v>
      </c>
      <c r="K124" s="251">
        <f t="shared" si="53"/>
        <v>0</v>
      </c>
      <c r="L124" s="251">
        <f t="shared" si="53"/>
        <v>0</v>
      </c>
      <c r="M124" s="251">
        <f t="shared" si="53"/>
        <v>0</v>
      </c>
      <c r="N124" s="251">
        <f t="shared" si="53"/>
        <v>0</v>
      </c>
      <c r="O124" s="125"/>
      <c r="P124" s="173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</row>
    <row r="125" spans="1:26" ht="14.25" hidden="1" customHeight="1" outlineLevel="1">
      <c r="A125" s="168"/>
      <c r="B125" s="193" t="s">
        <v>606</v>
      </c>
      <c r="C125" s="193" t="str">
        <f t="shared" ref="C125:C130" si="54">MID(E125,4,LEN(E125))</f>
        <v xml:space="preserve"> Makassar</v>
      </c>
      <c r="D125" s="193" t="str">
        <f t="shared" ref="D125:D130" si="55">IFERROR(VLOOKUP($E$4&amp;C125,#REF!,2,FALSE),"")</f>
        <v/>
      </c>
      <c r="E125" s="199" t="s">
        <v>608</v>
      </c>
      <c r="F125" s="275"/>
      <c r="G125" s="242"/>
      <c r="H125" s="256"/>
      <c r="I125" s="249"/>
      <c r="J125" s="243"/>
      <c r="K125" s="256"/>
      <c r="L125" s="243"/>
      <c r="M125" s="244"/>
      <c r="N125" s="271">
        <f t="shared" ref="N125:N130" si="56">SUM(F125:M125)</f>
        <v>0</v>
      </c>
      <c r="O125" s="125"/>
      <c r="P125" s="173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</row>
    <row r="126" spans="1:26" ht="14.25" hidden="1" customHeight="1" outlineLevel="1">
      <c r="A126" s="168"/>
      <c r="B126" s="193" t="s">
        <v>609</v>
      </c>
      <c r="C126" s="193" t="str">
        <f t="shared" si="54"/>
        <v xml:space="preserve"> Makassar 2</v>
      </c>
      <c r="D126" s="193" t="str">
        <f t="shared" si="55"/>
        <v/>
      </c>
      <c r="E126" s="199" t="s">
        <v>610</v>
      </c>
      <c r="F126" s="275"/>
      <c r="G126" s="242"/>
      <c r="H126" s="243"/>
      <c r="I126" s="243"/>
      <c r="J126" s="243"/>
      <c r="K126" s="243"/>
      <c r="L126" s="243"/>
      <c r="M126" s="244"/>
      <c r="N126" s="271">
        <f t="shared" si="56"/>
        <v>0</v>
      </c>
      <c r="O126" s="125"/>
      <c r="P126" s="173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</row>
    <row r="127" spans="1:26" ht="14.25" hidden="1" customHeight="1" outlineLevel="1">
      <c r="A127" s="168"/>
      <c r="B127" s="193" t="s">
        <v>611</v>
      </c>
      <c r="C127" s="193" t="str">
        <f t="shared" si="54"/>
        <v xml:space="preserve"> Kendari</v>
      </c>
      <c r="D127" s="193" t="str">
        <f t="shared" si="55"/>
        <v/>
      </c>
      <c r="E127" s="199" t="s">
        <v>2756</v>
      </c>
      <c r="F127" s="275"/>
      <c r="G127" s="272"/>
      <c r="H127" s="243"/>
      <c r="I127" s="243"/>
      <c r="J127" s="243"/>
      <c r="K127" s="243"/>
      <c r="L127" s="243"/>
      <c r="M127" s="244"/>
      <c r="N127" s="271">
        <f t="shared" si="56"/>
        <v>0</v>
      </c>
      <c r="O127" s="125"/>
      <c r="P127" s="173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</row>
    <row r="128" spans="1:26" ht="14.25" hidden="1" customHeight="1" outlineLevel="1">
      <c r="A128" s="168"/>
      <c r="B128" s="193" t="s">
        <v>614</v>
      </c>
      <c r="C128" s="193" t="str">
        <f t="shared" si="54"/>
        <v xml:space="preserve"> Parepare</v>
      </c>
      <c r="D128" s="193" t="str">
        <f t="shared" si="55"/>
        <v/>
      </c>
      <c r="E128" s="199" t="s">
        <v>616</v>
      </c>
      <c r="F128" s="275"/>
      <c r="G128" s="242"/>
      <c r="H128" s="256"/>
      <c r="I128" s="243"/>
      <c r="J128" s="243"/>
      <c r="K128" s="256"/>
      <c r="L128" s="243"/>
      <c r="M128" s="244"/>
      <c r="N128" s="271">
        <f t="shared" si="56"/>
        <v>0</v>
      </c>
      <c r="O128" s="125"/>
      <c r="P128" s="173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</row>
    <row r="129" spans="1:26" ht="14.25" hidden="1" customHeight="1" outlineLevel="1">
      <c r="A129" s="168"/>
      <c r="B129" s="193" t="s">
        <v>617</v>
      </c>
      <c r="C129" s="193" t="str">
        <f t="shared" si="54"/>
        <v xml:space="preserve"> Palopo</v>
      </c>
      <c r="D129" s="193" t="str">
        <f t="shared" si="55"/>
        <v/>
      </c>
      <c r="E129" s="199" t="s">
        <v>618</v>
      </c>
      <c r="F129" s="275"/>
      <c r="G129" s="242"/>
      <c r="H129" s="243"/>
      <c r="I129" s="243"/>
      <c r="J129" s="243"/>
      <c r="K129" s="256"/>
      <c r="L129" s="243"/>
      <c r="M129" s="244"/>
      <c r="N129" s="271">
        <f t="shared" si="56"/>
        <v>0</v>
      </c>
      <c r="O129" s="167"/>
      <c r="P129" s="173"/>
      <c r="Q129" s="173"/>
      <c r="R129" s="125"/>
      <c r="S129" s="125"/>
      <c r="T129" s="125"/>
      <c r="U129" s="125"/>
      <c r="V129" s="125"/>
      <c r="W129" s="125"/>
      <c r="X129" s="125"/>
      <c r="Y129" s="125"/>
      <c r="Z129" s="125"/>
    </row>
    <row r="130" spans="1:26" ht="14.25" hidden="1" customHeight="1" outlineLevel="1">
      <c r="A130" s="168"/>
      <c r="B130" s="193" t="s">
        <v>619</v>
      </c>
      <c r="C130" s="193" t="str">
        <f t="shared" si="54"/>
        <v xml:space="preserve"> Palu</v>
      </c>
      <c r="D130" s="193" t="str">
        <f t="shared" si="55"/>
        <v/>
      </c>
      <c r="E130" s="199" t="s">
        <v>621</v>
      </c>
      <c r="F130" s="276"/>
      <c r="G130" s="242"/>
      <c r="H130" s="256"/>
      <c r="I130" s="243"/>
      <c r="J130" s="243"/>
      <c r="K130" s="243"/>
      <c r="L130" s="243"/>
      <c r="M130" s="244"/>
      <c r="N130" s="271">
        <f t="shared" si="56"/>
        <v>0</v>
      </c>
      <c r="O130" s="167"/>
      <c r="P130" s="173"/>
      <c r="Q130" s="173"/>
      <c r="R130" s="125"/>
      <c r="S130" s="125"/>
      <c r="T130" s="125"/>
      <c r="U130" s="125"/>
      <c r="V130" s="125"/>
      <c r="W130" s="125"/>
      <c r="X130" s="125"/>
      <c r="Y130" s="125"/>
      <c r="Z130" s="125"/>
    </row>
    <row r="131" spans="1:26" ht="15.75" customHeight="1" collapsed="1">
      <c r="A131" s="162" t="s">
        <v>622</v>
      </c>
      <c r="B131" s="162"/>
      <c r="C131" s="162"/>
      <c r="D131" s="162">
        <v>1</v>
      </c>
      <c r="E131" s="162" t="s">
        <v>623</v>
      </c>
      <c r="F131" s="251">
        <f t="shared" ref="F131:N131" si="57">SUM(F125:F130)</f>
        <v>0</v>
      </c>
      <c r="G131" s="251">
        <f t="shared" si="57"/>
        <v>0</v>
      </c>
      <c r="H131" s="251">
        <f t="shared" si="57"/>
        <v>0</v>
      </c>
      <c r="I131" s="251">
        <f t="shared" si="57"/>
        <v>0</v>
      </c>
      <c r="J131" s="251">
        <f t="shared" si="57"/>
        <v>0</v>
      </c>
      <c r="K131" s="251">
        <f t="shared" si="57"/>
        <v>0</v>
      </c>
      <c r="L131" s="251">
        <f t="shared" si="57"/>
        <v>0</v>
      </c>
      <c r="M131" s="251">
        <f t="shared" si="57"/>
        <v>0</v>
      </c>
      <c r="N131" s="251">
        <f t="shared" si="57"/>
        <v>0</v>
      </c>
      <c r="O131" s="167"/>
      <c r="P131" s="173"/>
      <c r="Q131" s="173"/>
      <c r="R131" s="125"/>
      <c r="S131" s="125"/>
      <c r="T131" s="125"/>
      <c r="U131" s="125"/>
      <c r="V131" s="125"/>
      <c r="W131" s="125"/>
      <c r="X131" s="125"/>
      <c r="Y131" s="125"/>
      <c r="Z131" s="125"/>
    </row>
    <row r="132" spans="1:26" ht="14.25" hidden="1" customHeight="1" outlineLevel="1">
      <c r="A132" s="168"/>
      <c r="B132" s="193" t="s">
        <v>624</v>
      </c>
      <c r="C132" s="193" t="str">
        <f t="shared" ref="C132:C138" si="58">MID(E132,4,LEN(E132))</f>
        <v xml:space="preserve"> Manado</v>
      </c>
      <c r="D132" s="193" t="str">
        <f t="shared" ref="D132:D138" si="59">IFERROR(VLOOKUP($E$4&amp;C132,#REF!,2,FALSE),"")</f>
        <v/>
      </c>
      <c r="E132" s="199" t="s">
        <v>625</v>
      </c>
      <c r="F132" s="275"/>
      <c r="G132" s="242"/>
      <c r="H132" s="256"/>
      <c r="I132" s="243"/>
      <c r="J132" s="256"/>
      <c r="K132" s="243"/>
      <c r="L132" s="243"/>
      <c r="M132" s="244"/>
      <c r="N132" s="271">
        <f>SUM(G132:M132)</f>
        <v>0</v>
      </c>
      <c r="O132" s="167"/>
      <c r="P132" s="173"/>
      <c r="Q132" s="173"/>
      <c r="R132" s="125"/>
      <c r="S132" s="125"/>
      <c r="T132" s="125"/>
      <c r="U132" s="125"/>
      <c r="V132" s="125"/>
      <c r="W132" s="125"/>
      <c r="X132" s="125"/>
      <c r="Y132" s="125"/>
      <c r="Z132" s="125"/>
    </row>
    <row r="133" spans="1:26" ht="14.25" hidden="1" customHeight="1" outlineLevel="1">
      <c r="A133" s="168"/>
      <c r="B133" s="193" t="s">
        <v>626</v>
      </c>
      <c r="C133" s="193" t="str">
        <f t="shared" si="58"/>
        <v xml:space="preserve"> Gorontalo</v>
      </c>
      <c r="D133" s="193" t="str">
        <f t="shared" si="59"/>
        <v/>
      </c>
      <c r="E133" s="199" t="s">
        <v>628</v>
      </c>
      <c r="F133" s="275"/>
      <c r="G133" s="272"/>
      <c r="H133" s="243"/>
      <c r="I133" s="243"/>
      <c r="J133" s="256"/>
      <c r="K133" s="243"/>
      <c r="L133" s="243"/>
      <c r="M133" s="244"/>
      <c r="N133" s="271">
        <f t="shared" ref="N133:N138" si="60">SUM(F133:M133)</f>
        <v>0</v>
      </c>
      <c r="O133" s="167"/>
      <c r="P133" s="173"/>
      <c r="Q133" s="173"/>
      <c r="R133" s="125"/>
      <c r="S133" s="125"/>
      <c r="T133" s="125"/>
      <c r="U133" s="125"/>
      <c r="V133" s="125"/>
      <c r="W133" s="125"/>
      <c r="X133" s="125"/>
      <c r="Y133" s="125"/>
      <c r="Z133" s="125"/>
    </row>
    <row r="134" spans="1:26" ht="14.25" hidden="1" customHeight="1" outlineLevel="1">
      <c r="A134" s="168"/>
      <c r="B134" s="193" t="s">
        <v>629</v>
      </c>
      <c r="C134" s="193" t="str">
        <f t="shared" si="58"/>
        <v xml:space="preserve"> Ternate</v>
      </c>
      <c r="D134" s="193" t="str">
        <f t="shared" si="59"/>
        <v/>
      </c>
      <c r="E134" s="199" t="s">
        <v>630</v>
      </c>
      <c r="F134" s="275"/>
      <c r="G134" s="242"/>
      <c r="H134" s="243"/>
      <c r="I134" s="256"/>
      <c r="J134" s="243"/>
      <c r="K134" s="243"/>
      <c r="L134" s="243"/>
      <c r="M134" s="244"/>
      <c r="N134" s="271">
        <f t="shared" si="60"/>
        <v>0</v>
      </c>
      <c r="O134" s="167"/>
      <c r="P134" s="173"/>
      <c r="Q134" s="173"/>
      <c r="R134" s="125"/>
      <c r="S134" s="125"/>
      <c r="T134" s="125"/>
      <c r="U134" s="125"/>
      <c r="V134" s="125"/>
      <c r="W134" s="125"/>
      <c r="X134" s="125"/>
      <c r="Y134" s="125"/>
      <c r="Z134" s="125"/>
    </row>
    <row r="135" spans="1:26" ht="14.25" hidden="1" customHeight="1" outlineLevel="1">
      <c r="A135" s="168"/>
      <c r="B135" s="193" t="s">
        <v>631</v>
      </c>
      <c r="C135" s="193" t="str">
        <f t="shared" si="58"/>
        <v xml:space="preserve"> Ambon</v>
      </c>
      <c r="D135" s="193" t="str">
        <f t="shared" si="59"/>
        <v/>
      </c>
      <c r="E135" s="199" t="s">
        <v>632</v>
      </c>
      <c r="F135" s="275"/>
      <c r="G135" s="272"/>
      <c r="H135" s="243"/>
      <c r="I135" s="243"/>
      <c r="J135" s="243"/>
      <c r="K135" s="256"/>
      <c r="L135" s="243"/>
      <c r="M135" s="244"/>
      <c r="N135" s="271">
        <f t="shared" si="60"/>
        <v>0</v>
      </c>
      <c r="O135" s="167"/>
      <c r="P135" s="173"/>
      <c r="Q135" s="173"/>
      <c r="R135" s="125"/>
      <c r="S135" s="125"/>
      <c r="T135" s="125"/>
      <c r="U135" s="125"/>
      <c r="V135" s="125"/>
      <c r="W135" s="125"/>
      <c r="X135" s="125"/>
      <c r="Y135" s="125"/>
      <c r="Z135" s="125"/>
    </row>
    <row r="136" spans="1:26" ht="14.25" hidden="1" customHeight="1" outlineLevel="1">
      <c r="A136" s="168"/>
      <c r="B136" s="193" t="s">
        <v>633</v>
      </c>
      <c r="C136" s="193" t="str">
        <f t="shared" si="58"/>
        <v xml:space="preserve"> Tual</v>
      </c>
      <c r="D136" s="193" t="str">
        <f t="shared" si="59"/>
        <v/>
      </c>
      <c r="E136" s="274" t="s">
        <v>635</v>
      </c>
      <c r="F136" s="275"/>
      <c r="G136" s="242"/>
      <c r="H136" s="243"/>
      <c r="I136" s="243"/>
      <c r="J136" s="243"/>
      <c r="K136" s="256"/>
      <c r="L136" s="243"/>
      <c r="M136" s="244"/>
      <c r="N136" s="271">
        <f t="shared" si="60"/>
        <v>0</v>
      </c>
      <c r="O136" s="167"/>
      <c r="P136" s="173"/>
      <c r="Q136" s="173"/>
      <c r="R136" s="125"/>
      <c r="S136" s="125"/>
      <c r="T136" s="125"/>
      <c r="U136" s="125"/>
      <c r="V136" s="125"/>
      <c r="W136" s="125"/>
      <c r="X136" s="125"/>
      <c r="Y136" s="125"/>
      <c r="Z136" s="125"/>
    </row>
    <row r="137" spans="1:26" ht="14.25" hidden="1" customHeight="1" outlineLevel="1">
      <c r="A137" s="168"/>
      <c r="B137" s="193" t="s">
        <v>636</v>
      </c>
      <c r="C137" s="193" t="str">
        <f t="shared" si="58"/>
        <v xml:space="preserve"> Papua</v>
      </c>
      <c r="D137" s="193" t="str">
        <f t="shared" si="59"/>
        <v/>
      </c>
      <c r="E137" s="199" t="s">
        <v>638</v>
      </c>
      <c r="F137" s="275"/>
      <c r="G137" s="272"/>
      <c r="H137" s="243"/>
      <c r="I137" s="243"/>
      <c r="J137" s="243"/>
      <c r="K137" s="256"/>
      <c r="L137" s="243"/>
      <c r="M137" s="244"/>
      <c r="N137" s="271">
        <f t="shared" si="60"/>
        <v>0</v>
      </c>
      <c r="O137" s="167"/>
      <c r="P137" s="173"/>
      <c r="Q137" s="173"/>
      <c r="R137" s="125"/>
      <c r="S137" s="125"/>
      <c r="T137" s="125"/>
      <c r="U137" s="125">
        <v>1167</v>
      </c>
      <c r="V137" s="173">
        <f>U137-N139</f>
        <v>1167</v>
      </c>
      <c r="W137" s="125"/>
      <c r="X137" s="125"/>
      <c r="Y137" s="125"/>
      <c r="Z137" s="125"/>
    </row>
    <row r="138" spans="1:26" ht="14.25" hidden="1" customHeight="1" outlineLevel="1">
      <c r="A138" s="168"/>
      <c r="B138" s="193" t="s">
        <v>639</v>
      </c>
      <c r="C138" s="193" t="str">
        <f t="shared" si="58"/>
        <v xml:space="preserve"> Sorong</v>
      </c>
      <c r="D138" s="193" t="str">
        <f t="shared" si="59"/>
        <v/>
      </c>
      <c r="E138" s="199" t="s">
        <v>641</v>
      </c>
      <c r="F138" s="275"/>
      <c r="G138" s="242"/>
      <c r="H138" s="256"/>
      <c r="I138" s="243"/>
      <c r="J138" s="243"/>
      <c r="K138" s="256"/>
      <c r="L138" s="243"/>
      <c r="M138" s="244"/>
      <c r="N138" s="271">
        <f t="shared" si="60"/>
        <v>0</v>
      </c>
      <c r="O138" s="167"/>
      <c r="P138" s="173"/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</row>
    <row r="139" spans="1:26" ht="15.75" customHeight="1" collapsed="1">
      <c r="A139" s="162" t="s">
        <v>642</v>
      </c>
      <c r="B139" s="162"/>
      <c r="C139" s="162"/>
      <c r="D139" s="162">
        <v>1</v>
      </c>
      <c r="E139" s="162" t="s">
        <v>643</v>
      </c>
      <c r="F139" s="251">
        <f t="shared" ref="F139:N139" si="61">SUM(F132:F138)</f>
        <v>0</v>
      </c>
      <c r="G139" s="251">
        <f t="shared" si="61"/>
        <v>0</v>
      </c>
      <c r="H139" s="251">
        <f t="shared" si="61"/>
        <v>0</v>
      </c>
      <c r="I139" s="251">
        <f t="shared" si="61"/>
        <v>0</v>
      </c>
      <c r="J139" s="251">
        <f t="shared" si="61"/>
        <v>0</v>
      </c>
      <c r="K139" s="251">
        <f t="shared" si="61"/>
        <v>0</v>
      </c>
      <c r="L139" s="251">
        <f t="shared" si="61"/>
        <v>0</v>
      </c>
      <c r="M139" s="251">
        <f t="shared" si="61"/>
        <v>0</v>
      </c>
      <c r="N139" s="251">
        <f t="shared" si="61"/>
        <v>0</v>
      </c>
      <c r="O139" s="167"/>
      <c r="P139" s="173"/>
      <c r="Q139" s="125"/>
      <c r="R139" s="125"/>
      <c r="S139" s="125"/>
      <c r="T139" s="125"/>
      <c r="U139" s="125"/>
      <c r="V139" s="125"/>
      <c r="W139" s="125"/>
      <c r="X139" s="125"/>
      <c r="Y139" s="125"/>
      <c r="Z139" s="125"/>
    </row>
    <row r="140" spans="1:26" ht="15.75" customHeight="1">
      <c r="A140" s="162"/>
      <c r="B140" s="162"/>
      <c r="C140" s="162"/>
      <c r="D140" s="162">
        <v>1</v>
      </c>
      <c r="E140" s="162" t="s">
        <v>291</v>
      </c>
      <c r="F140" s="277">
        <f t="shared" ref="F140:N140" si="62">SUM(F20,F30,F39,F48,F58,F68,F80,F88,F95,F106,F112,F120,F124,F131,F139)</f>
        <v>400</v>
      </c>
      <c r="G140" s="277">
        <f t="shared" si="62"/>
        <v>0</v>
      </c>
      <c r="H140" s="277">
        <f t="shared" si="62"/>
        <v>0</v>
      </c>
      <c r="I140" s="277">
        <f t="shared" si="62"/>
        <v>0</v>
      </c>
      <c r="J140" s="277">
        <f t="shared" si="62"/>
        <v>0</v>
      </c>
      <c r="K140" s="277">
        <f t="shared" si="62"/>
        <v>0</v>
      </c>
      <c r="L140" s="277">
        <f t="shared" si="62"/>
        <v>0</v>
      </c>
      <c r="M140" s="277">
        <f t="shared" si="62"/>
        <v>0</v>
      </c>
      <c r="N140" s="277">
        <f t="shared" si="62"/>
        <v>400</v>
      </c>
      <c r="O140" s="167"/>
      <c r="P140" s="173"/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</row>
    <row r="141" spans="1:26" ht="15.75" customHeight="1">
      <c r="A141" s="136"/>
      <c r="B141" s="125"/>
      <c r="C141" s="125"/>
      <c r="D141" s="125"/>
      <c r="E141" s="125"/>
      <c r="F141" s="278"/>
      <c r="G141" s="200"/>
      <c r="H141" s="200"/>
      <c r="I141" s="200"/>
      <c r="J141" s="200"/>
      <c r="K141" s="200"/>
      <c r="L141" s="200"/>
      <c r="M141" s="200"/>
      <c r="N141" s="129">
        <f>SUM(F4:L4)</f>
        <v>400</v>
      </c>
      <c r="O141" s="167"/>
      <c r="P141" s="173"/>
      <c r="Q141" s="125"/>
      <c r="R141" s="125"/>
      <c r="S141" s="125"/>
      <c r="T141" s="125"/>
      <c r="U141" s="125"/>
      <c r="V141" s="125"/>
      <c r="W141" s="125"/>
      <c r="X141" s="125"/>
      <c r="Y141" s="125"/>
      <c r="Z141" s="125"/>
    </row>
    <row r="142" spans="1:26" ht="15.75" customHeight="1">
      <c r="A142" s="136"/>
      <c r="B142" s="125"/>
      <c r="C142" s="136"/>
      <c r="D142" s="136"/>
      <c r="E142" s="279" t="s">
        <v>2790</v>
      </c>
      <c r="F142" s="280"/>
      <c r="G142" s="281">
        <f>SUM(F4)</f>
        <v>0</v>
      </c>
      <c r="H142" s="281">
        <f>SUM(F4:G4)</f>
        <v>100</v>
      </c>
      <c r="I142" s="281">
        <f>SUM(F4:H4)</f>
        <v>100</v>
      </c>
      <c r="J142" s="281">
        <f>SUM(F4:I4)</f>
        <v>200</v>
      </c>
      <c r="K142" s="281">
        <f>SUM(F4:J4)</f>
        <v>200</v>
      </c>
      <c r="L142" s="281">
        <f>SUM(F4:K4)</f>
        <v>200</v>
      </c>
      <c r="M142" s="281">
        <f>SUM(F4:L4)</f>
        <v>400</v>
      </c>
      <c r="N142" s="129"/>
      <c r="O142" s="167"/>
      <c r="P142" s="173"/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</row>
    <row r="143" spans="1:26" ht="15.75" customHeight="1">
      <c r="A143" s="136"/>
      <c r="B143" s="125"/>
      <c r="C143" s="136"/>
      <c r="D143" s="136"/>
      <c r="E143" s="282" t="s">
        <v>2791</v>
      </c>
      <c r="F143" s="283"/>
      <c r="G143" s="284">
        <f>SUM(F140:G140)</f>
        <v>400</v>
      </c>
      <c r="H143" s="284">
        <f>SUM(F140:H140)</f>
        <v>400</v>
      </c>
      <c r="I143" s="284">
        <f>SUM(F140:I140)</f>
        <v>400</v>
      </c>
      <c r="J143" s="284">
        <f>SUM(F140:J140)</f>
        <v>400</v>
      </c>
      <c r="K143" s="284">
        <f>SUM(F140:K140)</f>
        <v>400</v>
      </c>
      <c r="L143" s="284">
        <f>SUM(F140:L140)</f>
        <v>400</v>
      </c>
      <c r="M143" s="284">
        <f>SUM(F140:M140)</f>
        <v>400</v>
      </c>
      <c r="N143" s="129"/>
      <c r="O143" s="167"/>
      <c r="P143" s="285" t="s">
        <v>2791</v>
      </c>
      <c r="Q143" s="125"/>
      <c r="R143" s="125"/>
      <c r="S143" s="125"/>
      <c r="T143" s="125"/>
      <c r="U143" s="125"/>
      <c r="V143" s="125"/>
      <c r="W143" s="125"/>
      <c r="X143" s="125"/>
      <c r="Y143" s="125"/>
      <c r="Z143" s="125"/>
    </row>
    <row r="144" spans="1:26" ht="15.75" customHeight="1">
      <c r="A144" s="136"/>
      <c r="B144" s="125"/>
      <c r="C144" s="136"/>
      <c r="D144" s="136"/>
      <c r="E144" s="282" t="s">
        <v>2792</v>
      </c>
      <c r="F144" s="283"/>
      <c r="G144" s="281">
        <f t="shared" ref="G144:M144" si="63">G142-G143</f>
        <v>-400</v>
      </c>
      <c r="H144" s="281">
        <f t="shared" si="63"/>
        <v>-300</v>
      </c>
      <c r="I144" s="281">
        <f t="shared" si="63"/>
        <v>-300</v>
      </c>
      <c r="J144" s="281">
        <f t="shared" si="63"/>
        <v>-200</v>
      </c>
      <c r="K144" s="286">
        <f t="shared" si="63"/>
        <v>-200</v>
      </c>
      <c r="L144" s="281">
        <f t="shared" si="63"/>
        <v>-200</v>
      </c>
      <c r="M144" s="287">
        <f t="shared" si="63"/>
        <v>0</v>
      </c>
      <c r="N144" s="129"/>
      <c r="O144" s="167"/>
      <c r="P144" s="285" t="s">
        <v>2792</v>
      </c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</row>
    <row r="145" spans="1:26" ht="15.75" customHeight="1">
      <c r="A145" s="136"/>
      <c r="B145" s="136"/>
      <c r="C145" s="136"/>
      <c r="D145" s="136"/>
      <c r="E145" s="288" t="s">
        <v>2793</v>
      </c>
      <c r="F145" s="126"/>
      <c r="G145" s="289"/>
      <c r="H145" s="289"/>
      <c r="I145" s="290"/>
      <c r="J145" s="289"/>
      <c r="K145" s="289"/>
      <c r="L145" s="289"/>
      <c r="M145" s="289"/>
      <c r="N145" s="129"/>
      <c r="O145" s="125"/>
      <c r="P145" s="173"/>
      <c r="Q145" s="125"/>
      <c r="R145" s="125"/>
      <c r="S145" s="125"/>
      <c r="T145" s="125"/>
      <c r="U145" s="125"/>
      <c r="V145" s="125"/>
      <c r="W145" s="125"/>
      <c r="X145" s="125"/>
      <c r="Y145" s="125"/>
      <c r="Z145" s="125"/>
    </row>
    <row r="146" spans="1:26" ht="15.75" customHeight="1">
      <c r="A146" s="125"/>
      <c r="B146" s="125"/>
      <c r="C146" s="125"/>
      <c r="D146" s="125"/>
      <c r="E146" s="125"/>
      <c r="F146" s="126"/>
      <c r="G146" s="125"/>
      <c r="H146" s="125"/>
      <c r="I146" s="125"/>
      <c r="J146" s="125"/>
      <c r="K146" s="125"/>
      <c r="L146" s="125"/>
      <c r="M146" s="125"/>
      <c r="N146" s="129"/>
      <c r="O146" s="125"/>
      <c r="P146" s="173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</row>
    <row r="147" spans="1:26" ht="15.75" customHeight="1">
      <c r="A147" s="125"/>
      <c r="B147" s="125"/>
      <c r="C147" s="125"/>
      <c r="D147" s="125"/>
      <c r="E147" s="125"/>
      <c r="F147" s="126"/>
      <c r="G147" s="125"/>
      <c r="H147" s="125"/>
      <c r="I147" s="125"/>
      <c r="J147" s="125"/>
      <c r="K147" s="125"/>
      <c r="L147" s="125"/>
      <c r="M147" s="125"/>
      <c r="N147" s="129"/>
      <c r="O147" s="125"/>
      <c r="P147" s="173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</row>
    <row r="148" spans="1:26" ht="15.75" customHeight="1">
      <c r="A148" s="125"/>
      <c r="B148" s="125"/>
      <c r="C148" s="125"/>
      <c r="D148" s="125"/>
      <c r="E148" s="125"/>
      <c r="F148" s="126"/>
      <c r="G148" s="125"/>
      <c r="H148" s="125"/>
      <c r="I148" s="125"/>
      <c r="J148" s="125"/>
      <c r="K148" s="125"/>
      <c r="L148" s="125"/>
      <c r="M148" s="125"/>
      <c r="N148" s="129"/>
      <c r="O148" s="125"/>
      <c r="P148" s="173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</row>
    <row r="149" spans="1:26" ht="15.75" customHeight="1">
      <c r="A149" s="125"/>
      <c r="B149" s="125"/>
      <c r="C149" s="125"/>
      <c r="D149" s="125"/>
      <c r="E149" s="125"/>
      <c r="F149" s="126"/>
      <c r="G149" s="125"/>
      <c r="H149" s="125"/>
      <c r="I149" s="125"/>
      <c r="J149" s="125"/>
      <c r="K149" s="125"/>
      <c r="L149" s="125"/>
      <c r="M149" s="125"/>
      <c r="N149" s="129"/>
      <c r="O149" s="125"/>
      <c r="P149" s="173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</row>
    <row r="150" spans="1:26" ht="15.75" customHeight="1">
      <c r="A150" s="125"/>
      <c r="B150" s="125"/>
      <c r="C150" s="125"/>
      <c r="D150" s="125"/>
      <c r="E150" s="125"/>
      <c r="F150" s="126"/>
      <c r="G150" s="125"/>
      <c r="H150" s="125"/>
      <c r="I150" s="125"/>
      <c r="J150" s="125"/>
      <c r="K150" s="125"/>
      <c r="L150" s="125"/>
      <c r="M150" s="125"/>
      <c r="N150" s="129"/>
      <c r="O150" s="125"/>
      <c r="P150" s="173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</row>
    <row r="151" spans="1:26" ht="15.75" customHeight="1">
      <c r="A151" s="125"/>
      <c r="B151" s="125"/>
      <c r="C151" s="125"/>
      <c r="D151" s="125"/>
      <c r="E151" s="125"/>
      <c r="F151" s="126"/>
      <c r="G151" s="125"/>
      <c r="H151" s="125"/>
      <c r="I151" s="125"/>
      <c r="J151" s="125"/>
      <c r="K151" s="125"/>
      <c r="L151" s="125"/>
      <c r="M151" s="125"/>
      <c r="N151" s="129"/>
      <c r="O151" s="125"/>
      <c r="P151" s="173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</row>
    <row r="152" spans="1:26" ht="15.75" customHeight="1">
      <c r="A152" s="125"/>
      <c r="B152" s="125"/>
      <c r="C152" s="125"/>
      <c r="D152" s="125"/>
      <c r="E152" s="125"/>
      <c r="F152" s="126"/>
      <c r="G152" s="125"/>
      <c r="H152" s="125"/>
      <c r="I152" s="125"/>
      <c r="J152" s="125"/>
      <c r="K152" s="125"/>
      <c r="L152" s="125"/>
      <c r="M152" s="125"/>
      <c r="N152" s="129"/>
      <c r="O152" s="125"/>
      <c r="P152" s="173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</row>
    <row r="153" spans="1:26" ht="15.75" customHeight="1">
      <c r="A153" s="125"/>
      <c r="B153" s="125"/>
      <c r="C153" s="125"/>
      <c r="D153" s="125"/>
      <c r="E153" s="125"/>
      <c r="F153" s="126"/>
      <c r="G153" s="125"/>
      <c r="H153" s="125"/>
      <c r="I153" s="125"/>
      <c r="J153" s="125"/>
      <c r="K153" s="125"/>
      <c r="L153" s="125"/>
      <c r="M153" s="125"/>
      <c r="N153" s="129"/>
      <c r="O153" s="125"/>
      <c r="P153" s="173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</row>
    <row r="154" spans="1:26" ht="15.75" customHeight="1">
      <c r="A154" s="125"/>
      <c r="B154" s="125"/>
      <c r="C154" s="125"/>
      <c r="D154" s="125"/>
      <c r="E154" s="125"/>
      <c r="F154" s="126"/>
      <c r="G154" s="125"/>
      <c r="H154" s="125"/>
      <c r="I154" s="125"/>
      <c r="J154" s="125"/>
      <c r="K154" s="125"/>
      <c r="L154" s="125"/>
      <c r="M154" s="125"/>
      <c r="N154" s="129"/>
      <c r="O154" s="125"/>
      <c r="P154" s="173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</row>
    <row r="155" spans="1:26" ht="15.75" customHeight="1">
      <c r="A155" s="125"/>
      <c r="B155" s="125"/>
      <c r="C155" s="125"/>
      <c r="D155" s="125"/>
      <c r="E155" s="125"/>
      <c r="F155" s="126"/>
      <c r="G155" s="125"/>
      <c r="H155" s="125"/>
      <c r="I155" s="125"/>
      <c r="J155" s="125"/>
      <c r="K155" s="125"/>
      <c r="L155" s="125"/>
      <c r="M155" s="125"/>
      <c r="N155" s="129"/>
      <c r="O155" s="125"/>
      <c r="P155" s="173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</row>
    <row r="156" spans="1:26" ht="15.75" customHeight="1">
      <c r="A156" s="125"/>
      <c r="B156" s="125"/>
      <c r="C156" s="125"/>
      <c r="D156" s="125"/>
      <c r="E156" s="125"/>
      <c r="F156" s="126"/>
      <c r="G156" s="125"/>
      <c r="H156" s="125"/>
      <c r="I156" s="125"/>
      <c r="J156" s="125"/>
      <c r="K156" s="125"/>
      <c r="L156" s="125"/>
      <c r="M156" s="125"/>
      <c r="N156" s="129"/>
      <c r="O156" s="125"/>
      <c r="P156" s="173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</row>
    <row r="157" spans="1:26" ht="15.75" customHeight="1">
      <c r="A157" s="125"/>
      <c r="B157" s="125"/>
      <c r="C157" s="125"/>
      <c r="D157" s="125"/>
      <c r="E157" s="125"/>
      <c r="F157" s="126"/>
      <c r="G157" s="125"/>
      <c r="H157" s="125"/>
      <c r="I157" s="125"/>
      <c r="J157" s="125"/>
      <c r="K157" s="125"/>
      <c r="L157" s="125"/>
      <c r="M157" s="125"/>
      <c r="N157" s="129"/>
      <c r="O157" s="125"/>
      <c r="P157" s="173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</row>
    <row r="158" spans="1:26" ht="15.75" customHeight="1">
      <c r="A158" s="125"/>
      <c r="B158" s="125"/>
      <c r="C158" s="125"/>
      <c r="D158" s="125"/>
      <c r="E158" s="125"/>
      <c r="F158" s="126"/>
      <c r="G158" s="125"/>
      <c r="H158" s="125"/>
      <c r="I158" s="125"/>
      <c r="J158" s="125"/>
      <c r="K158" s="125"/>
      <c r="L158" s="125"/>
      <c r="M158" s="125"/>
      <c r="N158" s="129"/>
      <c r="O158" s="125"/>
      <c r="P158" s="173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</row>
    <row r="159" spans="1:26" ht="15.75" customHeight="1">
      <c r="A159" s="125"/>
      <c r="B159" s="125"/>
      <c r="C159" s="125"/>
      <c r="D159" s="125"/>
      <c r="E159" s="125"/>
      <c r="F159" s="126"/>
      <c r="G159" s="125"/>
      <c r="H159" s="125"/>
      <c r="I159" s="125"/>
      <c r="J159" s="125"/>
      <c r="K159" s="125"/>
      <c r="L159" s="125"/>
      <c r="M159" s="125"/>
      <c r="N159" s="129"/>
      <c r="O159" s="125"/>
      <c r="P159" s="173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</row>
    <row r="160" spans="1:26" ht="15.75" customHeight="1">
      <c r="A160" s="125"/>
      <c r="B160" s="125"/>
      <c r="C160" s="125"/>
      <c r="D160" s="125"/>
      <c r="E160" s="125"/>
      <c r="F160" s="126"/>
      <c r="G160" s="125"/>
      <c r="H160" s="125"/>
      <c r="I160" s="125"/>
      <c r="J160" s="125"/>
      <c r="K160" s="125"/>
      <c r="L160" s="125"/>
      <c r="M160" s="125"/>
      <c r="N160" s="129"/>
      <c r="O160" s="125"/>
      <c r="P160" s="173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</row>
    <row r="161" spans="1:26" ht="15.75" customHeight="1">
      <c r="A161" s="125"/>
      <c r="B161" s="125"/>
      <c r="C161" s="125"/>
      <c r="D161" s="125"/>
      <c r="E161" s="125"/>
      <c r="F161" s="126"/>
      <c r="G161" s="125"/>
      <c r="H161" s="125"/>
      <c r="I161" s="125"/>
      <c r="J161" s="125"/>
      <c r="K161" s="125"/>
      <c r="L161" s="125"/>
      <c r="M161" s="125"/>
      <c r="N161" s="129"/>
      <c r="O161" s="125"/>
      <c r="P161" s="173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</row>
    <row r="162" spans="1:26" ht="15.75" customHeight="1">
      <c r="A162" s="125"/>
      <c r="B162" s="125"/>
      <c r="C162" s="125"/>
      <c r="D162" s="125"/>
      <c r="E162" s="125"/>
      <c r="F162" s="126"/>
      <c r="G162" s="125"/>
      <c r="H162" s="125"/>
      <c r="I162" s="125"/>
      <c r="J162" s="125"/>
      <c r="K162" s="125"/>
      <c r="L162" s="125"/>
      <c r="M162" s="125"/>
      <c r="N162" s="129"/>
      <c r="O162" s="125"/>
      <c r="P162" s="173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</row>
    <row r="163" spans="1:26" ht="15.75" customHeight="1">
      <c r="A163" s="125"/>
      <c r="B163" s="125"/>
      <c r="C163" s="125"/>
      <c r="D163" s="125"/>
      <c r="E163" s="125"/>
      <c r="F163" s="126"/>
      <c r="G163" s="125"/>
      <c r="H163" s="125"/>
      <c r="I163" s="125"/>
      <c r="J163" s="125"/>
      <c r="K163" s="125"/>
      <c r="L163" s="125"/>
      <c r="M163" s="125"/>
      <c r="N163" s="129"/>
      <c r="O163" s="125"/>
      <c r="P163" s="173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</row>
    <row r="164" spans="1:26" ht="15.75" customHeight="1">
      <c r="A164" s="125"/>
      <c r="B164" s="125"/>
      <c r="C164" s="125"/>
      <c r="D164" s="125"/>
      <c r="E164" s="125"/>
      <c r="F164" s="126"/>
      <c r="G164" s="125"/>
      <c r="H164" s="125"/>
      <c r="I164" s="125"/>
      <c r="J164" s="125"/>
      <c r="K164" s="125"/>
      <c r="L164" s="125"/>
      <c r="M164" s="125"/>
      <c r="N164" s="129"/>
      <c r="O164" s="125"/>
      <c r="P164" s="173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</row>
    <row r="165" spans="1:26" ht="15.75" customHeight="1">
      <c r="A165" s="125"/>
      <c r="B165" s="125"/>
      <c r="C165" s="125"/>
      <c r="D165" s="125"/>
      <c r="E165" s="125"/>
      <c r="F165" s="126"/>
      <c r="G165" s="125"/>
      <c r="H165" s="125"/>
      <c r="I165" s="125"/>
      <c r="J165" s="125"/>
      <c r="K165" s="125"/>
      <c r="L165" s="125"/>
      <c r="M165" s="125"/>
      <c r="N165" s="129"/>
      <c r="O165" s="125"/>
      <c r="P165" s="173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</row>
    <row r="166" spans="1:26" ht="15.75" customHeight="1">
      <c r="A166" s="125"/>
      <c r="B166" s="125"/>
      <c r="C166" s="125"/>
      <c r="D166" s="125"/>
      <c r="E166" s="125"/>
      <c r="F166" s="126"/>
      <c r="G166" s="125"/>
      <c r="H166" s="125"/>
      <c r="I166" s="125"/>
      <c r="J166" s="125"/>
      <c r="K166" s="125"/>
      <c r="L166" s="125"/>
      <c r="M166" s="125"/>
      <c r="N166" s="129"/>
      <c r="O166" s="125"/>
      <c r="P166" s="173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</row>
    <row r="167" spans="1:26" ht="15.75" customHeight="1">
      <c r="A167" s="125"/>
      <c r="B167" s="125"/>
      <c r="C167" s="125"/>
      <c r="D167" s="125"/>
      <c r="E167" s="125"/>
      <c r="F167" s="126"/>
      <c r="G167" s="125"/>
      <c r="H167" s="125"/>
      <c r="I167" s="125"/>
      <c r="J167" s="125"/>
      <c r="K167" s="125"/>
      <c r="L167" s="125"/>
      <c r="M167" s="125"/>
      <c r="N167" s="129"/>
      <c r="O167" s="125"/>
      <c r="P167" s="173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</row>
    <row r="168" spans="1:26" ht="15.75" customHeight="1">
      <c r="A168" s="125"/>
      <c r="B168" s="125"/>
      <c r="C168" s="125"/>
      <c r="D168" s="125"/>
      <c r="E168" s="125"/>
      <c r="F168" s="126"/>
      <c r="G168" s="125"/>
      <c r="H168" s="125"/>
      <c r="I168" s="125"/>
      <c r="J168" s="125"/>
      <c r="K168" s="125"/>
      <c r="L168" s="125"/>
      <c r="M168" s="125"/>
      <c r="N168" s="129"/>
      <c r="O168" s="125"/>
      <c r="P168" s="173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</row>
    <row r="169" spans="1:26" ht="15.75" customHeight="1">
      <c r="A169" s="125"/>
      <c r="B169" s="125"/>
      <c r="C169" s="125"/>
      <c r="D169" s="125"/>
      <c r="E169" s="125"/>
      <c r="F169" s="126"/>
      <c r="G169" s="125"/>
      <c r="H169" s="125"/>
      <c r="I169" s="125"/>
      <c r="J169" s="125"/>
      <c r="K169" s="125"/>
      <c r="L169" s="125"/>
      <c r="M169" s="125"/>
      <c r="N169" s="129"/>
      <c r="O169" s="125"/>
      <c r="P169" s="173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</row>
    <row r="170" spans="1:26" ht="15.75" customHeight="1">
      <c r="A170" s="125"/>
      <c r="B170" s="125"/>
      <c r="C170" s="125"/>
      <c r="D170" s="125"/>
      <c r="E170" s="125"/>
      <c r="F170" s="126"/>
      <c r="G170" s="125"/>
      <c r="H170" s="125"/>
      <c r="I170" s="125"/>
      <c r="J170" s="125"/>
      <c r="K170" s="125"/>
      <c r="L170" s="125"/>
      <c r="M170" s="125"/>
      <c r="N170" s="129"/>
      <c r="O170" s="125"/>
      <c r="P170" s="173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</row>
    <row r="171" spans="1:26" ht="15.75" customHeight="1">
      <c r="A171" s="125"/>
      <c r="B171" s="125"/>
      <c r="C171" s="125"/>
      <c r="D171" s="125"/>
      <c r="E171" s="125"/>
      <c r="F171" s="126"/>
      <c r="G171" s="125"/>
      <c r="H171" s="125"/>
      <c r="I171" s="125"/>
      <c r="J171" s="125"/>
      <c r="K171" s="125"/>
      <c r="L171" s="125"/>
      <c r="M171" s="125"/>
      <c r="N171" s="129"/>
      <c r="O171" s="125"/>
      <c r="P171" s="173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</row>
    <row r="172" spans="1:26" ht="15.75" customHeight="1">
      <c r="A172" s="125"/>
      <c r="B172" s="125"/>
      <c r="C172" s="125"/>
      <c r="D172" s="125"/>
      <c r="E172" s="125"/>
      <c r="F172" s="126"/>
      <c r="G172" s="125"/>
      <c r="H172" s="125"/>
      <c r="I172" s="125"/>
      <c r="J172" s="125"/>
      <c r="K172" s="125"/>
      <c r="L172" s="125"/>
      <c r="M172" s="125"/>
      <c r="N172" s="129"/>
      <c r="O172" s="125"/>
      <c r="P172" s="173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</row>
    <row r="173" spans="1:26" ht="15.75" customHeight="1">
      <c r="A173" s="125"/>
      <c r="B173" s="125"/>
      <c r="C173" s="125"/>
      <c r="D173" s="125"/>
      <c r="E173" s="125"/>
      <c r="F173" s="126"/>
      <c r="G173" s="125"/>
      <c r="H173" s="125"/>
      <c r="I173" s="125"/>
      <c r="J173" s="125"/>
      <c r="K173" s="125"/>
      <c r="L173" s="125"/>
      <c r="M173" s="125"/>
      <c r="N173" s="129"/>
      <c r="O173" s="125"/>
      <c r="P173" s="173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</row>
    <row r="174" spans="1:26" ht="15.75" customHeight="1">
      <c r="A174" s="125"/>
      <c r="B174" s="125"/>
      <c r="C174" s="125"/>
      <c r="D174" s="125"/>
      <c r="E174" s="125"/>
      <c r="F174" s="126"/>
      <c r="G174" s="125"/>
      <c r="H174" s="125"/>
      <c r="I174" s="125"/>
      <c r="J174" s="125"/>
      <c r="K174" s="125"/>
      <c r="L174" s="125"/>
      <c r="M174" s="125"/>
      <c r="N174" s="129"/>
      <c r="O174" s="125"/>
      <c r="P174" s="173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</row>
    <row r="175" spans="1:26" ht="15.75" customHeight="1">
      <c r="A175" s="125"/>
      <c r="B175" s="125"/>
      <c r="C175" s="125"/>
      <c r="D175" s="125"/>
      <c r="E175" s="125"/>
      <c r="F175" s="126"/>
      <c r="G175" s="125"/>
      <c r="H175" s="125"/>
      <c r="I175" s="125"/>
      <c r="J175" s="125"/>
      <c r="K175" s="125"/>
      <c r="L175" s="125"/>
      <c r="M175" s="125"/>
      <c r="N175" s="129"/>
      <c r="O175" s="125"/>
      <c r="P175" s="173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</row>
    <row r="176" spans="1:26" ht="15.75" customHeight="1">
      <c r="A176" s="125"/>
      <c r="B176" s="125"/>
      <c r="C176" s="125"/>
      <c r="D176" s="125"/>
      <c r="E176" s="125"/>
      <c r="F176" s="126"/>
      <c r="G176" s="125"/>
      <c r="H176" s="125"/>
      <c r="I176" s="125"/>
      <c r="J176" s="125"/>
      <c r="K176" s="125"/>
      <c r="L176" s="125"/>
      <c r="M176" s="125"/>
      <c r="N176" s="129"/>
      <c r="O176" s="125"/>
      <c r="P176" s="173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</row>
    <row r="177" spans="1:26" ht="15.75" customHeight="1">
      <c r="A177" s="125"/>
      <c r="B177" s="125"/>
      <c r="C177" s="125"/>
      <c r="D177" s="125"/>
      <c r="E177" s="125"/>
      <c r="F177" s="126"/>
      <c r="G177" s="125"/>
      <c r="H177" s="125"/>
      <c r="I177" s="125"/>
      <c r="J177" s="125"/>
      <c r="K177" s="125"/>
      <c r="L177" s="125"/>
      <c r="M177" s="125"/>
      <c r="N177" s="129"/>
      <c r="O177" s="125"/>
      <c r="P177" s="173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</row>
    <row r="178" spans="1:26" ht="15.75" customHeight="1">
      <c r="A178" s="125"/>
      <c r="B178" s="125"/>
      <c r="C178" s="125"/>
      <c r="D178" s="125"/>
      <c r="E178" s="125"/>
      <c r="F178" s="126"/>
      <c r="G178" s="125"/>
      <c r="H178" s="125"/>
      <c r="I178" s="125"/>
      <c r="J178" s="125"/>
      <c r="K178" s="125"/>
      <c r="L178" s="125"/>
      <c r="M178" s="125"/>
      <c r="N178" s="129"/>
      <c r="O178" s="125"/>
      <c r="P178" s="173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</row>
    <row r="179" spans="1:26" ht="15.75" customHeight="1">
      <c r="A179" s="125"/>
      <c r="B179" s="125"/>
      <c r="C179" s="125"/>
      <c r="D179" s="125"/>
      <c r="E179" s="125"/>
      <c r="F179" s="126"/>
      <c r="G179" s="125"/>
      <c r="H179" s="125"/>
      <c r="I179" s="125"/>
      <c r="J179" s="125"/>
      <c r="K179" s="125"/>
      <c r="L179" s="125"/>
      <c r="M179" s="125"/>
      <c r="N179" s="129"/>
      <c r="O179" s="125"/>
      <c r="P179" s="173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</row>
    <row r="180" spans="1:26" ht="15.75" customHeight="1">
      <c r="A180" s="125"/>
      <c r="B180" s="125"/>
      <c r="C180" s="125"/>
      <c r="D180" s="125"/>
      <c r="E180" s="125"/>
      <c r="F180" s="126"/>
      <c r="G180" s="125"/>
      <c r="H180" s="125"/>
      <c r="I180" s="125"/>
      <c r="J180" s="125"/>
      <c r="K180" s="125"/>
      <c r="L180" s="125"/>
      <c r="M180" s="125"/>
      <c r="N180" s="129"/>
      <c r="O180" s="125"/>
      <c r="P180" s="173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</row>
    <row r="181" spans="1:26" ht="15.75" customHeight="1">
      <c r="A181" s="125"/>
      <c r="B181" s="125"/>
      <c r="C181" s="125"/>
      <c r="D181" s="125"/>
      <c r="E181" s="125"/>
      <c r="F181" s="126"/>
      <c r="G181" s="125"/>
      <c r="H181" s="125"/>
      <c r="I181" s="125"/>
      <c r="J181" s="125"/>
      <c r="K181" s="125"/>
      <c r="L181" s="125"/>
      <c r="M181" s="125"/>
      <c r="N181" s="129"/>
      <c r="O181" s="125"/>
      <c r="P181" s="173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</row>
    <row r="182" spans="1:26" ht="15.75" customHeight="1">
      <c r="A182" s="125"/>
      <c r="B182" s="125"/>
      <c r="C182" s="125"/>
      <c r="D182" s="125"/>
      <c r="E182" s="125"/>
      <c r="F182" s="126"/>
      <c r="G182" s="125"/>
      <c r="H182" s="125"/>
      <c r="I182" s="125"/>
      <c r="J182" s="125"/>
      <c r="K182" s="125"/>
      <c r="L182" s="125"/>
      <c r="M182" s="125"/>
      <c r="N182" s="129"/>
      <c r="O182" s="125"/>
      <c r="P182" s="173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</row>
    <row r="183" spans="1:26" ht="15.75" customHeight="1">
      <c r="A183" s="125"/>
      <c r="B183" s="125"/>
      <c r="C183" s="125"/>
      <c r="D183" s="125"/>
      <c r="E183" s="125"/>
      <c r="F183" s="126"/>
      <c r="G183" s="125"/>
      <c r="H183" s="125"/>
      <c r="I183" s="125"/>
      <c r="J183" s="125"/>
      <c r="K183" s="125"/>
      <c r="L183" s="125"/>
      <c r="M183" s="125"/>
      <c r="N183" s="129"/>
      <c r="O183" s="125"/>
      <c r="P183" s="173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</row>
    <row r="184" spans="1:26" ht="15.75" customHeight="1">
      <c r="A184" s="125"/>
      <c r="B184" s="125"/>
      <c r="C184" s="125"/>
      <c r="D184" s="125"/>
      <c r="E184" s="125"/>
      <c r="F184" s="126"/>
      <c r="G184" s="125"/>
      <c r="H184" s="125"/>
      <c r="I184" s="125"/>
      <c r="J184" s="125"/>
      <c r="K184" s="125"/>
      <c r="L184" s="125"/>
      <c r="M184" s="125"/>
      <c r="N184" s="129"/>
      <c r="O184" s="125"/>
      <c r="P184" s="173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</row>
    <row r="185" spans="1:26" ht="15.75" customHeight="1">
      <c r="A185" s="125"/>
      <c r="B185" s="125"/>
      <c r="C185" s="125"/>
      <c r="D185" s="125"/>
      <c r="E185" s="125"/>
      <c r="F185" s="126"/>
      <c r="G185" s="125"/>
      <c r="H185" s="125"/>
      <c r="I185" s="125"/>
      <c r="J185" s="125"/>
      <c r="K185" s="125"/>
      <c r="L185" s="125"/>
      <c r="M185" s="125"/>
      <c r="N185" s="129"/>
      <c r="O185" s="125"/>
      <c r="P185" s="173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</row>
    <row r="186" spans="1:26" ht="15.75" customHeight="1">
      <c r="A186" s="125"/>
      <c r="B186" s="125"/>
      <c r="C186" s="125"/>
      <c r="D186" s="125"/>
      <c r="E186" s="125"/>
      <c r="F186" s="126"/>
      <c r="G186" s="125"/>
      <c r="H186" s="125"/>
      <c r="I186" s="125"/>
      <c r="J186" s="125"/>
      <c r="K186" s="125"/>
      <c r="L186" s="125"/>
      <c r="M186" s="125"/>
      <c r="N186" s="129"/>
      <c r="O186" s="125"/>
      <c r="P186" s="173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</row>
    <row r="187" spans="1:26" ht="15.75" customHeight="1">
      <c r="A187" s="125"/>
      <c r="B187" s="125"/>
      <c r="C187" s="125"/>
      <c r="D187" s="125"/>
      <c r="E187" s="125"/>
      <c r="F187" s="126"/>
      <c r="G187" s="125"/>
      <c r="H187" s="125"/>
      <c r="I187" s="125"/>
      <c r="J187" s="125"/>
      <c r="K187" s="125"/>
      <c r="L187" s="125"/>
      <c r="M187" s="125"/>
      <c r="N187" s="129"/>
      <c r="O187" s="125"/>
      <c r="P187" s="173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</row>
    <row r="188" spans="1:26" ht="15.75" customHeight="1">
      <c r="A188" s="125"/>
      <c r="B188" s="125"/>
      <c r="C188" s="125"/>
      <c r="D188" s="125"/>
      <c r="E188" s="125"/>
      <c r="F188" s="126"/>
      <c r="G188" s="125"/>
      <c r="H188" s="125"/>
      <c r="I188" s="125"/>
      <c r="J188" s="125"/>
      <c r="K188" s="125"/>
      <c r="L188" s="125"/>
      <c r="M188" s="125"/>
      <c r="N188" s="129"/>
      <c r="O188" s="125"/>
      <c r="P188" s="173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</row>
    <row r="189" spans="1:26" ht="15.75" customHeight="1">
      <c r="A189" s="125"/>
      <c r="B189" s="125"/>
      <c r="C189" s="125"/>
      <c r="D189" s="125"/>
      <c r="E189" s="125"/>
      <c r="F189" s="126"/>
      <c r="G189" s="125"/>
      <c r="H189" s="125"/>
      <c r="I189" s="125"/>
      <c r="J189" s="125"/>
      <c r="K189" s="125"/>
      <c r="L189" s="125"/>
      <c r="M189" s="125"/>
      <c r="N189" s="129"/>
      <c r="O189" s="125"/>
      <c r="P189" s="173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</row>
    <row r="190" spans="1:26" ht="15.75" customHeight="1">
      <c r="A190" s="125"/>
      <c r="B190" s="125"/>
      <c r="C190" s="125"/>
      <c r="D190" s="125"/>
      <c r="E190" s="125"/>
      <c r="F190" s="126"/>
      <c r="G190" s="125"/>
      <c r="H190" s="125"/>
      <c r="I190" s="125"/>
      <c r="J190" s="125"/>
      <c r="K190" s="125"/>
      <c r="L190" s="125"/>
      <c r="M190" s="125"/>
      <c r="N190" s="129"/>
      <c r="O190" s="125"/>
      <c r="P190" s="173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</row>
    <row r="191" spans="1:26" ht="15.75" customHeight="1">
      <c r="A191" s="125"/>
      <c r="B191" s="125"/>
      <c r="C191" s="125"/>
      <c r="D191" s="125"/>
      <c r="E191" s="125"/>
      <c r="F191" s="126"/>
      <c r="G191" s="125"/>
      <c r="H191" s="125"/>
      <c r="I191" s="125"/>
      <c r="J191" s="125"/>
      <c r="K191" s="125"/>
      <c r="L191" s="125"/>
      <c r="M191" s="125"/>
      <c r="N191" s="129"/>
      <c r="O191" s="125"/>
      <c r="P191" s="173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</row>
    <row r="192" spans="1:26" ht="15.75" customHeight="1">
      <c r="A192" s="125"/>
      <c r="B192" s="125"/>
      <c r="C192" s="125"/>
      <c r="D192" s="125"/>
      <c r="E192" s="125"/>
      <c r="F192" s="126"/>
      <c r="G192" s="125"/>
      <c r="H192" s="125"/>
      <c r="I192" s="125"/>
      <c r="J192" s="125"/>
      <c r="K192" s="125"/>
      <c r="L192" s="125"/>
      <c r="M192" s="125"/>
      <c r="N192" s="129"/>
      <c r="O192" s="125"/>
      <c r="P192" s="173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</row>
    <row r="193" spans="1:26" ht="15.75" customHeight="1">
      <c r="A193" s="125"/>
      <c r="B193" s="125"/>
      <c r="C193" s="125"/>
      <c r="D193" s="125"/>
      <c r="E193" s="125"/>
      <c r="F193" s="126"/>
      <c r="G193" s="125"/>
      <c r="H193" s="125"/>
      <c r="I193" s="125"/>
      <c r="J193" s="125"/>
      <c r="K193" s="125"/>
      <c r="L193" s="125"/>
      <c r="M193" s="125"/>
      <c r="N193" s="129"/>
      <c r="O193" s="125"/>
      <c r="P193" s="173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</row>
    <row r="194" spans="1:26" ht="15.75" customHeight="1">
      <c r="A194" s="125"/>
      <c r="B194" s="125"/>
      <c r="C194" s="125"/>
      <c r="D194" s="125"/>
      <c r="E194" s="125"/>
      <c r="F194" s="126"/>
      <c r="G194" s="125"/>
      <c r="H194" s="125"/>
      <c r="I194" s="125"/>
      <c r="J194" s="125"/>
      <c r="K194" s="125"/>
      <c r="L194" s="125"/>
      <c r="M194" s="125"/>
      <c r="N194" s="129"/>
      <c r="O194" s="125"/>
      <c r="P194" s="173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</row>
    <row r="195" spans="1:26" ht="15.75" customHeight="1">
      <c r="A195" s="125"/>
      <c r="B195" s="125"/>
      <c r="C195" s="125"/>
      <c r="D195" s="125"/>
      <c r="E195" s="125"/>
      <c r="F195" s="126"/>
      <c r="G195" s="125"/>
      <c r="H195" s="125"/>
      <c r="I195" s="125"/>
      <c r="J195" s="125"/>
      <c r="K195" s="125"/>
      <c r="L195" s="125"/>
      <c r="M195" s="125"/>
      <c r="N195" s="129"/>
      <c r="O195" s="125"/>
      <c r="P195" s="173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</row>
    <row r="196" spans="1:26" ht="15.75" customHeight="1">
      <c r="A196" s="125"/>
      <c r="B196" s="125"/>
      <c r="C196" s="125"/>
      <c r="D196" s="125"/>
      <c r="E196" s="125"/>
      <c r="F196" s="126"/>
      <c r="G196" s="125"/>
      <c r="H196" s="125"/>
      <c r="I196" s="125"/>
      <c r="J196" s="125"/>
      <c r="K196" s="125"/>
      <c r="L196" s="125"/>
      <c r="M196" s="125"/>
      <c r="N196" s="129"/>
      <c r="O196" s="125"/>
      <c r="P196" s="173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</row>
    <row r="197" spans="1:26" ht="15.75" customHeight="1">
      <c r="A197" s="125"/>
      <c r="B197" s="125"/>
      <c r="C197" s="125"/>
      <c r="D197" s="125"/>
      <c r="E197" s="125"/>
      <c r="F197" s="126"/>
      <c r="G197" s="125"/>
      <c r="H197" s="125"/>
      <c r="I197" s="125"/>
      <c r="J197" s="125"/>
      <c r="K197" s="125"/>
      <c r="L197" s="125"/>
      <c r="M197" s="125"/>
      <c r="N197" s="129"/>
      <c r="O197" s="125"/>
      <c r="P197" s="173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</row>
    <row r="198" spans="1:26" ht="15.75" customHeight="1">
      <c r="A198" s="125"/>
      <c r="B198" s="125"/>
      <c r="C198" s="125"/>
      <c r="D198" s="125"/>
      <c r="E198" s="125"/>
      <c r="F198" s="126"/>
      <c r="G198" s="125"/>
      <c r="H198" s="125"/>
      <c r="I198" s="125"/>
      <c r="J198" s="125"/>
      <c r="K198" s="125"/>
      <c r="L198" s="125"/>
      <c r="M198" s="125"/>
      <c r="N198" s="129"/>
      <c r="O198" s="125"/>
      <c r="P198" s="173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</row>
    <row r="199" spans="1:26" ht="15.75" customHeight="1">
      <c r="A199" s="125"/>
      <c r="B199" s="125"/>
      <c r="C199" s="125"/>
      <c r="D199" s="125"/>
      <c r="E199" s="125"/>
      <c r="F199" s="126"/>
      <c r="G199" s="125"/>
      <c r="H199" s="125"/>
      <c r="I199" s="125"/>
      <c r="J199" s="125"/>
      <c r="K199" s="125"/>
      <c r="L199" s="125"/>
      <c r="M199" s="125"/>
      <c r="N199" s="129"/>
      <c r="O199" s="125"/>
      <c r="P199" s="173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</row>
    <row r="200" spans="1:26" ht="15.75" customHeight="1">
      <c r="A200" s="125"/>
      <c r="B200" s="125"/>
      <c r="C200" s="125"/>
      <c r="D200" s="125"/>
      <c r="E200" s="125"/>
      <c r="F200" s="126"/>
      <c r="G200" s="125"/>
      <c r="H200" s="125"/>
      <c r="I200" s="125"/>
      <c r="J200" s="125"/>
      <c r="K200" s="125"/>
      <c r="L200" s="125"/>
      <c r="M200" s="125"/>
      <c r="N200" s="129"/>
      <c r="O200" s="125"/>
      <c r="P200" s="173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</row>
    <row r="201" spans="1:26" ht="15.75" customHeight="1">
      <c r="A201" s="125"/>
      <c r="B201" s="125"/>
      <c r="C201" s="125"/>
      <c r="D201" s="125"/>
      <c r="E201" s="125"/>
      <c r="F201" s="126"/>
      <c r="G201" s="125"/>
      <c r="H201" s="125"/>
      <c r="I201" s="125"/>
      <c r="J201" s="125"/>
      <c r="K201" s="125"/>
      <c r="L201" s="125"/>
      <c r="M201" s="125"/>
      <c r="N201" s="129"/>
      <c r="O201" s="125"/>
      <c r="P201" s="173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</row>
    <row r="202" spans="1:26" ht="15.75" customHeight="1">
      <c r="A202" s="125"/>
      <c r="B202" s="125"/>
      <c r="C202" s="125"/>
      <c r="D202" s="125"/>
      <c r="E202" s="125"/>
      <c r="F202" s="126"/>
      <c r="G202" s="125"/>
      <c r="H202" s="125"/>
      <c r="I202" s="125"/>
      <c r="J202" s="125"/>
      <c r="K202" s="125"/>
      <c r="L202" s="125"/>
      <c r="M202" s="125"/>
      <c r="N202" s="129"/>
      <c r="O202" s="125"/>
      <c r="P202" s="173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</row>
    <row r="203" spans="1:26" ht="15.75" customHeight="1">
      <c r="A203" s="125"/>
      <c r="B203" s="125"/>
      <c r="C203" s="125"/>
      <c r="D203" s="125"/>
      <c r="E203" s="125"/>
      <c r="F203" s="126"/>
      <c r="G203" s="125"/>
      <c r="H203" s="125"/>
      <c r="I203" s="125"/>
      <c r="J203" s="125"/>
      <c r="K203" s="125"/>
      <c r="L203" s="125"/>
      <c r="M203" s="125"/>
      <c r="N203" s="129"/>
      <c r="O203" s="125"/>
      <c r="P203" s="173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</row>
    <row r="204" spans="1:26" ht="15.75" customHeight="1">
      <c r="A204" s="125"/>
      <c r="B204" s="125"/>
      <c r="C204" s="125"/>
      <c r="D204" s="125"/>
      <c r="E204" s="125"/>
      <c r="F204" s="126"/>
      <c r="G204" s="125"/>
      <c r="H204" s="125"/>
      <c r="I204" s="125"/>
      <c r="J204" s="125"/>
      <c r="K204" s="125"/>
      <c r="L204" s="125"/>
      <c r="M204" s="125"/>
      <c r="N204" s="129"/>
      <c r="O204" s="125"/>
      <c r="P204" s="173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</row>
    <row r="205" spans="1:26" ht="15.75" customHeight="1">
      <c r="A205" s="125"/>
      <c r="B205" s="125"/>
      <c r="C205" s="125"/>
      <c r="D205" s="125"/>
      <c r="E205" s="125"/>
      <c r="F205" s="126"/>
      <c r="G205" s="125"/>
      <c r="H205" s="125"/>
      <c r="I205" s="125"/>
      <c r="J205" s="125"/>
      <c r="K205" s="125"/>
      <c r="L205" s="125"/>
      <c r="M205" s="125"/>
      <c r="N205" s="129"/>
      <c r="O205" s="125"/>
      <c r="P205" s="173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</row>
    <row r="206" spans="1:26" ht="15.75" customHeight="1">
      <c r="A206" s="125"/>
      <c r="B206" s="125"/>
      <c r="C206" s="125"/>
      <c r="D206" s="125"/>
      <c r="E206" s="125"/>
      <c r="F206" s="126"/>
      <c r="G206" s="125"/>
      <c r="H206" s="125"/>
      <c r="I206" s="125"/>
      <c r="J206" s="125"/>
      <c r="K206" s="125"/>
      <c r="L206" s="125"/>
      <c r="M206" s="125"/>
      <c r="N206" s="129"/>
      <c r="O206" s="125"/>
      <c r="P206" s="173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</row>
    <row r="207" spans="1:26" ht="15.75" customHeight="1">
      <c r="A207" s="125"/>
      <c r="B207" s="125"/>
      <c r="C207" s="125"/>
      <c r="D207" s="125"/>
      <c r="E207" s="125"/>
      <c r="F207" s="126"/>
      <c r="G207" s="125"/>
      <c r="H207" s="125"/>
      <c r="I207" s="125"/>
      <c r="J207" s="125"/>
      <c r="K207" s="125"/>
      <c r="L207" s="125"/>
      <c r="M207" s="125"/>
      <c r="N207" s="129"/>
      <c r="O207" s="125"/>
      <c r="P207" s="173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</row>
    <row r="208" spans="1:26" ht="15.75" customHeight="1">
      <c r="A208" s="125"/>
      <c r="B208" s="125"/>
      <c r="C208" s="125"/>
      <c r="D208" s="125"/>
      <c r="E208" s="125"/>
      <c r="F208" s="126"/>
      <c r="G208" s="125"/>
      <c r="H208" s="125"/>
      <c r="I208" s="125"/>
      <c r="J208" s="125"/>
      <c r="K208" s="125"/>
      <c r="L208" s="125"/>
      <c r="M208" s="125"/>
      <c r="N208" s="129"/>
      <c r="O208" s="125"/>
      <c r="P208" s="173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</row>
    <row r="209" spans="1:26" ht="15.75" customHeight="1">
      <c r="A209" s="125"/>
      <c r="B209" s="125"/>
      <c r="C209" s="125"/>
      <c r="D209" s="125"/>
      <c r="E209" s="125"/>
      <c r="F209" s="126"/>
      <c r="G209" s="125"/>
      <c r="H209" s="125"/>
      <c r="I209" s="125"/>
      <c r="J209" s="125"/>
      <c r="K209" s="125"/>
      <c r="L209" s="125"/>
      <c r="M209" s="125"/>
      <c r="N209" s="129"/>
      <c r="O209" s="125"/>
      <c r="P209" s="173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</row>
    <row r="210" spans="1:26" ht="15.75" customHeight="1">
      <c r="A210" s="125"/>
      <c r="B210" s="125"/>
      <c r="C210" s="125"/>
      <c r="D210" s="125"/>
      <c r="E210" s="125"/>
      <c r="F210" s="126"/>
      <c r="G210" s="125"/>
      <c r="H210" s="125"/>
      <c r="I210" s="125"/>
      <c r="J210" s="125"/>
      <c r="K210" s="125"/>
      <c r="L210" s="125"/>
      <c r="M210" s="125"/>
      <c r="N210" s="129"/>
      <c r="O210" s="125"/>
      <c r="P210" s="173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</row>
    <row r="211" spans="1:26" ht="15.75" customHeight="1">
      <c r="A211" s="125"/>
      <c r="B211" s="125"/>
      <c r="C211" s="125"/>
      <c r="D211" s="125"/>
      <c r="E211" s="125"/>
      <c r="F211" s="126"/>
      <c r="G211" s="125"/>
      <c r="H211" s="125"/>
      <c r="I211" s="125"/>
      <c r="J211" s="125"/>
      <c r="K211" s="125"/>
      <c r="L211" s="125"/>
      <c r="M211" s="125"/>
      <c r="N211" s="129"/>
      <c r="O211" s="125"/>
      <c r="P211" s="173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</row>
    <row r="212" spans="1:26" ht="15.75" customHeight="1">
      <c r="A212" s="125"/>
      <c r="B212" s="125"/>
      <c r="C212" s="125"/>
      <c r="D212" s="125"/>
      <c r="E212" s="125"/>
      <c r="F212" s="126"/>
      <c r="G212" s="125"/>
      <c r="H212" s="125"/>
      <c r="I212" s="125"/>
      <c r="J212" s="125"/>
      <c r="K212" s="125"/>
      <c r="L212" s="125"/>
      <c r="M212" s="125"/>
      <c r="N212" s="129"/>
      <c r="O212" s="125"/>
      <c r="P212" s="173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</row>
    <row r="213" spans="1:26" ht="15.75" customHeight="1">
      <c r="A213" s="125"/>
      <c r="B213" s="125"/>
      <c r="C213" s="125"/>
      <c r="D213" s="125"/>
      <c r="E213" s="125"/>
      <c r="F213" s="126"/>
      <c r="G213" s="125"/>
      <c r="H213" s="125"/>
      <c r="I213" s="125"/>
      <c r="J213" s="125"/>
      <c r="K213" s="125"/>
      <c r="L213" s="125"/>
      <c r="M213" s="125"/>
      <c r="N213" s="129"/>
      <c r="O213" s="125"/>
      <c r="P213" s="173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</row>
    <row r="214" spans="1:26" ht="15.75" customHeight="1">
      <c r="A214" s="125"/>
      <c r="B214" s="125"/>
      <c r="C214" s="125"/>
      <c r="D214" s="125"/>
      <c r="E214" s="125"/>
      <c r="F214" s="126"/>
      <c r="G214" s="125"/>
      <c r="H214" s="125"/>
      <c r="I214" s="125"/>
      <c r="J214" s="125"/>
      <c r="K214" s="125"/>
      <c r="L214" s="125"/>
      <c r="M214" s="125"/>
      <c r="N214" s="129"/>
      <c r="O214" s="125"/>
      <c r="P214" s="173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</row>
    <row r="215" spans="1:26" ht="15.75" customHeight="1">
      <c r="A215" s="125"/>
      <c r="B215" s="125"/>
      <c r="C215" s="125"/>
      <c r="D215" s="125"/>
      <c r="E215" s="125"/>
      <c r="F215" s="126"/>
      <c r="G215" s="125"/>
      <c r="H215" s="125"/>
      <c r="I215" s="125"/>
      <c r="J215" s="125"/>
      <c r="K215" s="125"/>
      <c r="L215" s="125"/>
      <c r="M215" s="125"/>
      <c r="N215" s="129"/>
      <c r="O215" s="125"/>
      <c r="P215" s="173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</row>
    <row r="216" spans="1:26" ht="15.75" customHeight="1">
      <c r="A216" s="125"/>
      <c r="B216" s="125"/>
      <c r="C216" s="125"/>
      <c r="D216" s="125"/>
      <c r="E216" s="125"/>
      <c r="F216" s="126"/>
      <c r="G216" s="125"/>
      <c r="H216" s="125"/>
      <c r="I216" s="125"/>
      <c r="J216" s="125"/>
      <c r="K216" s="125"/>
      <c r="L216" s="125"/>
      <c r="M216" s="125"/>
      <c r="N216" s="129"/>
      <c r="O216" s="125"/>
      <c r="P216" s="173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</row>
    <row r="217" spans="1:26" ht="15.75" customHeight="1">
      <c r="A217" s="125"/>
      <c r="B217" s="125"/>
      <c r="C217" s="125"/>
      <c r="D217" s="125"/>
      <c r="E217" s="125"/>
      <c r="F217" s="126"/>
      <c r="G217" s="125"/>
      <c r="H217" s="125"/>
      <c r="I217" s="125"/>
      <c r="J217" s="125"/>
      <c r="K217" s="125"/>
      <c r="L217" s="125"/>
      <c r="M217" s="125"/>
      <c r="N217" s="129"/>
      <c r="O217" s="125"/>
      <c r="P217" s="173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</row>
    <row r="218" spans="1:26" ht="15.75" customHeight="1">
      <c r="A218" s="125"/>
      <c r="B218" s="125"/>
      <c r="C218" s="125"/>
      <c r="D218" s="125"/>
      <c r="E218" s="125"/>
      <c r="F218" s="126"/>
      <c r="G218" s="125"/>
      <c r="H218" s="125"/>
      <c r="I218" s="125"/>
      <c r="J218" s="125"/>
      <c r="K218" s="125"/>
      <c r="L218" s="125"/>
      <c r="M218" s="125"/>
      <c r="N218" s="129"/>
      <c r="O218" s="125"/>
      <c r="P218" s="173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</row>
    <row r="219" spans="1:26" ht="15.75" customHeight="1">
      <c r="A219" s="125"/>
      <c r="B219" s="125"/>
      <c r="C219" s="125"/>
      <c r="D219" s="125"/>
      <c r="E219" s="125"/>
      <c r="F219" s="126"/>
      <c r="G219" s="125"/>
      <c r="H219" s="125"/>
      <c r="I219" s="125"/>
      <c r="J219" s="125"/>
      <c r="K219" s="125"/>
      <c r="L219" s="125"/>
      <c r="M219" s="125"/>
      <c r="N219" s="129"/>
      <c r="O219" s="125"/>
      <c r="P219" s="173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</row>
    <row r="220" spans="1:26" ht="15.75" customHeight="1">
      <c r="A220" s="125"/>
      <c r="B220" s="125"/>
      <c r="C220" s="125"/>
      <c r="D220" s="125"/>
      <c r="E220" s="125"/>
      <c r="F220" s="126"/>
      <c r="G220" s="125"/>
      <c r="H220" s="125"/>
      <c r="I220" s="125"/>
      <c r="J220" s="125"/>
      <c r="K220" s="125"/>
      <c r="L220" s="125"/>
      <c r="M220" s="125"/>
      <c r="N220" s="129"/>
      <c r="O220" s="125"/>
      <c r="P220" s="173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</row>
    <row r="221" spans="1:26" ht="15.75" customHeight="1">
      <c r="A221" s="125"/>
      <c r="B221" s="125"/>
      <c r="C221" s="125"/>
      <c r="D221" s="125"/>
      <c r="E221" s="125"/>
      <c r="F221" s="126"/>
      <c r="G221" s="125"/>
      <c r="H221" s="125"/>
      <c r="I221" s="125"/>
      <c r="J221" s="125"/>
      <c r="K221" s="125"/>
      <c r="L221" s="125"/>
      <c r="M221" s="125"/>
      <c r="N221" s="129"/>
      <c r="O221" s="125"/>
      <c r="P221" s="173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</row>
    <row r="222" spans="1:26" ht="15.75" customHeight="1">
      <c r="A222" s="125"/>
      <c r="B222" s="125"/>
      <c r="C222" s="125"/>
      <c r="D222" s="125"/>
      <c r="E222" s="125"/>
      <c r="F222" s="126"/>
      <c r="G222" s="125"/>
      <c r="H222" s="125"/>
      <c r="I222" s="125"/>
      <c r="J222" s="125"/>
      <c r="K222" s="125"/>
      <c r="L222" s="125"/>
      <c r="M222" s="125"/>
      <c r="N222" s="129"/>
      <c r="O222" s="125"/>
      <c r="P222" s="173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</row>
    <row r="223" spans="1:26" ht="15.75" customHeight="1">
      <c r="A223" s="125"/>
      <c r="B223" s="125"/>
      <c r="C223" s="125"/>
      <c r="D223" s="125"/>
      <c r="E223" s="125"/>
      <c r="F223" s="126"/>
      <c r="G223" s="125"/>
      <c r="H223" s="125"/>
      <c r="I223" s="125"/>
      <c r="J223" s="125"/>
      <c r="K223" s="125"/>
      <c r="L223" s="125"/>
      <c r="M223" s="125"/>
      <c r="N223" s="129"/>
      <c r="O223" s="125"/>
      <c r="P223" s="173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</row>
    <row r="224" spans="1:26" ht="15.75" customHeight="1">
      <c r="A224" s="125"/>
      <c r="B224" s="125"/>
      <c r="C224" s="125"/>
      <c r="D224" s="125"/>
      <c r="E224" s="125"/>
      <c r="F224" s="126"/>
      <c r="G224" s="125"/>
      <c r="H224" s="125"/>
      <c r="I224" s="125"/>
      <c r="J224" s="125"/>
      <c r="K224" s="125"/>
      <c r="L224" s="125"/>
      <c r="M224" s="125"/>
      <c r="N224" s="129"/>
      <c r="O224" s="125"/>
      <c r="P224" s="173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</row>
    <row r="225" spans="1:26" ht="15.75" customHeight="1">
      <c r="A225" s="125"/>
      <c r="B225" s="125"/>
      <c r="C225" s="125"/>
      <c r="D225" s="125"/>
      <c r="E225" s="125"/>
      <c r="F225" s="126"/>
      <c r="G225" s="125"/>
      <c r="H225" s="125"/>
      <c r="I225" s="125"/>
      <c r="J225" s="125"/>
      <c r="K225" s="125"/>
      <c r="L225" s="125"/>
      <c r="M225" s="125"/>
      <c r="N225" s="129"/>
      <c r="O225" s="125"/>
      <c r="P225" s="173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</row>
    <row r="226" spans="1:26" ht="15.75" customHeight="1">
      <c r="A226" s="125"/>
      <c r="B226" s="125"/>
      <c r="C226" s="125"/>
      <c r="D226" s="125"/>
      <c r="E226" s="125"/>
      <c r="F226" s="126"/>
      <c r="G226" s="125"/>
      <c r="H226" s="125"/>
      <c r="I226" s="125"/>
      <c r="J226" s="125"/>
      <c r="K226" s="125"/>
      <c r="L226" s="125"/>
      <c r="M226" s="125"/>
      <c r="N226" s="129"/>
      <c r="O226" s="125"/>
      <c r="P226" s="173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</row>
    <row r="227" spans="1:26" ht="15.75" customHeight="1">
      <c r="A227" s="125"/>
      <c r="B227" s="125"/>
      <c r="C227" s="125"/>
      <c r="D227" s="125"/>
      <c r="E227" s="125"/>
      <c r="F227" s="126"/>
      <c r="G227" s="125"/>
      <c r="H227" s="125"/>
      <c r="I227" s="125"/>
      <c r="J227" s="125"/>
      <c r="K227" s="125"/>
      <c r="L227" s="125"/>
      <c r="M227" s="125"/>
      <c r="N227" s="129"/>
      <c r="O227" s="125"/>
      <c r="P227" s="173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</row>
    <row r="228" spans="1:26" ht="15.75" customHeight="1">
      <c r="A228" s="125"/>
      <c r="B228" s="125"/>
      <c r="C228" s="125"/>
      <c r="D228" s="125"/>
      <c r="E228" s="125"/>
      <c r="F228" s="126"/>
      <c r="G228" s="125"/>
      <c r="H228" s="125"/>
      <c r="I228" s="125"/>
      <c r="J228" s="125"/>
      <c r="K228" s="125"/>
      <c r="L228" s="125"/>
      <c r="M228" s="125"/>
      <c r="N228" s="129"/>
      <c r="O228" s="125"/>
      <c r="P228" s="173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</row>
    <row r="229" spans="1:26" ht="15.75" customHeight="1">
      <c r="A229" s="125"/>
      <c r="B229" s="125"/>
      <c r="C229" s="125"/>
      <c r="D229" s="125"/>
      <c r="E229" s="125"/>
      <c r="F229" s="126"/>
      <c r="G229" s="125"/>
      <c r="H229" s="125"/>
      <c r="I229" s="125"/>
      <c r="J229" s="125"/>
      <c r="K229" s="125"/>
      <c r="L229" s="125"/>
      <c r="M229" s="125"/>
      <c r="N229" s="129"/>
      <c r="O229" s="125"/>
      <c r="P229" s="173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</row>
    <row r="230" spans="1:26" ht="15.75" customHeight="1">
      <c r="A230" s="125"/>
      <c r="B230" s="125"/>
      <c r="C230" s="125"/>
      <c r="D230" s="125"/>
      <c r="E230" s="125"/>
      <c r="F230" s="126"/>
      <c r="G230" s="125"/>
      <c r="H230" s="125"/>
      <c r="I230" s="125"/>
      <c r="J230" s="125"/>
      <c r="K230" s="125"/>
      <c r="L230" s="125"/>
      <c r="M230" s="125"/>
      <c r="N230" s="129"/>
      <c r="O230" s="125"/>
      <c r="P230" s="173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</row>
    <row r="231" spans="1:26" ht="15.75" customHeight="1">
      <c r="A231" s="125"/>
      <c r="B231" s="125"/>
      <c r="C231" s="125"/>
      <c r="D231" s="125"/>
      <c r="E231" s="125"/>
      <c r="F231" s="126"/>
      <c r="G231" s="125"/>
      <c r="H231" s="125"/>
      <c r="I231" s="125"/>
      <c r="J231" s="125"/>
      <c r="K231" s="125"/>
      <c r="L231" s="125"/>
      <c r="M231" s="125"/>
      <c r="N231" s="129"/>
      <c r="O231" s="125"/>
      <c r="P231" s="173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</row>
    <row r="232" spans="1:26" ht="15.75" customHeight="1">
      <c r="A232" s="125"/>
      <c r="B232" s="125"/>
      <c r="C232" s="125"/>
      <c r="D232" s="125"/>
      <c r="E232" s="125"/>
      <c r="F232" s="126"/>
      <c r="G232" s="125"/>
      <c r="H232" s="125"/>
      <c r="I232" s="125"/>
      <c r="J232" s="125"/>
      <c r="K232" s="125"/>
      <c r="L232" s="125"/>
      <c r="M232" s="125"/>
      <c r="N232" s="129"/>
      <c r="O232" s="125"/>
      <c r="P232" s="173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</row>
    <row r="233" spans="1:26" ht="15.75" customHeight="1">
      <c r="A233" s="125"/>
      <c r="B233" s="125"/>
      <c r="C233" s="125"/>
      <c r="D233" s="125"/>
      <c r="E233" s="125"/>
      <c r="F233" s="126"/>
      <c r="G233" s="125"/>
      <c r="H233" s="125"/>
      <c r="I233" s="125"/>
      <c r="J233" s="125"/>
      <c r="K233" s="125"/>
      <c r="L233" s="125"/>
      <c r="M233" s="125"/>
      <c r="N233" s="129"/>
      <c r="O233" s="125"/>
      <c r="P233" s="173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</row>
    <row r="234" spans="1:26" ht="15.75" customHeight="1">
      <c r="A234" s="125"/>
      <c r="B234" s="125"/>
      <c r="C234" s="125"/>
      <c r="D234" s="125"/>
      <c r="E234" s="125"/>
      <c r="F234" s="126"/>
      <c r="G234" s="125"/>
      <c r="H234" s="125"/>
      <c r="I234" s="125"/>
      <c r="J234" s="125"/>
      <c r="K234" s="125"/>
      <c r="L234" s="125"/>
      <c r="M234" s="125"/>
      <c r="N234" s="129"/>
      <c r="O234" s="125"/>
      <c r="P234" s="173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</row>
    <row r="235" spans="1:26" ht="15.75" customHeight="1">
      <c r="A235" s="125"/>
      <c r="B235" s="125"/>
      <c r="C235" s="125"/>
      <c r="D235" s="125"/>
      <c r="E235" s="125"/>
      <c r="F235" s="126"/>
      <c r="G235" s="125"/>
      <c r="H235" s="125"/>
      <c r="I235" s="125"/>
      <c r="J235" s="125"/>
      <c r="K235" s="125"/>
      <c r="L235" s="125"/>
      <c r="M235" s="125"/>
      <c r="N235" s="129"/>
      <c r="O235" s="125"/>
      <c r="P235" s="173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</row>
    <row r="236" spans="1:26" ht="15.75" customHeight="1">
      <c r="A236" s="125"/>
      <c r="B236" s="125"/>
      <c r="C236" s="125"/>
      <c r="D236" s="125"/>
      <c r="E236" s="125"/>
      <c r="F236" s="126"/>
      <c r="G236" s="125"/>
      <c r="H236" s="125"/>
      <c r="I236" s="125"/>
      <c r="J236" s="125"/>
      <c r="K236" s="125"/>
      <c r="L236" s="125"/>
      <c r="M236" s="125"/>
      <c r="N236" s="129"/>
      <c r="O236" s="125"/>
      <c r="P236" s="173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</row>
    <row r="237" spans="1:26" ht="15.75" customHeight="1">
      <c r="A237" s="125"/>
      <c r="B237" s="125"/>
      <c r="C237" s="125"/>
      <c r="D237" s="125"/>
      <c r="E237" s="125"/>
      <c r="F237" s="126"/>
      <c r="G237" s="125"/>
      <c r="H237" s="125"/>
      <c r="I237" s="125"/>
      <c r="J237" s="125"/>
      <c r="K237" s="125"/>
      <c r="L237" s="125"/>
      <c r="M237" s="125"/>
      <c r="N237" s="129"/>
      <c r="O237" s="125"/>
      <c r="P237" s="173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</row>
    <row r="238" spans="1:26" ht="15.75" customHeight="1">
      <c r="A238" s="125"/>
      <c r="B238" s="125"/>
      <c r="C238" s="125"/>
      <c r="D238" s="125"/>
      <c r="E238" s="125"/>
      <c r="F238" s="126"/>
      <c r="G238" s="125"/>
      <c r="H238" s="125"/>
      <c r="I238" s="125"/>
      <c r="J238" s="125"/>
      <c r="K238" s="125"/>
      <c r="L238" s="125"/>
      <c r="M238" s="125"/>
      <c r="N238" s="129"/>
      <c r="O238" s="125"/>
      <c r="P238" s="173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</row>
    <row r="239" spans="1:26" ht="15.75" customHeight="1">
      <c r="A239" s="125"/>
      <c r="B239" s="125"/>
      <c r="C239" s="125"/>
      <c r="D239" s="125"/>
      <c r="E239" s="125"/>
      <c r="F239" s="126"/>
      <c r="G239" s="125"/>
      <c r="H239" s="125"/>
      <c r="I239" s="125"/>
      <c r="J239" s="125"/>
      <c r="K239" s="125"/>
      <c r="L239" s="125"/>
      <c r="M239" s="125"/>
      <c r="N239" s="129"/>
      <c r="O239" s="125"/>
      <c r="P239" s="173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</row>
    <row r="240" spans="1:26" ht="15.75" customHeight="1">
      <c r="A240" s="125"/>
      <c r="B240" s="125"/>
      <c r="C240" s="125"/>
      <c r="D240" s="125"/>
      <c r="E240" s="125"/>
      <c r="F240" s="126"/>
      <c r="G240" s="125"/>
      <c r="H240" s="125"/>
      <c r="I240" s="125"/>
      <c r="J240" s="125"/>
      <c r="K240" s="125"/>
      <c r="L240" s="125"/>
      <c r="M240" s="125"/>
      <c r="N240" s="129"/>
      <c r="O240" s="125"/>
      <c r="P240" s="173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</row>
    <row r="241" spans="1:26" ht="15.75" customHeight="1">
      <c r="A241" s="125"/>
      <c r="B241" s="125"/>
      <c r="C241" s="125"/>
      <c r="D241" s="125"/>
      <c r="E241" s="125"/>
      <c r="F241" s="126"/>
      <c r="G241" s="125"/>
      <c r="H241" s="125"/>
      <c r="I241" s="125"/>
      <c r="J241" s="125"/>
      <c r="K241" s="125"/>
      <c r="L241" s="125"/>
      <c r="M241" s="125"/>
      <c r="N241" s="129"/>
      <c r="O241" s="125"/>
      <c r="P241" s="173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</row>
    <row r="242" spans="1:26" ht="15.75" customHeight="1">
      <c r="A242" s="125"/>
      <c r="B242" s="125"/>
      <c r="C242" s="125"/>
      <c r="D242" s="125"/>
      <c r="E242" s="125"/>
      <c r="F242" s="126"/>
      <c r="G242" s="125"/>
      <c r="H242" s="125"/>
      <c r="I242" s="125"/>
      <c r="J242" s="125"/>
      <c r="K242" s="125"/>
      <c r="L242" s="125"/>
      <c r="M242" s="125"/>
      <c r="N242" s="129"/>
      <c r="O242" s="125"/>
      <c r="P242" s="173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</row>
    <row r="243" spans="1:26" ht="15.75" customHeight="1">
      <c r="A243" s="125"/>
      <c r="B243" s="125"/>
      <c r="C243" s="125"/>
      <c r="D243" s="125"/>
      <c r="E243" s="125"/>
      <c r="F243" s="126"/>
      <c r="G243" s="125"/>
      <c r="H243" s="125"/>
      <c r="I243" s="125"/>
      <c r="J243" s="125"/>
      <c r="K243" s="125"/>
      <c r="L243" s="125"/>
      <c r="M243" s="125"/>
      <c r="N243" s="129"/>
      <c r="O243" s="125"/>
      <c r="P243" s="173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</row>
    <row r="244" spans="1:26" ht="15.75" customHeight="1">
      <c r="A244" s="125"/>
      <c r="B244" s="125"/>
      <c r="C244" s="125"/>
      <c r="D244" s="125"/>
      <c r="E244" s="125"/>
      <c r="F244" s="126"/>
      <c r="G244" s="125"/>
      <c r="H244" s="125"/>
      <c r="I244" s="125"/>
      <c r="J244" s="125"/>
      <c r="K244" s="125"/>
      <c r="L244" s="125"/>
      <c r="M244" s="125"/>
      <c r="N244" s="129"/>
      <c r="O244" s="125"/>
      <c r="P244" s="173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</row>
    <row r="245" spans="1:26" ht="15.75" customHeight="1">
      <c r="A245" s="125"/>
      <c r="B245" s="125"/>
      <c r="C245" s="125"/>
      <c r="D245" s="125"/>
      <c r="E245" s="125"/>
      <c r="F245" s="126"/>
      <c r="G245" s="125"/>
      <c r="H245" s="125"/>
      <c r="I245" s="125"/>
      <c r="J245" s="125"/>
      <c r="K245" s="125"/>
      <c r="L245" s="125"/>
      <c r="M245" s="125"/>
      <c r="N245" s="129"/>
      <c r="O245" s="125"/>
      <c r="P245" s="173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</row>
    <row r="246" spans="1:26" ht="15.75" customHeight="1">
      <c r="A246" s="125"/>
      <c r="B246" s="125"/>
      <c r="C246" s="125"/>
      <c r="D246" s="125"/>
      <c r="E246" s="125"/>
      <c r="F246" s="126"/>
      <c r="G246" s="125"/>
      <c r="H246" s="125"/>
      <c r="I246" s="125"/>
      <c r="J246" s="125"/>
      <c r="K246" s="125"/>
      <c r="L246" s="125"/>
      <c r="M246" s="125"/>
      <c r="N246" s="129"/>
      <c r="O246" s="125"/>
      <c r="P246" s="173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</row>
    <row r="247" spans="1:26" ht="15.75" customHeight="1">
      <c r="A247" s="125"/>
      <c r="B247" s="125"/>
      <c r="C247" s="125"/>
      <c r="D247" s="125"/>
      <c r="E247" s="125"/>
      <c r="F247" s="126"/>
      <c r="G247" s="125"/>
      <c r="H247" s="125"/>
      <c r="I247" s="125"/>
      <c r="J247" s="125"/>
      <c r="K247" s="125"/>
      <c r="L247" s="125"/>
      <c r="M247" s="125"/>
      <c r="N247" s="129"/>
      <c r="O247" s="125"/>
      <c r="P247" s="173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</row>
    <row r="248" spans="1:26" ht="15.75" customHeight="1">
      <c r="A248" s="125"/>
      <c r="B248" s="125"/>
      <c r="C248" s="125"/>
      <c r="D248" s="125"/>
      <c r="E248" s="125"/>
      <c r="F248" s="126"/>
      <c r="G248" s="125"/>
      <c r="H248" s="125"/>
      <c r="I248" s="125"/>
      <c r="J248" s="125"/>
      <c r="K248" s="125"/>
      <c r="L248" s="125"/>
      <c r="M248" s="125"/>
      <c r="N248" s="129"/>
      <c r="O248" s="125"/>
      <c r="P248" s="173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</row>
    <row r="249" spans="1:26" ht="15.75" customHeight="1">
      <c r="A249" s="125"/>
      <c r="B249" s="125"/>
      <c r="C249" s="125"/>
      <c r="D249" s="125"/>
      <c r="E249" s="125"/>
      <c r="F249" s="126"/>
      <c r="G249" s="125"/>
      <c r="H249" s="125"/>
      <c r="I249" s="125"/>
      <c r="J249" s="125"/>
      <c r="K249" s="125"/>
      <c r="L249" s="125"/>
      <c r="M249" s="125"/>
      <c r="N249" s="129"/>
      <c r="O249" s="125"/>
      <c r="P249" s="173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</row>
    <row r="250" spans="1:26" ht="15.75" customHeight="1">
      <c r="A250" s="125"/>
      <c r="B250" s="125"/>
      <c r="C250" s="125"/>
      <c r="D250" s="125"/>
      <c r="E250" s="125"/>
      <c r="F250" s="126"/>
      <c r="G250" s="125"/>
      <c r="H250" s="125"/>
      <c r="I250" s="125"/>
      <c r="J250" s="125"/>
      <c r="K250" s="125"/>
      <c r="L250" s="125"/>
      <c r="M250" s="125"/>
      <c r="N250" s="129"/>
      <c r="O250" s="125"/>
      <c r="P250" s="173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</row>
    <row r="251" spans="1:26" ht="15.75" customHeight="1">
      <c r="A251" s="125"/>
      <c r="B251" s="125"/>
      <c r="C251" s="125"/>
      <c r="D251" s="125"/>
      <c r="E251" s="125"/>
      <c r="F251" s="126"/>
      <c r="G251" s="125"/>
      <c r="H251" s="125"/>
      <c r="I251" s="125"/>
      <c r="J251" s="125"/>
      <c r="K251" s="125"/>
      <c r="L251" s="125"/>
      <c r="M251" s="125"/>
      <c r="N251" s="129"/>
      <c r="O251" s="125"/>
      <c r="P251" s="173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</row>
    <row r="252" spans="1:26" ht="15.75" customHeight="1">
      <c r="A252" s="125"/>
      <c r="B252" s="125"/>
      <c r="C252" s="125"/>
      <c r="D252" s="125"/>
      <c r="E252" s="125"/>
      <c r="F252" s="126"/>
      <c r="G252" s="125"/>
      <c r="H252" s="125"/>
      <c r="I252" s="125"/>
      <c r="J252" s="125"/>
      <c r="K252" s="125"/>
      <c r="L252" s="125"/>
      <c r="M252" s="125"/>
      <c r="N252" s="129"/>
      <c r="O252" s="125"/>
      <c r="P252" s="173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</row>
    <row r="253" spans="1:26" ht="15.75" customHeight="1">
      <c r="A253" s="125"/>
      <c r="B253" s="125"/>
      <c r="C253" s="125"/>
      <c r="D253" s="125"/>
      <c r="E253" s="125"/>
      <c r="F253" s="126"/>
      <c r="G253" s="125"/>
      <c r="H253" s="125"/>
      <c r="I253" s="125"/>
      <c r="J253" s="125"/>
      <c r="K253" s="125"/>
      <c r="L253" s="125"/>
      <c r="M253" s="125"/>
      <c r="N253" s="129"/>
      <c r="O253" s="125"/>
      <c r="P253" s="173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</row>
    <row r="254" spans="1:26" ht="15.75" customHeight="1">
      <c r="A254" s="125"/>
      <c r="B254" s="125"/>
      <c r="C254" s="125"/>
      <c r="D254" s="125"/>
      <c r="E254" s="125"/>
      <c r="F254" s="126"/>
      <c r="G254" s="125"/>
      <c r="H254" s="125"/>
      <c r="I254" s="125"/>
      <c r="J254" s="125"/>
      <c r="K254" s="125"/>
      <c r="L254" s="125"/>
      <c r="M254" s="125"/>
      <c r="N254" s="129"/>
      <c r="O254" s="125"/>
      <c r="P254" s="173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</row>
    <row r="255" spans="1:26" ht="15.75" customHeight="1">
      <c r="A255" s="125"/>
      <c r="B255" s="125"/>
      <c r="C255" s="125"/>
      <c r="D255" s="125"/>
      <c r="E255" s="125"/>
      <c r="F255" s="126"/>
      <c r="G255" s="125"/>
      <c r="H255" s="125"/>
      <c r="I255" s="125"/>
      <c r="J255" s="125"/>
      <c r="K255" s="125"/>
      <c r="L255" s="125"/>
      <c r="M255" s="125"/>
      <c r="N255" s="129"/>
      <c r="O255" s="125"/>
      <c r="P255" s="173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</row>
    <row r="256" spans="1:26" ht="15.75" customHeight="1">
      <c r="A256" s="125"/>
      <c r="B256" s="125"/>
      <c r="C256" s="125"/>
      <c r="D256" s="125"/>
      <c r="E256" s="125"/>
      <c r="F256" s="126"/>
      <c r="G256" s="125"/>
      <c r="H256" s="125"/>
      <c r="I256" s="125"/>
      <c r="J256" s="125"/>
      <c r="K256" s="125"/>
      <c r="L256" s="125"/>
      <c r="M256" s="125"/>
      <c r="N256" s="129"/>
      <c r="O256" s="125"/>
      <c r="P256" s="173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</row>
    <row r="257" spans="1:26" ht="15.75" customHeight="1">
      <c r="A257" s="125"/>
      <c r="B257" s="125"/>
      <c r="C257" s="125"/>
      <c r="D257" s="125"/>
      <c r="E257" s="125"/>
      <c r="F257" s="126"/>
      <c r="G257" s="125"/>
      <c r="H257" s="125"/>
      <c r="I257" s="125"/>
      <c r="J257" s="125"/>
      <c r="K257" s="125"/>
      <c r="L257" s="125"/>
      <c r="M257" s="125"/>
      <c r="N257" s="129"/>
      <c r="O257" s="125"/>
      <c r="P257" s="173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</row>
    <row r="258" spans="1:26" ht="15.75" customHeight="1">
      <c r="A258" s="125"/>
      <c r="B258" s="125"/>
      <c r="C258" s="125"/>
      <c r="D258" s="125"/>
      <c r="E258" s="125"/>
      <c r="F258" s="126"/>
      <c r="G258" s="125"/>
      <c r="H258" s="125"/>
      <c r="I258" s="125"/>
      <c r="J258" s="125"/>
      <c r="K258" s="125"/>
      <c r="L258" s="125"/>
      <c r="M258" s="125"/>
      <c r="N258" s="129"/>
      <c r="O258" s="125"/>
      <c r="P258" s="173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</row>
    <row r="259" spans="1:26" ht="15.75" customHeight="1">
      <c r="A259" s="125"/>
      <c r="B259" s="125"/>
      <c r="C259" s="125"/>
      <c r="D259" s="125"/>
      <c r="E259" s="125"/>
      <c r="F259" s="126"/>
      <c r="G259" s="125"/>
      <c r="H259" s="125"/>
      <c r="I259" s="125"/>
      <c r="J259" s="125"/>
      <c r="K259" s="125"/>
      <c r="L259" s="125"/>
      <c r="M259" s="125"/>
      <c r="N259" s="129"/>
      <c r="O259" s="125"/>
      <c r="P259" s="173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</row>
    <row r="260" spans="1:26" ht="15.75" customHeight="1">
      <c r="A260" s="125"/>
      <c r="B260" s="125"/>
      <c r="C260" s="125"/>
      <c r="D260" s="125"/>
      <c r="E260" s="125"/>
      <c r="F260" s="126"/>
      <c r="G260" s="125"/>
      <c r="H260" s="125"/>
      <c r="I260" s="125"/>
      <c r="J260" s="125"/>
      <c r="K260" s="125"/>
      <c r="L260" s="125"/>
      <c r="M260" s="125"/>
      <c r="N260" s="129"/>
      <c r="O260" s="125"/>
      <c r="P260" s="173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</row>
    <row r="261" spans="1:26" ht="15.75" customHeight="1">
      <c r="A261" s="125"/>
      <c r="B261" s="125"/>
      <c r="C261" s="125"/>
      <c r="D261" s="125"/>
      <c r="E261" s="125"/>
      <c r="F261" s="126"/>
      <c r="G261" s="125"/>
      <c r="H261" s="125"/>
      <c r="I261" s="125"/>
      <c r="J261" s="125"/>
      <c r="K261" s="125"/>
      <c r="L261" s="125"/>
      <c r="M261" s="125"/>
      <c r="N261" s="129"/>
      <c r="O261" s="125"/>
      <c r="P261" s="173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</row>
    <row r="262" spans="1:26" ht="15.75" customHeight="1">
      <c r="A262" s="125"/>
      <c r="B262" s="125"/>
      <c r="C262" s="125"/>
      <c r="D262" s="125"/>
      <c r="E262" s="125"/>
      <c r="F262" s="126"/>
      <c r="G262" s="125"/>
      <c r="H262" s="125"/>
      <c r="I262" s="125"/>
      <c r="J262" s="125"/>
      <c r="K262" s="125"/>
      <c r="L262" s="125"/>
      <c r="M262" s="125"/>
      <c r="N262" s="129"/>
      <c r="O262" s="125"/>
      <c r="P262" s="173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</row>
    <row r="263" spans="1:26" ht="15.75" customHeight="1">
      <c r="A263" s="125"/>
      <c r="B263" s="125"/>
      <c r="C263" s="125"/>
      <c r="D263" s="125"/>
      <c r="E263" s="125"/>
      <c r="F263" s="126"/>
      <c r="G263" s="125"/>
      <c r="H263" s="125"/>
      <c r="I263" s="125"/>
      <c r="J263" s="125"/>
      <c r="K263" s="125"/>
      <c r="L263" s="125"/>
      <c r="M263" s="125"/>
      <c r="N263" s="129"/>
      <c r="O263" s="125"/>
      <c r="P263" s="173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</row>
    <row r="264" spans="1:26" ht="15.75" customHeight="1">
      <c r="A264" s="125"/>
      <c r="B264" s="125"/>
      <c r="C264" s="125"/>
      <c r="D264" s="125"/>
      <c r="E264" s="125"/>
      <c r="F264" s="126"/>
      <c r="G264" s="125"/>
      <c r="H264" s="125"/>
      <c r="I264" s="125"/>
      <c r="J264" s="125"/>
      <c r="K264" s="125"/>
      <c r="L264" s="125"/>
      <c r="M264" s="125"/>
      <c r="N264" s="129"/>
      <c r="O264" s="125"/>
      <c r="P264" s="173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</row>
    <row r="265" spans="1:26" ht="15.75" customHeight="1">
      <c r="A265" s="125"/>
      <c r="B265" s="125"/>
      <c r="C265" s="125"/>
      <c r="D265" s="125"/>
      <c r="E265" s="125"/>
      <c r="F265" s="126"/>
      <c r="G265" s="125"/>
      <c r="H265" s="125"/>
      <c r="I265" s="125"/>
      <c r="J265" s="125"/>
      <c r="K265" s="125"/>
      <c r="L265" s="125"/>
      <c r="M265" s="125"/>
      <c r="N265" s="129"/>
      <c r="O265" s="125"/>
      <c r="P265" s="173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</row>
    <row r="266" spans="1:26" ht="15.75" customHeight="1">
      <c r="A266" s="125"/>
      <c r="B266" s="125"/>
      <c r="C266" s="125"/>
      <c r="D266" s="125"/>
      <c r="E266" s="125"/>
      <c r="F266" s="126"/>
      <c r="G266" s="125"/>
      <c r="H266" s="125"/>
      <c r="I266" s="125"/>
      <c r="J266" s="125"/>
      <c r="K266" s="125"/>
      <c r="L266" s="125"/>
      <c r="M266" s="125"/>
      <c r="N266" s="129"/>
      <c r="O266" s="125"/>
      <c r="P266" s="173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</row>
    <row r="267" spans="1:26" ht="15.75" customHeight="1">
      <c r="A267" s="125"/>
      <c r="B267" s="125"/>
      <c r="C267" s="125"/>
      <c r="D267" s="125"/>
      <c r="E267" s="125"/>
      <c r="F267" s="126"/>
      <c r="G267" s="125"/>
      <c r="H267" s="125"/>
      <c r="I267" s="125"/>
      <c r="J267" s="125"/>
      <c r="K267" s="125"/>
      <c r="L267" s="125"/>
      <c r="M267" s="125"/>
      <c r="N267" s="129"/>
      <c r="O267" s="125"/>
      <c r="P267" s="173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</row>
    <row r="268" spans="1:26" ht="15.75" customHeight="1">
      <c r="A268" s="125"/>
      <c r="B268" s="125"/>
      <c r="C268" s="125"/>
      <c r="D268" s="125"/>
      <c r="E268" s="125"/>
      <c r="F268" s="126"/>
      <c r="G268" s="125"/>
      <c r="H268" s="125"/>
      <c r="I268" s="125"/>
      <c r="J268" s="125"/>
      <c r="K268" s="125"/>
      <c r="L268" s="125"/>
      <c r="M268" s="125"/>
      <c r="N268" s="129"/>
      <c r="O268" s="125"/>
      <c r="P268" s="173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</row>
    <row r="269" spans="1:26" ht="15.75" customHeight="1">
      <c r="A269" s="125"/>
      <c r="B269" s="125"/>
      <c r="C269" s="125"/>
      <c r="D269" s="125"/>
      <c r="E269" s="125"/>
      <c r="F269" s="126"/>
      <c r="G269" s="125"/>
      <c r="H269" s="125"/>
      <c r="I269" s="125"/>
      <c r="J269" s="125"/>
      <c r="K269" s="125"/>
      <c r="L269" s="125"/>
      <c r="M269" s="125"/>
      <c r="N269" s="129"/>
      <c r="O269" s="125"/>
      <c r="P269" s="173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</row>
    <row r="270" spans="1:26" ht="15.75" customHeight="1">
      <c r="A270" s="125"/>
      <c r="B270" s="125"/>
      <c r="C270" s="125"/>
      <c r="D270" s="125"/>
      <c r="E270" s="125"/>
      <c r="F270" s="126"/>
      <c r="G270" s="125"/>
      <c r="H270" s="125"/>
      <c r="I270" s="125"/>
      <c r="J270" s="125"/>
      <c r="K270" s="125"/>
      <c r="L270" s="125"/>
      <c r="M270" s="125"/>
      <c r="N270" s="129"/>
      <c r="O270" s="125"/>
      <c r="P270" s="173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</row>
    <row r="271" spans="1:26" ht="15.75" customHeight="1">
      <c r="A271" s="125"/>
      <c r="B271" s="125"/>
      <c r="C271" s="125"/>
      <c r="D271" s="125"/>
      <c r="E271" s="125"/>
      <c r="F271" s="126"/>
      <c r="G271" s="125"/>
      <c r="H271" s="125"/>
      <c r="I271" s="125"/>
      <c r="J271" s="125"/>
      <c r="K271" s="125"/>
      <c r="L271" s="125"/>
      <c r="M271" s="125"/>
      <c r="N271" s="129"/>
      <c r="O271" s="125"/>
      <c r="P271" s="173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</row>
    <row r="272" spans="1:26" ht="15.75" customHeight="1">
      <c r="A272" s="125"/>
      <c r="B272" s="125"/>
      <c r="C272" s="125"/>
      <c r="D272" s="125"/>
      <c r="E272" s="125"/>
      <c r="F272" s="126"/>
      <c r="G272" s="125"/>
      <c r="H272" s="125"/>
      <c r="I272" s="125"/>
      <c r="J272" s="125"/>
      <c r="K272" s="125"/>
      <c r="L272" s="125"/>
      <c r="M272" s="125"/>
      <c r="N272" s="129"/>
      <c r="O272" s="125"/>
      <c r="P272" s="173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</row>
    <row r="273" spans="1:26" ht="15.75" customHeight="1">
      <c r="A273" s="125"/>
      <c r="B273" s="125"/>
      <c r="C273" s="125"/>
      <c r="D273" s="125"/>
      <c r="E273" s="125"/>
      <c r="F273" s="126"/>
      <c r="G273" s="125"/>
      <c r="H273" s="125"/>
      <c r="I273" s="125"/>
      <c r="J273" s="125"/>
      <c r="K273" s="125"/>
      <c r="L273" s="125"/>
      <c r="M273" s="125"/>
      <c r="N273" s="129"/>
      <c r="O273" s="125"/>
      <c r="P273" s="173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</row>
    <row r="274" spans="1:26" ht="15.75" customHeight="1">
      <c r="A274" s="125"/>
      <c r="B274" s="125"/>
      <c r="C274" s="125"/>
      <c r="D274" s="125"/>
      <c r="E274" s="125"/>
      <c r="F274" s="126"/>
      <c r="G274" s="125"/>
      <c r="H274" s="125"/>
      <c r="I274" s="125"/>
      <c r="J274" s="125"/>
      <c r="K274" s="125"/>
      <c r="L274" s="125"/>
      <c r="M274" s="125"/>
      <c r="N274" s="129"/>
      <c r="O274" s="125"/>
      <c r="P274" s="173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</row>
    <row r="275" spans="1:26" ht="15.75" customHeight="1">
      <c r="A275" s="125"/>
      <c r="B275" s="125"/>
      <c r="C275" s="125"/>
      <c r="D275" s="125"/>
      <c r="E275" s="125"/>
      <c r="F275" s="126"/>
      <c r="G275" s="125"/>
      <c r="H275" s="125"/>
      <c r="I275" s="125"/>
      <c r="J275" s="125"/>
      <c r="K275" s="125"/>
      <c r="L275" s="125"/>
      <c r="M275" s="125"/>
      <c r="N275" s="129"/>
      <c r="O275" s="125"/>
      <c r="P275" s="173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</row>
    <row r="276" spans="1:26" ht="15.75" customHeight="1">
      <c r="A276" s="125"/>
      <c r="B276" s="125"/>
      <c r="C276" s="125"/>
      <c r="D276" s="125"/>
      <c r="E276" s="125"/>
      <c r="F276" s="126"/>
      <c r="G276" s="125"/>
      <c r="H276" s="125"/>
      <c r="I276" s="125"/>
      <c r="J276" s="125"/>
      <c r="K276" s="125"/>
      <c r="L276" s="125"/>
      <c r="M276" s="125"/>
      <c r="N276" s="129"/>
      <c r="O276" s="125"/>
      <c r="P276" s="173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</row>
    <row r="277" spans="1:26" ht="15.75" customHeight="1">
      <c r="A277" s="125"/>
      <c r="B277" s="125"/>
      <c r="C277" s="125"/>
      <c r="D277" s="125"/>
      <c r="E277" s="125"/>
      <c r="F277" s="126"/>
      <c r="G277" s="125"/>
      <c r="H277" s="125"/>
      <c r="I277" s="125"/>
      <c r="J277" s="125"/>
      <c r="K277" s="125"/>
      <c r="L277" s="125"/>
      <c r="M277" s="125"/>
      <c r="N277" s="129"/>
      <c r="O277" s="125"/>
      <c r="P277" s="173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</row>
    <row r="278" spans="1:26" ht="15.75" customHeight="1">
      <c r="A278" s="125"/>
      <c r="B278" s="125"/>
      <c r="C278" s="125"/>
      <c r="D278" s="125"/>
      <c r="E278" s="125"/>
      <c r="F278" s="126"/>
      <c r="G278" s="125"/>
      <c r="H278" s="125"/>
      <c r="I278" s="125"/>
      <c r="J278" s="125"/>
      <c r="K278" s="125"/>
      <c r="L278" s="125"/>
      <c r="M278" s="125"/>
      <c r="N278" s="129"/>
      <c r="O278" s="125"/>
      <c r="P278" s="173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</row>
    <row r="279" spans="1:26" ht="15.75" customHeight="1">
      <c r="A279" s="125"/>
      <c r="B279" s="125"/>
      <c r="C279" s="125"/>
      <c r="D279" s="125"/>
      <c r="E279" s="125"/>
      <c r="F279" s="126"/>
      <c r="G279" s="125"/>
      <c r="H279" s="125"/>
      <c r="I279" s="125"/>
      <c r="J279" s="125"/>
      <c r="K279" s="125"/>
      <c r="L279" s="125"/>
      <c r="M279" s="125"/>
      <c r="N279" s="129"/>
      <c r="O279" s="125"/>
      <c r="P279" s="173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</row>
    <row r="280" spans="1:26" ht="15.75" customHeight="1">
      <c r="A280" s="125"/>
      <c r="B280" s="125"/>
      <c r="C280" s="125"/>
      <c r="D280" s="125"/>
      <c r="E280" s="125"/>
      <c r="F280" s="126"/>
      <c r="G280" s="125"/>
      <c r="H280" s="125"/>
      <c r="I280" s="125"/>
      <c r="J280" s="125"/>
      <c r="K280" s="125"/>
      <c r="L280" s="125"/>
      <c r="M280" s="125"/>
      <c r="N280" s="129"/>
      <c r="O280" s="125"/>
      <c r="P280" s="173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</row>
    <row r="281" spans="1:26" ht="15.75" customHeight="1">
      <c r="A281" s="125"/>
      <c r="B281" s="125"/>
      <c r="C281" s="125"/>
      <c r="D281" s="125"/>
      <c r="E281" s="125"/>
      <c r="F281" s="126"/>
      <c r="G281" s="125"/>
      <c r="H281" s="125"/>
      <c r="I281" s="125"/>
      <c r="J281" s="125"/>
      <c r="K281" s="125"/>
      <c r="L281" s="125"/>
      <c r="M281" s="125"/>
      <c r="N281" s="129"/>
      <c r="O281" s="125"/>
      <c r="P281" s="173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</row>
    <row r="282" spans="1:26" ht="15.75" customHeight="1">
      <c r="A282" s="125"/>
      <c r="B282" s="125"/>
      <c r="C282" s="125"/>
      <c r="D282" s="125"/>
      <c r="E282" s="125"/>
      <c r="F282" s="126"/>
      <c r="G282" s="125"/>
      <c r="H282" s="125"/>
      <c r="I282" s="125"/>
      <c r="J282" s="125"/>
      <c r="K282" s="125"/>
      <c r="L282" s="125"/>
      <c r="M282" s="125"/>
      <c r="N282" s="129"/>
      <c r="O282" s="125"/>
      <c r="P282" s="173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</row>
    <row r="283" spans="1:26" ht="15.75" customHeight="1">
      <c r="A283" s="125"/>
      <c r="B283" s="125"/>
      <c r="C283" s="125"/>
      <c r="D283" s="125"/>
      <c r="E283" s="125"/>
      <c r="F283" s="126"/>
      <c r="G283" s="125"/>
      <c r="H283" s="125"/>
      <c r="I283" s="125"/>
      <c r="J283" s="125"/>
      <c r="K283" s="125"/>
      <c r="L283" s="125"/>
      <c r="M283" s="125"/>
      <c r="N283" s="129"/>
      <c r="O283" s="125"/>
      <c r="P283" s="173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</row>
    <row r="284" spans="1:26" ht="15.75" customHeight="1">
      <c r="A284" s="125"/>
      <c r="B284" s="125"/>
      <c r="C284" s="125"/>
      <c r="D284" s="125"/>
      <c r="E284" s="125"/>
      <c r="F284" s="126"/>
      <c r="G284" s="125"/>
      <c r="H284" s="125"/>
      <c r="I284" s="125"/>
      <c r="J284" s="125"/>
      <c r="K284" s="125"/>
      <c r="L284" s="125"/>
      <c r="M284" s="125"/>
      <c r="N284" s="129"/>
      <c r="O284" s="125"/>
      <c r="P284" s="173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</row>
    <row r="285" spans="1:26" ht="15.75" customHeight="1">
      <c r="A285" s="125"/>
      <c r="B285" s="125"/>
      <c r="C285" s="125"/>
      <c r="D285" s="125"/>
      <c r="E285" s="125"/>
      <c r="F285" s="126"/>
      <c r="G285" s="125"/>
      <c r="H285" s="125"/>
      <c r="I285" s="125"/>
      <c r="J285" s="125"/>
      <c r="K285" s="125"/>
      <c r="L285" s="125"/>
      <c r="M285" s="125"/>
      <c r="N285" s="129"/>
      <c r="O285" s="125"/>
      <c r="P285" s="173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</row>
    <row r="286" spans="1:26" ht="15.75" customHeight="1">
      <c r="A286" s="125"/>
      <c r="B286" s="125"/>
      <c r="C286" s="125"/>
      <c r="D286" s="125"/>
      <c r="E286" s="125"/>
      <c r="F286" s="126"/>
      <c r="G286" s="125"/>
      <c r="H286" s="125"/>
      <c r="I286" s="125"/>
      <c r="J286" s="125"/>
      <c r="K286" s="125"/>
      <c r="L286" s="125"/>
      <c r="M286" s="125"/>
      <c r="N286" s="129"/>
      <c r="O286" s="125"/>
      <c r="P286" s="173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</row>
    <row r="287" spans="1:26" ht="15.75" customHeight="1">
      <c r="A287" s="125"/>
      <c r="B287" s="125"/>
      <c r="C287" s="125"/>
      <c r="D287" s="125"/>
      <c r="E287" s="125"/>
      <c r="F287" s="126"/>
      <c r="G287" s="125"/>
      <c r="H287" s="125"/>
      <c r="I287" s="125"/>
      <c r="J287" s="125"/>
      <c r="K287" s="125"/>
      <c r="L287" s="125"/>
      <c r="M287" s="125"/>
      <c r="N287" s="129"/>
      <c r="O287" s="125"/>
      <c r="P287" s="173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</row>
    <row r="288" spans="1:26" ht="15.75" customHeight="1">
      <c r="A288" s="125"/>
      <c r="B288" s="125"/>
      <c r="C288" s="125"/>
      <c r="D288" s="125"/>
      <c r="E288" s="125"/>
      <c r="F288" s="126"/>
      <c r="G288" s="125"/>
      <c r="H288" s="125"/>
      <c r="I288" s="125"/>
      <c r="J288" s="125"/>
      <c r="K288" s="125"/>
      <c r="L288" s="125"/>
      <c r="M288" s="125"/>
      <c r="N288" s="129"/>
      <c r="O288" s="125"/>
      <c r="P288" s="173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</row>
    <row r="289" spans="1:26" ht="15.75" customHeight="1">
      <c r="A289" s="125"/>
      <c r="B289" s="125"/>
      <c r="C289" s="125"/>
      <c r="D289" s="125"/>
      <c r="E289" s="125"/>
      <c r="F289" s="126"/>
      <c r="G289" s="125"/>
      <c r="H289" s="125"/>
      <c r="I289" s="125"/>
      <c r="J289" s="125"/>
      <c r="K289" s="125"/>
      <c r="L289" s="125"/>
      <c r="M289" s="125"/>
      <c r="N289" s="129"/>
      <c r="O289" s="125"/>
      <c r="P289" s="173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</row>
    <row r="290" spans="1:26" ht="15.75" customHeight="1">
      <c r="A290" s="125"/>
      <c r="B290" s="125"/>
      <c r="C290" s="125"/>
      <c r="D290" s="125"/>
      <c r="E290" s="125"/>
      <c r="F290" s="126"/>
      <c r="G290" s="125"/>
      <c r="H290" s="125"/>
      <c r="I290" s="125"/>
      <c r="J290" s="125"/>
      <c r="K290" s="125"/>
      <c r="L290" s="125"/>
      <c r="M290" s="125"/>
      <c r="N290" s="129"/>
      <c r="O290" s="125"/>
      <c r="P290" s="173"/>
      <c r="Q290" s="125"/>
      <c r="R290" s="125"/>
      <c r="S290" s="125"/>
      <c r="T290" s="125"/>
      <c r="U290" s="125"/>
      <c r="V290" s="125"/>
      <c r="W290" s="125"/>
      <c r="X290" s="125"/>
      <c r="Y290" s="125"/>
      <c r="Z290" s="125"/>
    </row>
    <row r="291" spans="1:26" ht="15.75" customHeight="1">
      <c r="A291" s="125"/>
      <c r="B291" s="125"/>
      <c r="C291" s="125"/>
      <c r="D291" s="125"/>
      <c r="E291" s="125"/>
      <c r="F291" s="126"/>
      <c r="G291" s="125"/>
      <c r="H291" s="125"/>
      <c r="I291" s="125"/>
      <c r="J291" s="125"/>
      <c r="K291" s="125"/>
      <c r="L291" s="125"/>
      <c r="M291" s="125"/>
      <c r="N291" s="129"/>
      <c r="O291" s="125"/>
      <c r="P291" s="173"/>
      <c r="Q291" s="125"/>
      <c r="R291" s="125"/>
      <c r="S291" s="125"/>
      <c r="T291" s="125"/>
      <c r="U291" s="125"/>
      <c r="V291" s="125"/>
      <c r="W291" s="125"/>
      <c r="X291" s="125"/>
      <c r="Y291" s="125"/>
      <c r="Z291" s="125"/>
    </row>
    <row r="292" spans="1:26" ht="15.75" customHeight="1">
      <c r="A292" s="125"/>
      <c r="B292" s="125"/>
      <c r="C292" s="125"/>
      <c r="D292" s="125"/>
      <c r="E292" s="125"/>
      <c r="F292" s="126"/>
      <c r="G292" s="125"/>
      <c r="H292" s="125"/>
      <c r="I292" s="125"/>
      <c r="J292" s="125"/>
      <c r="K292" s="125"/>
      <c r="L292" s="125"/>
      <c r="M292" s="125"/>
      <c r="N292" s="129"/>
      <c r="O292" s="125"/>
      <c r="P292" s="173"/>
      <c r="Q292" s="125"/>
      <c r="R292" s="125"/>
      <c r="S292" s="125"/>
      <c r="T292" s="125"/>
      <c r="U292" s="125"/>
      <c r="V292" s="125"/>
      <c r="W292" s="125"/>
      <c r="X292" s="125"/>
      <c r="Y292" s="125"/>
      <c r="Z292" s="125"/>
    </row>
    <row r="293" spans="1:26" ht="15.75" customHeight="1">
      <c r="A293" s="125"/>
      <c r="B293" s="125"/>
      <c r="C293" s="125"/>
      <c r="D293" s="125"/>
      <c r="E293" s="125"/>
      <c r="F293" s="126"/>
      <c r="G293" s="125"/>
      <c r="H293" s="125"/>
      <c r="I293" s="125"/>
      <c r="J293" s="125"/>
      <c r="K293" s="125"/>
      <c r="L293" s="125"/>
      <c r="M293" s="125"/>
      <c r="N293" s="129"/>
      <c r="O293" s="125"/>
      <c r="P293" s="173"/>
      <c r="Q293" s="125"/>
      <c r="R293" s="125"/>
      <c r="S293" s="125"/>
      <c r="T293" s="125"/>
      <c r="U293" s="125"/>
      <c r="V293" s="125"/>
      <c r="W293" s="125"/>
      <c r="X293" s="125"/>
      <c r="Y293" s="125"/>
      <c r="Z293" s="125"/>
    </row>
    <row r="294" spans="1:26" ht="15.75" customHeight="1">
      <c r="A294" s="125"/>
      <c r="B294" s="125"/>
      <c r="C294" s="125"/>
      <c r="D294" s="125"/>
      <c r="E294" s="125"/>
      <c r="F294" s="126"/>
      <c r="G294" s="125"/>
      <c r="H294" s="125"/>
      <c r="I294" s="125"/>
      <c r="J294" s="125"/>
      <c r="K294" s="125"/>
      <c r="L294" s="125"/>
      <c r="M294" s="125"/>
      <c r="N294" s="129"/>
      <c r="O294" s="125"/>
      <c r="P294" s="173"/>
      <c r="Q294" s="125"/>
      <c r="R294" s="125"/>
      <c r="S294" s="125"/>
      <c r="T294" s="125"/>
      <c r="U294" s="125"/>
      <c r="V294" s="125"/>
      <c r="W294" s="125"/>
      <c r="X294" s="125"/>
      <c r="Y294" s="125"/>
      <c r="Z294" s="125"/>
    </row>
    <row r="295" spans="1:26" ht="15.75" customHeight="1">
      <c r="A295" s="125"/>
      <c r="B295" s="125"/>
      <c r="C295" s="125"/>
      <c r="D295" s="125"/>
      <c r="E295" s="125"/>
      <c r="F295" s="126"/>
      <c r="G295" s="125"/>
      <c r="H295" s="125"/>
      <c r="I295" s="125"/>
      <c r="J295" s="125"/>
      <c r="K295" s="125"/>
      <c r="L295" s="125"/>
      <c r="M295" s="125"/>
      <c r="N295" s="129"/>
      <c r="O295" s="125"/>
      <c r="P295" s="173"/>
      <c r="Q295" s="125"/>
      <c r="R295" s="125"/>
      <c r="S295" s="125"/>
      <c r="T295" s="125"/>
      <c r="U295" s="125"/>
      <c r="V295" s="125"/>
      <c r="W295" s="125"/>
      <c r="X295" s="125"/>
      <c r="Y295" s="125"/>
      <c r="Z295" s="125"/>
    </row>
    <row r="296" spans="1:26" ht="15.75" customHeight="1">
      <c r="A296" s="125"/>
      <c r="B296" s="125"/>
      <c r="C296" s="125"/>
      <c r="D296" s="125"/>
      <c r="E296" s="125"/>
      <c r="F296" s="126"/>
      <c r="G296" s="125"/>
      <c r="H296" s="125"/>
      <c r="I296" s="125"/>
      <c r="J296" s="125"/>
      <c r="K296" s="125"/>
      <c r="L296" s="125"/>
      <c r="M296" s="125"/>
      <c r="N296" s="129"/>
      <c r="O296" s="125"/>
      <c r="P296" s="173"/>
      <c r="Q296" s="125"/>
      <c r="R296" s="125"/>
      <c r="S296" s="125"/>
      <c r="T296" s="125"/>
      <c r="U296" s="125"/>
      <c r="V296" s="125"/>
      <c r="W296" s="125"/>
      <c r="X296" s="125"/>
      <c r="Y296" s="125"/>
      <c r="Z296" s="125"/>
    </row>
    <row r="297" spans="1:26" ht="15.75" customHeight="1">
      <c r="A297" s="125"/>
      <c r="B297" s="125"/>
      <c r="C297" s="125"/>
      <c r="D297" s="125"/>
      <c r="E297" s="125"/>
      <c r="F297" s="126"/>
      <c r="G297" s="125"/>
      <c r="H297" s="125"/>
      <c r="I297" s="125"/>
      <c r="J297" s="125"/>
      <c r="K297" s="125"/>
      <c r="L297" s="125"/>
      <c r="M297" s="125"/>
      <c r="N297" s="129"/>
      <c r="O297" s="125"/>
      <c r="P297" s="173"/>
      <c r="Q297" s="125"/>
      <c r="R297" s="125"/>
      <c r="S297" s="125"/>
      <c r="T297" s="125"/>
      <c r="U297" s="125"/>
      <c r="V297" s="125"/>
      <c r="W297" s="125"/>
      <c r="X297" s="125"/>
      <c r="Y297" s="125"/>
      <c r="Z297" s="125"/>
    </row>
    <row r="298" spans="1:26" ht="15.75" customHeight="1">
      <c r="A298" s="125"/>
      <c r="B298" s="125"/>
      <c r="C298" s="125"/>
      <c r="D298" s="125"/>
      <c r="E298" s="125"/>
      <c r="F298" s="126"/>
      <c r="G298" s="125"/>
      <c r="H298" s="125"/>
      <c r="I298" s="125"/>
      <c r="J298" s="125"/>
      <c r="K298" s="125"/>
      <c r="L298" s="125"/>
      <c r="M298" s="125"/>
      <c r="N298" s="129"/>
      <c r="O298" s="125"/>
      <c r="P298" s="173"/>
      <c r="Q298" s="125"/>
      <c r="R298" s="125"/>
      <c r="S298" s="125"/>
      <c r="T298" s="125"/>
      <c r="U298" s="125"/>
      <c r="V298" s="125"/>
      <c r="W298" s="125"/>
      <c r="X298" s="125"/>
      <c r="Y298" s="125"/>
      <c r="Z298" s="125"/>
    </row>
    <row r="299" spans="1:26" ht="15.75" customHeight="1">
      <c r="A299" s="125"/>
      <c r="B299" s="125"/>
      <c r="C299" s="125"/>
      <c r="D299" s="125"/>
      <c r="E299" s="125"/>
      <c r="F299" s="126"/>
      <c r="G299" s="125"/>
      <c r="H299" s="125"/>
      <c r="I299" s="125"/>
      <c r="J299" s="125"/>
      <c r="K299" s="125"/>
      <c r="L299" s="125"/>
      <c r="M299" s="125"/>
      <c r="N299" s="129"/>
      <c r="O299" s="125"/>
      <c r="P299" s="173"/>
      <c r="Q299" s="125"/>
      <c r="R299" s="125"/>
      <c r="S299" s="125"/>
      <c r="T299" s="125"/>
      <c r="U299" s="125"/>
      <c r="V299" s="125"/>
      <c r="W299" s="125"/>
      <c r="X299" s="125"/>
      <c r="Y299" s="125"/>
      <c r="Z299" s="125"/>
    </row>
    <row r="300" spans="1:26" ht="15.75" customHeight="1">
      <c r="A300" s="125"/>
      <c r="B300" s="125"/>
      <c r="C300" s="125"/>
      <c r="D300" s="125"/>
      <c r="E300" s="125"/>
      <c r="F300" s="126"/>
      <c r="G300" s="125"/>
      <c r="H300" s="125"/>
      <c r="I300" s="125"/>
      <c r="J300" s="125"/>
      <c r="K300" s="125"/>
      <c r="L300" s="125"/>
      <c r="M300" s="125"/>
      <c r="N300" s="129"/>
      <c r="O300" s="125"/>
      <c r="P300" s="173"/>
      <c r="Q300" s="125"/>
      <c r="R300" s="125"/>
      <c r="S300" s="125"/>
      <c r="T300" s="125"/>
      <c r="U300" s="125"/>
      <c r="V300" s="125"/>
      <c r="W300" s="125"/>
      <c r="X300" s="125"/>
      <c r="Y300" s="125"/>
      <c r="Z300" s="125"/>
    </row>
    <row r="301" spans="1:26" ht="15.75" customHeight="1">
      <c r="A301" s="125"/>
      <c r="B301" s="125"/>
      <c r="C301" s="125"/>
      <c r="D301" s="125"/>
      <c r="E301" s="125"/>
      <c r="F301" s="126"/>
      <c r="G301" s="125"/>
      <c r="H301" s="125"/>
      <c r="I301" s="125"/>
      <c r="J301" s="125"/>
      <c r="K301" s="125"/>
      <c r="L301" s="125"/>
      <c r="M301" s="125"/>
      <c r="N301" s="129"/>
      <c r="O301" s="125"/>
      <c r="P301" s="173"/>
      <c r="Q301" s="125"/>
      <c r="R301" s="125"/>
      <c r="S301" s="125"/>
      <c r="T301" s="125"/>
      <c r="U301" s="125"/>
      <c r="V301" s="125"/>
      <c r="W301" s="125"/>
      <c r="X301" s="125"/>
      <c r="Y301" s="125"/>
      <c r="Z301" s="125"/>
    </row>
    <row r="302" spans="1:26" ht="15.75" customHeight="1">
      <c r="A302" s="125"/>
      <c r="B302" s="125"/>
      <c r="C302" s="125"/>
      <c r="D302" s="125"/>
      <c r="E302" s="125"/>
      <c r="F302" s="126"/>
      <c r="G302" s="125"/>
      <c r="H302" s="125"/>
      <c r="I302" s="125"/>
      <c r="J302" s="125"/>
      <c r="K302" s="125"/>
      <c r="L302" s="125"/>
      <c r="M302" s="125"/>
      <c r="N302" s="129"/>
      <c r="O302" s="125"/>
      <c r="P302" s="173"/>
      <c r="Q302" s="125"/>
      <c r="R302" s="125"/>
      <c r="S302" s="125"/>
      <c r="T302" s="125"/>
      <c r="U302" s="125"/>
      <c r="V302" s="125"/>
      <c r="W302" s="125"/>
      <c r="X302" s="125"/>
      <c r="Y302" s="125"/>
      <c r="Z302" s="125"/>
    </row>
    <row r="303" spans="1:26" ht="15.75" customHeight="1">
      <c r="A303" s="125"/>
      <c r="B303" s="125"/>
      <c r="C303" s="125"/>
      <c r="D303" s="125"/>
      <c r="E303" s="125"/>
      <c r="F303" s="126"/>
      <c r="G303" s="125"/>
      <c r="H303" s="125"/>
      <c r="I303" s="125"/>
      <c r="J303" s="125"/>
      <c r="K303" s="125"/>
      <c r="L303" s="125"/>
      <c r="M303" s="125"/>
      <c r="N303" s="129"/>
      <c r="O303" s="125"/>
      <c r="P303" s="173"/>
      <c r="Q303" s="125"/>
      <c r="R303" s="125"/>
      <c r="S303" s="125"/>
      <c r="T303" s="125"/>
      <c r="U303" s="125"/>
      <c r="V303" s="125"/>
      <c r="W303" s="125"/>
      <c r="X303" s="125"/>
      <c r="Y303" s="125"/>
      <c r="Z303" s="125"/>
    </row>
    <row r="304" spans="1:26" ht="15.75" customHeight="1">
      <c r="A304" s="125"/>
      <c r="B304" s="125"/>
      <c r="C304" s="125"/>
      <c r="D304" s="125"/>
      <c r="E304" s="125"/>
      <c r="F304" s="126"/>
      <c r="G304" s="125"/>
      <c r="H304" s="125"/>
      <c r="I304" s="125"/>
      <c r="J304" s="125"/>
      <c r="K304" s="125"/>
      <c r="L304" s="125"/>
      <c r="M304" s="125"/>
      <c r="N304" s="129"/>
      <c r="O304" s="125"/>
      <c r="P304" s="173"/>
      <c r="Q304" s="125"/>
      <c r="R304" s="125"/>
      <c r="S304" s="125"/>
      <c r="T304" s="125"/>
      <c r="U304" s="125"/>
      <c r="V304" s="125"/>
      <c r="W304" s="125"/>
      <c r="X304" s="125"/>
      <c r="Y304" s="125"/>
      <c r="Z304" s="125"/>
    </row>
    <row r="305" spans="1:26" ht="15.75" customHeight="1">
      <c r="A305" s="125"/>
      <c r="B305" s="125"/>
      <c r="C305" s="125"/>
      <c r="D305" s="125"/>
      <c r="E305" s="125"/>
      <c r="F305" s="126"/>
      <c r="G305" s="125"/>
      <c r="H305" s="125"/>
      <c r="I305" s="125"/>
      <c r="J305" s="125"/>
      <c r="K305" s="125"/>
      <c r="L305" s="125"/>
      <c r="M305" s="125"/>
      <c r="N305" s="129"/>
      <c r="O305" s="125"/>
      <c r="P305" s="173"/>
      <c r="Q305" s="125"/>
      <c r="R305" s="125"/>
      <c r="S305" s="125"/>
      <c r="T305" s="125"/>
      <c r="U305" s="125"/>
      <c r="V305" s="125"/>
      <c r="W305" s="125"/>
      <c r="X305" s="125"/>
      <c r="Y305" s="125"/>
      <c r="Z305" s="125"/>
    </row>
    <row r="306" spans="1:26" ht="15.75" customHeight="1">
      <c r="A306" s="125"/>
      <c r="B306" s="125"/>
      <c r="C306" s="125"/>
      <c r="D306" s="125"/>
      <c r="E306" s="125"/>
      <c r="F306" s="126"/>
      <c r="G306" s="125"/>
      <c r="H306" s="125"/>
      <c r="I306" s="125"/>
      <c r="J306" s="125"/>
      <c r="K306" s="125"/>
      <c r="L306" s="125"/>
      <c r="M306" s="125"/>
      <c r="N306" s="129"/>
      <c r="O306" s="125"/>
      <c r="P306" s="173"/>
      <c r="Q306" s="125"/>
      <c r="R306" s="125"/>
      <c r="S306" s="125"/>
      <c r="T306" s="125"/>
      <c r="U306" s="125"/>
      <c r="V306" s="125"/>
      <c r="W306" s="125"/>
      <c r="X306" s="125"/>
      <c r="Y306" s="125"/>
      <c r="Z306" s="125"/>
    </row>
    <row r="307" spans="1:26" ht="15.75" customHeight="1">
      <c r="A307" s="125"/>
      <c r="B307" s="125"/>
      <c r="C307" s="125"/>
      <c r="D307" s="125"/>
      <c r="E307" s="125"/>
      <c r="F307" s="126"/>
      <c r="G307" s="125"/>
      <c r="H307" s="125"/>
      <c r="I307" s="125"/>
      <c r="J307" s="125"/>
      <c r="K307" s="125"/>
      <c r="L307" s="125"/>
      <c r="M307" s="125"/>
      <c r="N307" s="129"/>
      <c r="O307" s="125"/>
      <c r="P307" s="173"/>
      <c r="Q307" s="125"/>
      <c r="R307" s="125"/>
      <c r="S307" s="125"/>
      <c r="T307" s="125"/>
      <c r="U307" s="125"/>
      <c r="V307" s="125"/>
      <c r="W307" s="125"/>
      <c r="X307" s="125"/>
      <c r="Y307" s="125"/>
      <c r="Z307" s="125"/>
    </row>
    <row r="308" spans="1:26" ht="15.75" customHeight="1">
      <c r="A308" s="125"/>
      <c r="B308" s="125"/>
      <c r="C308" s="125"/>
      <c r="D308" s="125"/>
      <c r="E308" s="125"/>
      <c r="F308" s="126"/>
      <c r="G308" s="125"/>
      <c r="H308" s="125"/>
      <c r="I308" s="125"/>
      <c r="J308" s="125"/>
      <c r="K308" s="125"/>
      <c r="L308" s="125"/>
      <c r="M308" s="125"/>
      <c r="N308" s="129"/>
      <c r="O308" s="125"/>
      <c r="P308" s="173"/>
      <c r="Q308" s="125"/>
      <c r="R308" s="125"/>
      <c r="S308" s="125"/>
      <c r="T308" s="125"/>
      <c r="U308" s="125"/>
      <c r="V308" s="125"/>
      <c r="W308" s="125"/>
      <c r="X308" s="125"/>
      <c r="Y308" s="125"/>
      <c r="Z308" s="125"/>
    </row>
    <row r="309" spans="1:26" ht="15.75" customHeight="1">
      <c r="A309" s="125"/>
      <c r="B309" s="125"/>
      <c r="C309" s="125"/>
      <c r="D309" s="125"/>
      <c r="E309" s="125"/>
      <c r="F309" s="126"/>
      <c r="G309" s="125"/>
      <c r="H309" s="125"/>
      <c r="I309" s="125"/>
      <c r="J309" s="125"/>
      <c r="K309" s="125"/>
      <c r="L309" s="125"/>
      <c r="M309" s="125"/>
      <c r="N309" s="129"/>
      <c r="O309" s="125"/>
      <c r="P309" s="173"/>
      <c r="Q309" s="125"/>
      <c r="R309" s="125"/>
      <c r="S309" s="125"/>
      <c r="T309" s="125"/>
      <c r="U309" s="125"/>
      <c r="V309" s="125"/>
      <c r="W309" s="125"/>
      <c r="X309" s="125"/>
      <c r="Y309" s="125"/>
      <c r="Z309" s="125"/>
    </row>
    <row r="310" spans="1:26" ht="15.75" customHeight="1">
      <c r="A310" s="125"/>
      <c r="B310" s="125"/>
      <c r="C310" s="125"/>
      <c r="D310" s="125"/>
      <c r="E310" s="125"/>
      <c r="F310" s="126"/>
      <c r="G310" s="125"/>
      <c r="H310" s="125"/>
      <c r="I310" s="125"/>
      <c r="J310" s="125"/>
      <c r="K310" s="125"/>
      <c r="L310" s="125"/>
      <c r="M310" s="125"/>
      <c r="N310" s="129"/>
      <c r="O310" s="125"/>
      <c r="P310" s="173"/>
      <c r="Q310" s="125"/>
      <c r="R310" s="125"/>
      <c r="S310" s="125"/>
      <c r="T310" s="125"/>
      <c r="U310" s="125"/>
      <c r="V310" s="125"/>
      <c r="W310" s="125"/>
      <c r="X310" s="125"/>
      <c r="Y310" s="125"/>
      <c r="Z310" s="125"/>
    </row>
    <row r="311" spans="1:26" ht="15.75" customHeight="1">
      <c r="A311" s="125"/>
      <c r="B311" s="125"/>
      <c r="C311" s="125"/>
      <c r="D311" s="125"/>
      <c r="E311" s="125"/>
      <c r="F311" s="126"/>
      <c r="G311" s="125"/>
      <c r="H311" s="125"/>
      <c r="I311" s="125"/>
      <c r="J311" s="125"/>
      <c r="K311" s="125"/>
      <c r="L311" s="125"/>
      <c r="M311" s="125"/>
      <c r="N311" s="129"/>
      <c r="O311" s="125"/>
      <c r="P311" s="173"/>
      <c r="Q311" s="125"/>
      <c r="R311" s="125"/>
      <c r="S311" s="125"/>
      <c r="T311" s="125"/>
      <c r="U311" s="125"/>
      <c r="V311" s="125"/>
      <c r="W311" s="125"/>
      <c r="X311" s="125"/>
      <c r="Y311" s="125"/>
      <c r="Z311" s="125"/>
    </row>
    <row r="312" spans="1:26" ht="15.75" customHeight="1">
      <c r="A312" s="125"/>
      <c r="B312" s="125"/>
      <c r="C312" s="125"/>
      <c r="D312" s="125"/>
      <c r="E312" s="125"/>
      <c r="F312" s="126"/>
      <c r="G312" s="125"/>
      <c r="H312" s="125"/>
      <c r="I312" s="125"/>
      <c r="J312" s="125"/>
      <c r="K312" s="125"/>
      <c r="L312" s="125"/>
      <c r="M312" s="125"/>
      <c r="N312" s="129"/>
      <c r="O312" s="125"/>
      <c r="P312" s="173"/>
      <c r="Q312" s="125"/>
      <c r="R312" s="125"/>
      <c r="S312" s="125"/>
      <c r="T312" s="125"/>
      <c r="U312" s="125"/>
      <c r="V312" s="125"/>
      <c r="W312" s="125"/>
      <c r="X312" s="125"/>
      <c r="Y312" s="125"/>
      <c r="Z312" s="125"/>
    </row>
    <row r="313" spans="1:26" ht="15.75" customHeight="1">
      <c r="A313" s="125"/>
      <c r="B313" s="125"/>
      <c r="C313" s="125"/>
      <c r="D313" s="125"/>
      <c r="E313" s="125"/>
      <c r="F313" s="126"/>
      <c r="G313" s="125"/>
      <c r="H313" s="125"/>
      <c r="I313" s="125"/>
      <c r="J313" s="125"/>
      <c r="K313" s="125"/>
      <c r="L313" s="125"/>
      <c r="M313" s="125"/>
      <c r="N313" s="129"/>
      <c r="O313" s="125"/>
      <c r="P313" s="173"/>
      <c r="Q313" s="125"/>
      <c r="R313" s="125"/>
      <c r="S313" s="125"/>
      <c r="T313" s="125"/>
      <c r="U313" s="125"/>
      <c r="V313" s="125"/>
      <c r="W313" s="125"/>
      <c r="X313" s="125"/>
      <c r="Y313" s="125"/>
      <c r="Z313" s="125"/>
    </row>
    <row r="314" spans="1:26" ht="15.75" customHeight="1">
      <c r="A314" s="125"/>
      <c r="B314" s="125"/>
      <c r="C314" s="125"/>
      <c r="D314" s="125"/>
      <c r="E314" s="125"/>
      <c r="F314" s="126"/>
      <c r="G314" s="125"/>
      <c r="H314" s="125"/>
      <c r="I314" s="125"/>
      <c r="J314" s="125"/>
      <c r="K314" s="125"/>
      <c r="L314" s="125"/>
      <c r="M314" s="125"/>
      <c r="N314" s="129"/>
      <c r="O314" s="125"/>
      <c r="P314" s="173"/>
      <c r="Q314" s="125"/>
      <c r="R314" s="125"/>
      <c r="S314" s="125"/>
      <c r="T314" s="125"/>
      <c r="U314" s="125"/>
      <c r="V314" s="125"/>
      <c r="W314" s="125"/>
      <c r="X314" s="125"/>
      <c r="Y314" s="125"/>
      <c r="Z314" s="125"/>
    </row>
    <row r="315" spans="1:26" ht="15.75" customHeight="1">
      <c r="A315" s="125"/>
      <c r="B315" s="125"/>
      <c r="C315" s="125"/>
      <c r="D315" s="125"/>
      <c r="E315" s="125"/>
      <c r="F315" s="126"/>
      <c r="G315" s="125"/>
      <c r="H315" s="125"/>
      <c r="I315" s="125"/>
      <c r="J315" s="125"/>
      <c r="K315" s="125"/>
      <c r="L315" s="125"/>
      <c r="M315" s="125"/>
      <c r="N315" s="129"/>
      <c r="O315" s="125"/>
      <c r="P315" s="173"/>
      <c r="Q315" s="125"/>
      <c r="R315" s="125"/>
      <c r="S315" s="125"/>
      <c r="T315" s="125"/>
      <c r="U315" s="125"/>
      <c r="V315" s="125"/>
      <c r="W315" s="125"/>
      <c r="X315" s="125"/>
      <c r="Y315" s="125"/>
      <c r="Z315" s="125"/>
    </row>
    <row r="316" spans="1:26" ht="15.75" customHeight="1">
      <c r="A316" s="125"/>
      <c r="B316" s="125"/>
      <c r="C316" s="125"/>
      <c r="D316" s="125"/>
      <c r="E316" s="125"/>
      <c r="F316" s="126"/>
      <c r="G316" s="125"/>
      <c r="H316" s="125"/>
      <c r="I316" s="125"/>
      <c r="J316" s="125"/>
      <c r="K316" s="125"/>
      <c r="L316" s="125"/>
      <c r="M316" s="125"/>
      <c r="N316" s="129"/>
      <c r="O316" s="125"/>
      <c r="P316" s="173"/>
      <c r="Q316" s="125"/>
      <c r="R316" s="125"/>
      <c r="S316" s="125"/>
      <c r="T316" s="125"/>
      <c r="U316" s="125"/>
      <c r="V316" s="125"/>
      <c r="W316" s="125"/>
      <c r="X316" s="125"/>
      <c r="Y316" s="125"/>
      <c r="Z316" s="125"/>
    </row>
    <row r="317" spans="1:26" ht="15.75" customHeight="1">
      <c r="A317" s="125"/>
      <c r="B317" s="125"/>
      <c r="C317" s="125"/>
      <c r="D317" s="125"/>
      <c r="E317" s="125"/>
      <c r="F317" s="126"/>
      <c r="G317" s="125"/>
      <c r="H317" s="125"/>
      <c r="I317" s="125"/>
      <c r="J317" s="125"/>
      <c r="K317" s="125"/>
      <c r="L317" s="125"/>
      <c r="M317" s="125"/>
      <c r="N317" s="129"/>
      <c r="O317" s="125"/>
      <c r="P317" s="173"/>
      <c r="Q317" s="125"/>
      <c r="R317" s="125"/>
      <c r="S317" s="125"/>
      <c r="T317" s="125"/>
      <c r="U317" s="125"/>
      <c r="V317" s="125"/>
      <c r="W317" s="125"/>
      <c r="X317" s="125"/>
      <c r="Y317" s="125"/>
      <c r="Z317" s="125"/>
    </row>
    <row r="318" spans="1:26" ht="15.75" customHeight="1">
      <c r="A318" s="125"/>
      <c r="B318" s="125"/>
      <c r="C318" s="125"/>
      <c r="D318" s="125"/>
      <c r="E318" s="125"/>
      <c r="F318" s="126"/>
      <c r="G318" s="125"/>
      <c r="H318" s="125"/>
      <c r="I318" s="125"/>
      <c r="J318" s="125"/>
      <c r="K318" s="125"/>
      <c r="L318" s="125"/>
      <c r="M318" s="125"/>
      <c r="N318" s="129"/>
      <c r="O318" s="125"/>
      <c r="P318" s="173"/>
      <c r="Q318" s="125"/>
      <c r="R318" s="125"/>
      <c r="S318" s="125"/>
      <c r="T318" s="125"/>
      <c r="U318" s="125"/>
      <c r="V318" s="125"/>
      <c r="W318" s="125"/>
      <c r="X318" s="125"/>
      <c r="Y318" s="125"/>
      <c r="Z318" s="125"/>
    </row>
    <row r="319" spans="1:26" ht="15.75" customHeight="1">
      <c r="A319" s="125"/>
      <c r="B319" s="125"/>
      <c r="C319" s="125"/>
      <c r="D319" s="125"/>
      <c r="E319" s="125"/>
      <c r="F319" s="126"/>
      <c r="G319" s="125"/>
      <c r="H319" s="125"/>
      <c r="I319" s="125"/>
      <c r="J319" s="125"/>
      <c r="K319" s="125"/>
      <c r="L319" s="125"/>
      <c r="M319" s="125"/>
      <c r="N319" s="129"/>
      <c r="O319" s="125"/>
      <c r="P319" s="173"/>
      <c r="Q319" s="125"/>
      <c r="R319" s="125"/>
      <c r="S319" s="125"/>
      <c r="T319" s="125"/>
      <c r="U319" s="125"/>
      <c r="V319" s="125"/>
      <c r="W319" s="125"/>
      <c r="X319" s="125"/>
      <c r="Y319" s="125"/>
      <c r="Z319" s="125"/>
    </row>
    <row r="320" spans="1:26" ht="15.75" customHeight="1">
      <c r="A320" s="125"/>
      <c r="B320" s="125"/>
      <c r="C320" s="125"/>
      <c r="D320" s="125"/>
      <c r="E320" s="125"/>
      <c r="F320" s="126"/>
      <c r="G320" s="125"/>
      <c r="H320" s="125"/>
      <c r="I320" s="125"/>
      <c r="J320" s="125"/>
      <c r="K320" s="125"/>
      <c r="L320" s="125"/>
      <c r="M320" s="125"/>
      <c r="N320" s="129"/>
      <c r="O320" s="125"/>
      <c r="P320" s="173"/>
      <c r="Q320" s="125"/>
      <c r="R320" s="125"/>
      <c r="S320" s="125"/>
      <c r="T320" s="125"/>
      <c r="U320" s="125"/>
      <c r="V320" s="125"/>
      <c r="W320" s="125"/>
      <c r="X320" s="125"/>
      <c r="Y320" s="125"/>
      <c r="Z320" s="125"/>
    </row>
    <row r="321" spans="1:26" ht="15.75" customHeight="1">
      <c r="A321" s="125"/>
      <c r="B321" s="125"/>
      <c r="C321" s="125"/>
      <c r="D321" s="125"/>
      <c r="E321" s="125"/>
      <c r="F321" s="126"/>
      <c r="G321" s="125"/>
      <c r="H321" s="125"/>
      <c r="I321" s="125"/>
      <c r="J321" s="125"/>
      <c r="K321" s="125"/>
      <c r="L321" s="125"/>
      <c r="M321" s="125"/>
      <c r="N321" s="129"/>
      <c r="O321" s="125"/>
      <c r="P321" s="173"/>
      <c r="Q321" s="125"/>
      <c r="R321" s="125"/>
      <c r="S321" s="125"/>
      <c r="T321" s="125"/>
      <c r="U321" s="125"/>
      <c r="V321" s="125"/>
      <c r="W321" s="125"/>
      <c r="X321" s="125"/>
      <c r="Y321" s="125"/>
      <c r="Z321" s="125"/>
    </row>
    <row r="322" spans="1:26" ht="15.75" customHeight="1">
      <c r="A322" s="125"/>
      <c r="B322" s="125"/>
      <c r="C322" s="125"/>
      <c r="D322" s="125"/>
      <c r="E322" s="125"/>
      <c r="F322" s="126"/>
      <c r="G322" s="125"/>
      <c r="H322" s="125"/>
      <c r="I322" s="125"/>
      <c r="J322" s="125"/>
      <c r="K322" s="125"/>
      <c r="L322" s="125"/>
      <c r="M322" s="125"/>
      <c r="N322" s="129"/>
      <c r="O322" s="125"/>
      <c r="P322" s="173"/>
      <c r="Q322" s="125"/>
      <c r="R322" s="125"/>
      <c r="S322" s="125"/>
      <c r="T322" s="125"/>
      <c r="U322" s="125"/>
      <c r="V322" s="125"/>
      <c r="W322" s="125"/>
      <c r="X322" s="125"/>
      <c r="Y322" s="125"/>
      <c r="Z322" s="125"/>
    </row>
    <row r="323" spans="1:26" ht="15.75" customHeight="1">
      <c r="A323" s="125"/>
      <c r="B323" s="125"/>
      <c r="C323" s="125"/>
      <c r="D323" s="125"/>
      <c r="E323" s="125"/>
      <c r="F323" s="126"/>
      <c r="G323" s="125"/>
      <c r="H323" s="125"/>
      <c r="I323" s="125"/>
      <c r="J323" s="125"/>
      <c r="K323" s="125"/>
      <c r="L323" s="125"/>
      <c r="M323" s="125"/>
      <c r="N323" s="129"/>
      <c r="O323" s="125"/>
      <c r="P323" s="173"/>
      <c r="Q323" s="125"/>
      <c r="R323" s="125"/>
      <c r="S323" s="125"/>
      <c r="T323" s="125"/>
      <c r="U323" s="125"/>
      <c r="V323" s="125"/>
      <c r="W323" s="125"/>
      <c r="X323" s="125"/>
      <c r="Y323" s="125"/>
      <c r="Z323" s="125"/>
    </row>
    <row r="324" spans="1:26" ht="15.75" customHeight="1">
      <c r="A324" s="125"/>
      <c r="B324" s="125"/>
      <c r="C324" s="125"/>
      <c r="D324" s="125"/>
      <c r="E324" s="125"/>
      <c r="F324" s="126"/>
      <c r="G324" s="125"/>
      <c r="H324" s="125"/>
      <c r="I324" s="125"/>
      <c r="J324" s="125"/>
      <c r="K324" s="125"/>
      <c r="L324" s="125"/>
      <c r="M324" s="125"/>
      <c r="N324" s="129"/>
      <c r="O324" s="125"/>
      <c r="P324" s="173"/>
      <c r="Q324" s="125"/>
      <c r="R324" s="125"/>
      <c r="S324" s="125"/>
      <c r="T324" s="125"/>
      <c r="U324" s="125"/>
      <c r="V324" s="125"/>
      <c r="W324" s="125"/>
      <c r="X324" s="125"/>
      <c r="Y324" s="125"/>
      <c r="Z324" s="125"/>
    </row>
    <row r="325" spans="1:26" ht="15.75" customHeight="1">
      <c r="A325" s="125"/>
      <c r="B325" s="125"/>
      <c r="C325" s="125"/>
      <c r="D325" s="125"/>
      <c r="E325" s="125"/>
      <c r="F325" s="126"/>
      <c r="G325" s="125"/>
      <c r="H325" s="125"/>
      <c r="I325" s="125"/>
      <c r="J325" s="125"/>
      <c r="K325" s="125"/>
      <c r="L325" s="125"/>
      <c r="M325" s="125"/>
      <c r="N325" s="129"/>
      <c r="O325" s="125"/>
      <c r="P325" s="173"/>
      <c r="Q325" s="125"/>
      <c r="R325" s="125"/>
      <c r="S325" s="125"/>
      <c r="T325" s="125"/>
      <c r="U325" s="125"/>
      <c r="V325" s="125"/>
      <c r="W325" s="125"/>
      <c r="X325" s="125"/>
      <c r="Y325" s="125"/>
      <c r="Z325" s="125"/>
    </row>
    <row r="326" spans="1:26" ht="15.75" customHeight="1">
      <c r="A326" s="125"/>
      <c r="B326" s="125"/>
      <c r="C326" s="125"/>
      <c r="D326" s="125"/>
      <c r="E326" s="125"/>
      <c r="F326" s="126"/>
      <c r="G326" s="125"/>
      <c r="H326" s="125"/>
      <c r="I326" s="125"/>
      <c r="J326" s="125"/>
      <c r="K326" s="125"/>
      <c r="L326" s="125"/>
      <c r="M326" s="125"/>
      <c r="N326" s="129"/>
      <c r="O326" s="125"/>
      <c r="P326" s="173"/>
      <c r="Q326" s="125"/>
      <c r="R326" s="125"/>
      <c r="S326" s="125"/>
      <c r="T326" s="125"/>
      <c r="U326" s="125"/>
      <c r="V326" s="125"/>
      <c r="W326" s="125"/>
      <c r="X326" s="125"/>
      <c r="Y326" s="125"/>
      <c r="Z326" s="125"/>
    </row>
    <row r="327" spans="1:26" ht="15.75" customHeight="1">
      <c r="A327" s="125"/>
      <c r="B327" s="125"/>
      <c r="C327" s="125"/>
      <c r="D327" s="125"/>
      <c r="E327" s="125"/>
      <c r="F327" s="126"/>
      <c r="G327" s="125"/>
      <c r="H327" s="125"/>
      <c r="I327" s="125"/>
      <c r="J327" s="125"/>
      <c r="K327" s="125"/>
      <c r="L327" s="125"/>
      <c r="M327" s="125"/>
      <c r="N327" s="129"/>
      <c r="O327" s="125"/>
      <c r="P327" s="173"/>
      <c r="Q327" s="125"/>
      <c r="R327" s="125"/>
      <c r="S327" s="125"/>
      <c r="T327" s="125"/>
      <c r="U327" s="125"/>
      <c r="V327" s="125"/>
      <c r="W327" s="125"/>
      <c r="X327" s="125"/>
      <c r="Y327" s="125"/>
      <c r="Z327" s="125"/>
    </row>
    <row r="328" spans="1:26" ht="15.75" customHeight="1">
      <c r="A328" s="125"/>
      <c r="B328" s="125"/>
      <c r="C328" s="125"/>
      <c r="D328" s="125"/>
      <c r="E328" s="125"/>
      <c r="F328" s="126"/>
      <c r="G328" s="125"/>
      <c r="H328" s="125"/>
      <c r="I328" s="125"/>
      <c r="J328" s="125"/>
      <c r="K328" s="125"/>
      <c r="L328" s="125"/>
      <c r="M328" s="125"/>
      <c r="N328" s="129"/>
      <c r="O328" s="125"/>
      <c r="P328" s="173"/>
      <c r="Q328" s="125"/>
      <c r="R328" s="125"/>
      <c r="S328" s="125"/>
      <c r="T328" s="125"/>
      <c r="U328" s="125"/>
      <c r="V328" s="125"/>
      <c r="W328" s="125"/>
      <c r="X328" s="125"/>
      <c r="Y328" s="125"/>
      <c r="Z328" s="125"/>
    </row>
    <row r="329" spans="1:26" ht="15.75" customHeight="1">
      <c r="A329" s="125"/>
      <c r="B329" s="125"/>
      <c r="C329" s="125"/>
      <c r="D329" s="125"/>
      <c r="E329" s="125"/>
      <c r="F329" s="126"/>
      <c r="G329" s="125"/>
      <c r="H329" s="125"/>
      <c r="I329" s="125"/>
      <c r="J329" s="125"/>
      <c r="K329" s="125"/>
      <c r="L329" s="125"/>
      <c r="M329" s="125"/>
      <c r="N329" s="129"/>
      <c r="O329" s="125"/>
      <c r="P329" s="173"/>
      <c r="Q329" s="125"/>
      <c r="R329" s="125"/>
      <c r="S329" s="125"/>
      <c r="T329" s="125"/>
      <c r="U329" s="125"/>
      <c r="V329" s="125"/>
      <c r="W329" s="125"/>
      <c r="X329" s="125"/>
      <c r="Y329" s="125"/>
      <c r="Z329" s="125"/>
    </row>
    <row r="330" spans="1:26" ht="15.75" customHeight="1">
      <c r="A330" s="125"/>
      <c r="B330" s="125"/>
      <c r="C330" s="125"/>
      <c r="D330" s="125"/>
      <c r="E330" s="125"/>
      <c r="F330" s="126"/>
      <c r="G330" s="125"/>
      <c r="H330" s="125"/>
      <c r="I330" s="125"/>
      <c r="J330" s="125"/>
      <c r="K330" s="125"/>
      <c r="L330" s="125"/>
      <c r="M330" s="125"/>
      <c r="N330" s="129"/>
      <c r="O330" s="125"/>
      <c r="P330" s="173"/>
      <c r="Q330" s="125"/>
      <c r="R330" s="125"/>
      <c r="S330" s="125"/>
      <c r="T330" s="125"/>
      <c r="U330" s="125"/>
      <c r="V330" s="125"/>
      <c r="W330" s="125"/>
      <c r="X330" s="125"/>
      <c r="Y330" s="125"/>
      <c r="Z330" s="125"/>
    </row>
    <row r="331" spans="1:26" ht="15.75" customHeight="1">
      <c r="A331" s="125"/>
      <c r="B331" s="125"/>
      <c r="C331" s="125"/>
      <c r="D331" s="125"/>
      <c r="E331" s="125"/>
      <c r="F331" s="126"/>
      <c r="G331" s="125"/>
      <c r="H331" s="125"/>
      <c r="I331" s="125"/>
      <c r="J331" s="125"/>
      <c r="K331" s="125"/>
      <c r="L331" s="125"/>
      <c r="M331" s="125"/>
      <c r="N331" s="129"/>
      <c r="O331" s="125"/>
      <c r="P331" s="173"/>
      <c r="Q331" s="125"/>
      <c r="R331" s="125"/>
      <c r="S331" s="125"/>
      <c r="T331" s="125"/>
      <c r="U331" s="125"/>
      <c r="V331" s="125"/>
      <c r="W331" s="125"/>
      <c r="X331" s="125"/>
      <c r="Y331" s="125"/>
      <c r="Z331" s="125"/>
    </row>
    <row r="332" spans="1:26" ht="15.75" customHeight="1">
      <c r="A332" s="125"/>
      <c r="B332" s="125"/>
      <c r="C332" s="125"/>
      <c r="D332" s="125"/>
      <c r="E332" s="125"/>
      <c r="F332" s="126"/>
      <c r="G332" s="125"/>
      <c r="H332" s="125"/>
      <c r="I332" s="125"/>
      <c r="J332" s="125"/>
      <c r="K332" s="125"/>
      <c r="L332" s="125"/>
      <c r="M332" s="125"/>
      <c r="N332" s="129"/>
      <c r="O332" s="125"/>
      <c r="P332" s="173"/>
      <c r="Q332" s="125"/>
      <c r="R332" s="125"/>
      <c r="S332" s="125"/>
      <c r="T332" s="125"/>
      <c r="U332" s="125"/>
      <c r="V332" s="125"/>
      <c r="W332" s="125"/>
      <c r="X332" s="125"/>
      <c r="Y332" s="125"/>
      <c r="Z332" s="125"/>
    </row>
    <row r="333" spans="1:26" ht="15.75" customHeight="1">
      <c r="A333" s="125"/>
      <c r="B333" s="125"/>
      <c r="C333" s="125"/>
      <c r="D333" s="125"/>
      <c r="E333" s="125"/>
      <c r="F333" s="126"/>
      <c r="G333" s="125"/>
      <c r="H333" s="125"/>
      <c r="I333" s="125"/>
      <c r="J333" s="125"/>
      <c r="K333" s="125"/>
      <c r="L333" s="125"/>
      <c r="M333" s="125"/>
      <c r="N333" s="129"/>
      <c r="O333" s="125"/>
      <c r="P333" s="173"/>
      <c r="Q333" s="125"/>
      <c r="R333" s="125"/>
      <c r="S333" s="125"/>
      <c r="T333" s="125"/>
      <c r="U333" s="125"/>
      <c r="V333" s="125"/>
      <c r="W333" s="125"/>
      <c r="X333" s="125"/>
      <c r="Y333" s="125"/>
      <c r="Z333" s="125"/>
    </row>
    <row r="334" spans="1:26" ht="15.75" customHeight="1">
      <c r="A334" s="125"/>
      <c r="B334" s="125"/>
      <c r="C334" s="125"/>
      <c r="D334" s="125"/>
      <c r="E334" s="125"/>
      <c r="F334" s="126"/>
      <c r="G334" s="125"/>
      <c r="H334" s="125"/>
      <c r="I334" s="125"/>
      <c r="J334" s="125"/>
      <c r="K334" s="125"/>
      <c r="L334" s="125"/>
      <c r="M334" s="125"/>
      <c r="N334" s="129"/>
      <c r="O334" s="125"/>
      <c r="P334" s="173"/>
      <c r="Q334" s="125"/>
      <c r="R334" s="125"/>
      <c r="S334" s="125"/>
      <c r="T334" s="125"/>
      <c r="U334" s="125"/>
      <c r="V334" s="125"/>
      <c r="W334" s="125"/>
      <c r="X334" s="125"/>
      <c r="Y334" s="125"/>
      <c r="Z334" s="125"/>
    </row>
    <row r="335" spans="1:26" ht="15.75" customHeight="1">
      <c r="A335" s="125"/>
      <c r="B335" s="125"/>
      <c r="C335" s="125"/>
      <c r="D335" s="125"/>
      <c r="E335" s="125"/>
      <c r="F335" s="126"/>
      <c r="G335" s="125"/>
      <c r="H335" s="125"/>
      <c r="I335" s="125"/>
      <c r="J335" s="125"/>
      <c r="K335" s="125"/>
      <c r="L335" s="125"/>
      <c r="M335" s="125"/>
      <c r="N335" s="129"/>
      <c r="O335" s="125"/>
      <c r="P335" s="173"/>
      <c r="Q335" s="125"/>
      <c r="R335" s="125"/>
      <c r="S335" s="125"/>
      <c r="T335" s="125"/>
      <c r="U335" s="125"/>
      <c r="V335" s="125"/>
      <c r="W335" s="125"/>
      <c r="X335" s="125"/>
      <c r="Y335" s="125"/>
      <c r="Z335" s="125"/>
    </row>
    <row r="336" spans="1:26" ht="15.75" customHeight="1">
      <c r="A336" s="125"/>
      <c r="B336" s="125"/>
      <c r="C336" s="125"/>
      <c r="D336" s="125"/>
      <c r="E336" s="125"/>
      <c r="F336" s="126"/>
      <c r="G336" s="125"/>
      <c r="H336" s="125"/>
      <c r="I336" s="125"/>
      <c r="J336" s="125"/>
      <c r="K336" s="125"/>
      <c r="L336" s="125"/>
      <c r="M336" s="125"/>
      <c r="N336" s="129"/>
      <c r="O336" s="125"/>
      <c r="P336" s="173"/>
      <c r="Q336" s="125"/>
      <c r="R336" s="125"/>
      <c r="S336" s="125"/>
      <c r="T336" s="125"/>
      <c r="U336" s="125"/>
      <c r="V336" s="125"/>
      <c r="W336" s="125"/>
      <c r="X336" s="125"/>
      <c r="Y336" s="125"/>
      <c r="Z336" s="125"/>
    </row>
    <row r="337" spans="1:26" ht="15.75" customHeight="1">
      <c r="A337" s="125"/>
      <c r="B337" s="125"/>
      <c r="C337" s="125"/>
      <c r="D337" s="125"/>
      <c r="E337" s="125"/>
      <c r="F337" s="126"/>
      <c r="G337" s="125"/>
      <c r="H337" s="125"/>
      <c r="I337" s="125"/>
      <c r="J337" s="125"/>
      <c r="K337" s="125"/>
      <c r="L337" s="125"/>
      <c r="M337" s="125"/>
      <c r="N337" s="129"/>
      <c r="O337" s="125"/>
      <c r="P337" s="173"/>
      <c r="Q337" s="125"/>
      <c r="R337" s="125"/>
      <c r="S337" s="125"/>
      <c r="T337" s="125"/>
      <c r="U337" s="125"/>
      <c r="V337" s="125"/>
      <c r="W337" s="125"/>
      <c r="X337" s="125"/>
      <c r="Y337" s="125"/>
      <c r="Z337" s="125"/>
    </row>
    <row r="338" spans="1:26" ht="15.75" customHeight="1">
      <c r="A338" s="125"/>
      <c r="B338" s="125"/>
      <c r="C338" s="125"/>
      <c r="D338" s="125"/>
      <c r="E338" s="125"/>
      <c r="F338" s="126"/>
      <c r="G338" s="125"/>
      <c r="H338" s="125"/>
      <c r="I338" s="125"/>
      <c r="J338" s="125"/>
      <c r="K338" s="125"/>
      <c r="L338" s="125"/>
      <c r="M338" s="125"/>
      <c r="N338" s="129"/>
      <c r="O338" s="125"/>
      <c r="P338" s="173"/>
      <c r="Q338" s="125"/>
      <c r="R338" s="125"/>
      <c r="S338" s="125"/>
      <c r="T338" s="125"/>
      <c r="U338" s="125"/>
      <c r="V338" s="125"/>
      <c r="W338" s="125"/>
      <c r="X338" s="125"/>
      <c r="Y338" s="125"/>
      <c r="Z338" s="125"/>
    </row>
    <row r="339" spans="1:26" ht="15.75" customHeight="1">
      <c r="A339" s="125"/>
      <c r="B339" s="125"/>
      <c r="C339" s="125"/>
      <c r="D339" s="125"/>
      <c r="E339" s="125"/>
      <c r="F339" s="126"/>
      <c r="G339" s="125"/>
      <c r="H339" s="125"/>
      <c r="I339" s="125"/>
      <c r="J339" s="125"/>
      <c r="K339" s="125"/>
      <c r="L339" s="125"/>
      <c r="M339" s="125"/>
      <c r="N339" s="129"/>
      <c r="O339" s="125"/>
      <c r="P339" s="173"/>
      <c r="Q339" s="125"/>
      <c r="R339" s="125"/>
      <c r="S339" s="125"/>
      <c r="T339" s="125"/>
      <c r="U339" s="125"/>
      <c r="V339" s="125"/>
      <c r="W339" s="125"/>
      <c r="X339" s="125"/>
      <c r="Y339" s="125"/>
      <c r="Z339" s="125"/>
    </row>
    <row r="340" spans="1:26" ht="15.75" customHeight="1">
      <c r="A340" s="125"/>
      <c r="B340" s="125"/>
      <c r="C340" s="125"/>
      <c r="D340" s="125"/>
      <c r="E340" s="125"/>
      <c r="F340" s="126"/>
      <c r="G340" s="125"/>
      <c r="H340" s="125"/>
      <c r="I340" s="125"/>
      <c r="J340" s="125"/>
      <c r="K340" s="125"/>
      <c r="L340" s="125"/>
      <c r="M340" s="125"/>
      <c r="N340" s="129"/>
      <c r="O340" s="125"/>
      <c r="P340" s="173"/>
      <c r="Q340" s="125"/>
      <c r="R340" s="125"/>
      <c r="S340" s="125"/>
      <c r="T340" s="125"/>
      <c r="U340" s="125"/>
      <c r="V340" s="125"/>
      <c r="W340" s="125"/>
      <c r="X340" s="125"/>
      <c r="Y340" s="125"/>
      <c r="Z340" s="125"/>
    </row>
    <row r="341" spans="1:26" ht="15.75" customHeight="1">
      <c r="A341" s="125"/>
      <c r="B341" s="125"/>
      <c r="C341" s="125"/>
      <c r="D341" s="125"/>
      <c r="E341" s="125"/>
      <c r="F341" s="126"/>
      <c r="G341" s="125"/>
      <c r="H341" s="125"/>
      <c r="I341" s="125"/>
      <c r="J341" s="125"/>
      <c r="K341" s="125"/>
      <c r="L341" s="125"/>
      <c r="M341" s="125"/>
      <c r="N341" s="129"/>
      <c r="O341" s="125"/>
      <c r="P341" s="173"/>
      <c r="Q341" s="125"/>
      <c r="R341" s="125"/>
      <c r="S341" s="125"/>
      <c r="T341" s="125"/>
      <c r="U341" s="125"/>
      <c r="V341" s="125"/>
      <c r="W341" s="125"/>
      <c r="X341" s="125"/>
      <c r="Y341" s="125"/>
      <c r="Z341" s="125"/>
    </row>
    <row r="342" spans="1:26" ht="15.75" customHeight="1">
      <c r="A342" s="125"/>
      <c r="B342" s="125"/>
      <c r="C342" s="125"/>
      <c r="D342" s="125"/>
      <c r="E342" s="125"/>
      <c r="F342" s="126"/>
      <c r="G342" s="125"/>
      <c r="H342" s="125"/>
      <c r="I342" s="125"/>
      <c r="J342" s="125"/>
      <c r="K342" s="125"/>
      <c r="L342" s="125"/>
      <c r="M342" s="125"/>
      <c r="N342" s="129"/>
      <c r="O342" s="125"/>
      <c r="P342" s="173"/>
      <c r="Q342" s="125"/>
      <c r="R342" s="125"/>
      <c r="S342" s="125"/>
      <c r="T342" s="125"/>
      <c r="U342" s="125"/>
      <c r="V342" s="125"/>
      <c r="W342" s="125"/>
      <c r="X342" s="125"/>
      <c r="Y342" s="125"/>
      <c r="Z342" s="125"/>
    </row>
    <row r="343" spans="1:26" ht="15.75" customHeight="1">
      <c r="A343" s="125"/>
      <c r="B343" s="125"/>
      <c r="C343" s="125"/>
      <c r="D343" s="125"/>
      <c r="E343" s="125"/>
      <c r="F343" s="126"/>
      <c r="G343" s="125"/>
      <c r="H343" s="125"/>
      <c r="I343" s="125"/>
      <c r="J343" s="125"/>
      <c r="K343" s="125"/>
      <c r="L343" s="125"/>
      <c r="M343" s="125"/>
      <c r="N343" s="129"/>
      <c r="O343" s="125"/>
      <c r="P343" s="173"/>
      <c r="Q343" s="125"/>
      <c r="R343" s="125"/>
      <c r="S343" s="125"/>
      <c r="T343" s="125"/>
      <c r="U343" s="125"/>
      <c r="V343" s="125"/>
      <c r="W343" s="125"/>
      <c r="X343" s="125"/>
      <c r="Y343" s="125"/>
      <c r="Z343" s="125"/>
    </row>
    <row r="344" spans="1:26" ht="15.75" customHeight="1">
      <c r="A344" s="125"/>
      <c r="B344" s="125"/>
      <c r="C344" s="125"/>
      <c r="D344" s="125"/>
      <c r="E344" s="125"/>
      <c r="F344" s="126"/>
      <c r="G344" s="125"/>
      <c r="H344" s="125"/>
      <c r="I344" s="125"/>
      <c r="J344" s="125"/>
      <c r="K344" s="125"/>
      <c r="L344" s="125"/>
      <c r="M344" s="125"/>
      <c r="N344" s="129"/>
      <c r="O344" s="125"/>
      <c r="P344" s="173"/>
      <c r="Q344" s="125"/>
      <c r="R344" s="125"/>
      <c r="S344" s="125"/>
      <c r="T344" s="125"/>
      <c r="U344" s="125"/>
      <c r="V344" s="125"/>
      <c r="W344" s="125"/>
      <c r="X344" s="125"/>
      <c r="Y344" s="125"/>
      <c r="Z344" s="125"/>
    </row>
    <row r="345" spans="1:26" ht="15.75" customHeight="1">
      <c r="A345" s="125"/>
      <c r="B345" s="125"/>
      <c r="C345" s="125"/>
      <c r="D345" s="125"/>
      <c r="E345" s="125"/>
      <c r="F345" s="126"/>
      <c r="G345" s="125"/>
      <c r="H345" s="125"/>
      <c r="I345" s="125"/>
      <c r="J345" s="125"/>
      <c r="K345" s="125"/>
      <c r="L345" s="125"/>
      <c r="M345" s="125"/>
      <c r="N345" s="129"/>
      <c r="O345" s="125"/>
      <c r="P345" s="173"/>
      <c r="Q345" s="125"/>
      <c r="R345" s="125"/>
      <c r="S345" s="125"/>
      <c r="T345" s="125"/>
      <c r="U345" s="125"/>
      <c r="V345" s="125"/>
      <c r="W345" s="125"/>
      <c r="X345" s="125"/>
      <c r="Y345" s="125"/>
      <c r="Z345" s="125"/>
    </row>
    <row r="346" spans="1:26" ht="15.75" customHeight="1">
      <c r="A346" s="125"/>
      <c r="B346" s="125"/>
      <c r="C346" s="125"/>
      <c r="D346" s="125"/>
      <c r="E346" s="125"/>
      <c r="F346" s="126"/>
      <c r="G346" s="125"/>
      <c r="H346" s="125"/>
      <c r="I346" s="125"/>
      <c r="J346" s="125"/>
      <c r="K346" s="125"/>
      <c r="L346" s="125"/>
      <c r="M346" s="125"/>
      <c r="N346" s="129"/>
      <c r="O346" s="125"/>
      <c r="P346" s="173"/>
      <c r="Q346" s="125"/>
      <c r="R346" s="125"/>
      <c r="S346" s="125"/>
      <c r="T346" s="125"/>
      <c r="U346" s="125"/>
      <c r="V346" s="125"/>
      <c r="W346" s="125"/>
      <c r="X346" s="125"/>
      <c r="Y346" s="125"/>
      <c r="Z346" s="125"/>
    </row>
    <row r="347" spans="1:26" ht="15.75" customHeight="1">
      <c r="A347" s="125"/>
      <c r="B347" s="125"/>
      <c r="C347" s="125"/>
      <c r="D347" s="125"/>
      <c r="E347" s="125"/>
      <c r="F347" s="126"/>
      <c r="G347" s="125"/>
      <c r="H347" s="125"/>
      <c r="I347" s="125"/>
      <c r="J347" s="125"/>
      <c r="K347" s="125"/>
      <c r="L347" s="125"/>
      <c r="M347" s="125"/>
      <c r="N347" s="129"/>
      <c r="O347" s="125"/>
      <c r="P347" s="173"/>
      <c r="Q347" s="125"/>
      <c r="R347" s="125"/>
      <c r="S347" s="125"/>
      <c r="T347" s="125"/>
      <c r="U347" s="125"/>
      <c r="V347" s="125"/>
      <c r="W347" s="125"/>
      <c r="X347" s="125"/>
      <c r="Y347" s="125"/>
      <c r="Z347" s="125"/>
    </row>
    <row r="348" spans="1:26" ht="15.75" customHeight="1">
      <c r="A348" s="125"/>
      <c r="B348" s="125"/>
      <c r="C348" s="125"/>
      <c r="D348" s="125"/>
      <c r="E348" s="125"/>
      <c r="F348" s="126"/>
      <c r="G348" s="125"/>
      <c r="H348" s="125"/>
      <c r="I348" s="125"/>
      <c r="J348" s="125"/>
      <c r="K348" s="125"/>
      <c r="L348" s="125"/>
      <c r="M348" s="125"/>
      <c r="N348" s="129"/>
      <c r="O348" s="125"/>
      <c r="P348" s="173"/>
      <c r="Q348" s="125"/>
      <c r="R348" s="125"/>
      <c r="S348" s="125"/>
      <c r="T348" s="125"/>
      <c r="U348" s="125"/>
      <c r="V348" s="125"/>
      <c r="W348" s="125"/>
      <c r="X348" s="125"/>
      <c r="Y348" s="125"/>
      <c r="Z348" s="125"/>
    </row>
    <row r="349" spans="1:26" ht="15.75" customHeight="1">
      <c r="A349" s="125"/>
      <c r="B349" s="125"/>
      <c r="C349" s="125"/>
      <c r="D349" s="125"/>
      <c r="E349" s="125"/>
      <c r="F349" s="126"/>
      <c r="G349" s="125"/>
      <c r="H349" s="125"/>
      <c r="I349" s="125"/>
      <c r="J349" s="125"/>
      <c r="K349" s="125"/>
      <c r="L349" s="125"/>
      <c r="M349" s="125"/>
      <c r="N349" s="129"/>
      <c r="O349" s="125"/>
      <c r="P349" s="173"/>
      <c r="Q349" s="125"/>
      <c r="R349" s="125"/>
      <c r="S349" s="125"/>
      <c r="T349" s="125"/>
      <c r="U349" s="125"/>
      <c r="V349" s="125"/>
      <c r="W349" s="125"/>
      <c r="X349" s="125"/>
      <c r="Y349" s="125"/>
      <c r="Z349" s="125"/>
    </row>
    <row r="350" spans="1:26" ht="15.75" customHeight="1">
      <c r="A350" s="125"/>
      <c r="B350" s="125"/>
      <c r="C350" s="125"/>
      <c r="D350" s="125"/>
      <c r="E350" s="125"/>
      <c r="F350" s="126"/>
      <c r="G350" s="125"/>
      <c r="H350" s="125"/>
      <c r="I350" s="125"/>
      <c r="J350" s="125"/>
      <c r="K350" s="125"/>
      <c r="L350" s="125"/>
      <c r="M350" s="125"/>
      <c r="N350" s="129"/>
      <c r="O350" s="125"/>
      <c r="P350" s="173"/>
      <c r="Q350" s="125"/>
      <c r="R350" s="125"/>
      <c r="S350" s="125"/>
      <c r="T350" s="125"/>
      <c r="U350" s="125"/>
      <c r="V350" s="125"/>
      <c r="W350" s="125"/>
      <c r="X350" s="125"/>
      <c r="Y350" s="125"/>
      <c r="Z350" s="125"/>
    </row>
    <row r="351" spans="1:26" ht="15.75" customHeight="1">
      <c r="A351" s="125"/>
      <c r="B351" s="125"/>
      <c r="C351" s="125"/>
      <c r="D351" s="125"/>
      <c r="E351" s="125"/>
      <c r="F351" s="126"/>
      <c r="G351" s="125"/>
      <c r="H351" s="125"/>
      <c r="I351" s="125"/>
      <c r="J351" s="125"/>
      <c r="K351" s="125"/>
      <c r="L351" s="125"/>
      <c r="M351" s="125"/>
      <c r="N351" s="129"/>
      <c r="O351" s="125"/>
      <c r="P351" s="173"/>
      <c r="Q351" s="125"/>
      <c r="R351" s="125"/>
      <c r="S351" s="125"/>
      <c r="T351" s="125"/>
      <c r="U351" s="125"/>
      <c r="V351" s="125"/>
      <c r="W351" s="125"/>
      <c r="X351" s="125"/>
      <c r="Y351" s="125"/>
      <c r="Z351" s="125"/>
    </row>
    <row r="352" spans="1:26" ht="15.75" customHeight="1">
      <c r="A352" s="125"/>
      <c r="B352" s="125"/>
      <c r="C352" s="125"/>
      <c r="D352" s="125"/>
      <c r="E352" s="125"/>
      <c r="F352" s="126"/>
      <c r="G352" s="125"/>
      <c r="H352" s="125"/>
      <c r="I352" s="125"/>
      <c r="J352" s="125"/>
      <c r="K352" s="125"/>
      <c r="L352" s="125"/>
      <c r="M352" s="125"/>
      <c r="N352" s="129"/>
      <c r="O352" s="125"/>
      <c r="P352" s="173"/>
      <c r="Q352" s="125"/>
      <c r="R352" s="125"/>
      <c r="S352" s="125"/>
      <c r="T352" s="125"/>
      <c r="U352" s="125"/>
      <c r="V352" s="125"/>
      <c r="W352" s="125"/>
      <c r="X352" s="125"/>
      <c r="Y352" s="125"/>
      <c r="Z352" s="125"/>
    </row>
    <row r="353" spans="1:26" ht="15.75" customHeight="1">
      <c r="A353" s="125"/>
      <c r="B353" s="125"/>
      <c r="C353" s="125"/>
      <c r="D353" s="125"/>
      <c r="E353" s="125"/>
      <c r="F353" s="126"/>
      <c r="G353" s="125"/>
      <c r="H353" s="125"/>
      <c r="I353" s="125"/>
      <c r="J353" s="125"/>
      <c r="K353" s="125"/>
      <c r="L353" s="125"/>
      <c r="M353" s="125"/>
      <c r="N353" s="129"/>
      <c r="O353" s="125"/>
      <c r="P353" s="173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</row>
    <row r="354" spans="1:26" ht="15.75" customHeight="1">
      <c r="A354" s="125"/>
      <c r="B354" s="125"/>
      <c r="C354" s="125"/>
      <c r="D354" s="125"/>
      <c r="E354" s="125"/>
      <c r="F354" s="126"/>
      <c r="G354" s="125"/>
      <c r="H354" s="125"/>
      <c r="I354" s="125"/>
      <c r="J354" s="125"/>
      <c r="K354" s="125"/>
      <c r="L354" s="125"/>
      <c r="M354" s="125"/>
      <c r="N354" s="129"/>
      <c r="O354" s="125"/>
      <c r="P354" s="173"/>
      <c r="Q354" s="125"/>
      <c r="R354" s="125"/>
      <c r="S354" s="125"/>
      <c r="T354" s="125"/>
      <c r="U354" s="125"/>
      <c r="V354" s="125"/>
      <c r="W354" s="125"/>
      <c r="X354" s="125"/>
      <c r="Y354" s="125"/>
      <c r="Z354" s="125"/>
    </row>
    <row r="355" spans="1:26" ht="15.75" customHeight="1">
      <c r="A355" s="125"/>
      <c r="B355" s="125"/>
      <c r="C355" s="125"/>
      <c r="D355" s="125"/>
      <c r="E355" s="125"/>
      <c r="F355" s="126"/>
      <c r="G355" s="125"/>
      <c r="H355" s="125"/>
      <c r="I355" s="125"/>
      <c r="J355" s="125"/>
      <c r="K355" s="125"/>
      <c r="L355" s="125"/>
      <c r="M355" s="125"/>
      <c r="N355" s="129"/>
      <c r="O355" s="125"/>
      <c r="P355" s="173"/>
      <c r="Q355" s="125"/>
      <c r="R355" s="125"/>
      <c r="S355" s="125"/>
      <c r="T355" s="125"/>
      <c r="U355" s="125"/>
      <c r="V355" s="125"/>
      <c r="W355" s="125"/>
      <c r="X355" s="125"/>
      <c r="Y355" s="125"/>
      <c r="Z355" s="125"/>
    </row>
    <row r="356" spans="1:26" ht="15.75" customHeight="1">
      <c r="A356" s="125"/>
      <c r="B356" s="125"/>
      <c r="C356" s="125"/>
      <c r="D356" s="125"/>
      <c r="E356" s="125"/>
      <c r="F356" s="126"/>
      <c r="G356" s="125"/>
      <c r="H356" s="125"/>
      <c r="I356" s="125"/>
      <c r="J356" s="125"/>
      <c r="K356" s="125"/>
      <c r="L356" s="125"/>
      <c r="M356" s="125"/>
      <c r="N356" s="129"/>
      <c r="O356" s="125"/>
      <c r="P356" s="173"/>
      <c r="Q356" s="125"/>
      <c r="R356" s="125"/>
      <c r="S356" s="125"/>
      <c r="T356" s="125"/>
      <c r="U356" s="125"/>
      <c r="V356" s="125"/>
      <c r="W356" s="125"/>
      <c r="X356" s="125"/>
      <c r="Y356" s="125"/>
      <c r="Z356" s="125"/>
    </row>
    <row r="357" spans="1:26" ht="15.75" customHeight="1">
      <c r="A357" s="125"/>
      <c r="B357" s="125"/>
      <c r="C357" s="125"/>
      <c r="D357" s="125"/>
      <c r="E357" s="125"/>
      <c r="F357" s="126"/>
      <c r="G357" s="125"/>
      <c r="H357" s="125"/>
      <c r="I357" s="125"/>
      <c r="J357" s="125"/>
      <c r="K357" s="125"/>
      <c r="L357" s="125"/>
      <c r="M357" s="125"/>
      <c r="N357" s="129"/>
      <c r="O357" s="125"/>
      <c r="P357" s="173"/>
      <c r="Q357" s="125"/>
      <c r="R357" s="125"/>
      <c r="S357" s="125"/>
      <c r="T357" s="125"/>
      <c r="U357" s="125"/>
      <c r="V357" s="125"/>
      <c r="W357" s="125"/>
      <c r="X357" s="125"/>
      <c r="Y357" s="125"/>
      <c r="Z357" s="125"/>
    </row>
    <row r="358" spans="1:26" ht="15.75" customHeight="1">
      <c r="A358" s="125"/>
      <c r="B358" s="125"/>
      <c r="C358" s="125"/>
      <c r="D358" s="125"/>
      <c r="E358" s="125"/>
      <c r="F358" s="126"/>
      <c r="G358" s="125"/>
      <c r="H358" s="125"/>
      <c r="I358" s="125"/>
      <c r="J358" s="125"/>
      <c r="K358" s="125"/>
      <c r="L358" s="125"/>
      <c r="M358" s="125"/>
      <c r="N358" s="129"/>
      <c r="O358" s="125"/>
      <c r="P358" s="173"/>
      <c r="Q358" s="125"/>
      <c r="R358" s="125"/>
      <c r="S358" s="125"/>
      <c r="T358" s="125"/>
      <c r="U358" s="125"/>
      <c r="V358" s="125"/>
      <c r="W358" s="125"/>
      <c r="X358" s="125"/>
      <c r="Y358" s="125"/>
      <c r="Z358" s="125"/>
    </row>
    <row r="359" spans="1:26" ht="15.75" customHeight="1">
      <c r="A359" s="125"/>
      <c r="B359" s="125"/>
      <c r="C359" s="125"/>
      <c r="D359" s="125"/>
      <c r="E359" s="125"/>
      <c r="F359" s="126"/>
      <c r="G359" s="125"/>
      <c r="H359" s="125"/>
      <c r="I359" s="125"/>
      <c r="J359" s="125"/>
      <c r="K359" s="125"/>
      <c r="L359" s="125"/>
      <c r="M359" s="125"/>
      <c r="N359" s="129"/>
      <c r="O359" s="125"/>
      <c r="P359" s="173"/>
      <c r="Q359" s="125"/>
      <c r="R359" s="125"/>
      <c r="S359" s="125"/>
      <c r="T359" s="125"/>
      <c r="U359" s="125"/>
      <c r="V359" s="125"/>
      <c r="W359" s="125"/>
      <c r="X359" s="125"/>
      <c r="Y359" s="125"/>
      <c r="Z359" s="125"/>
    </row>
    <row r="360" spans="1:26" ht="15.75" customHeight="1">
      <c r="A360" s="125"/>
      <c r="B360" s="125"/>
      <c r="C360" s="125"/>
      <c r="D360" s="125"/>
      <c r="E360" s="125"/>
      <c r="F360" s="126"/>
      <c r="G360" s="125"/>
      <c r="H360" s="125"/>
      <c r="I360" s="125"/>
      <c r="J360" s="125"/>
      <c r="K360" s="125"/>
      <c r="L360" s="125"/>
      <c r="M360" s="125"/>
      <c r="N360" s="129"/>
      <c r="O360" s="125"/>
      <c r="P360" s="173"/>
      <c r="Q360" s="125"/>
      <c r="R360" s="125"/>
      <c r="S360" s="125"/>
      <c r="T360" s="125"/>
      <c r="U360" s="125"/>
      <c r="V360" s="125"/>
      <c r="W360" s="125"/>
      <c r="X360" s="125"/>
      <c r="Y360" s="125"/>
      <c r="Z360" s="125"/>
    </row>
    <row r="361" spans="1:26" ht="15.75" customHeight="1">
      <c r="A361" s="125"/>
      <c r="B361" s="125"/>
      <c r="C361" s="125"/>
      <c r="D361" s="125"/>
      <c r="E361" s="125"/>
      <c r="F361" s="126"/>
      <c r="G361" s="125"/>
      <c r="H361" s="125"/>
      <c r="I361" s="125"/>
      <c r="J361" s="125"/>
      <c r="K361" s="125"/>
      <c r="L361" s="125"/>
      <c r="M361" s="125"/>
      <c r="N361" s="129"/>
      <c r="O361" s="125"/>
      <c r="P361" s="173"/>
      <c r="Q361" s="125"/>
      <c r="R361" s="125"/>
      <c r="S361" s="125"/>
      <c r="T361" s="125"/>
      <c r="U361" s="125"/>
      <c r="V361" s="125"/>
      <c r="W361" s="125"/>
      <c r="X361" s="125"/>
      <c r="Y361" s="125"/>
      <c r="Z361" s="125"/>
    </row>
    <row r="362" spans="1:26" ht="15.75" customHeight="1">
      <c r="A362" s="125"/>
      <c r="B362" s="125"/>
      <c r="C362" s="125"/>
      <c r="D362" s="125"/>
      <c r="E362" s="125"/>
      <c r="F362" s="126"/>
      <c r="G362" s="125"/>
      <c r="H362" s="125"/>
      <c r="I362" s="125"/>
      <c r="J362" s="125"/>
      <c r="K362" s="125"/>
      <c r="L362" s="125"/>
      <c r="M362" s="125"/>
      <c r="N362" s="129"/>
      <c r="O362" s="125"/>
      <c r="P362" s="173"/>
      <c r="Q362" s="125"/>
      <c r="R362" s="125"/>
      <c r="S362" s="125"/>
      <c r="T362" s="125"/>
      <c r="U362" s="125"/>
      <c r="V362" s="125"/>
      <c r="W362" s="125"/>
      <c r="X362" s="125"/>
      <c r="Y362" s="125"/>
      <c r="Z362" s="125"/>
    </row>
    <row r="363" spans="1:26" ht="15.75" customHeight="1">
      <c r="A363" s="125"/>
      <c r="B363" s="125"/>
      <c r="C363" s="125"/>
      <c r="D363" s="125"/>
      <c r="E363" s="125"/>
      <c r="F363" s="126"/>
      <c r="G363" s="125"/>
      <c r="H363" s="125"/>
      <c r="I363" s="125"/>
      <c r="J363" s="125"/>
      <c r="K363" s="125"/>
      <c r="L363" s="125"/>
      <c r="M363" s="125"/>
      <c r="N363" s="129"/>
      <c r="O363" s="125"/>
      <c r="P363" s="173"/>
      <c r="Q363" s="125"/>
      <c r="R363" s="125"/>
      <c r="S363" s="125"/>
      <c r="T363" s="125"/>
      <c r="U363" s="125"/>
      <c r="V363" s="125"/>
      <c r="W363" s="125"/>
      <c r="X363" s="125"/>
      <c r="Y363" s="125"/>
      <c r="Z363" s="125"/>
    </row>
    <row r="364" spans="1:26" ht="15.75" customHeight="1">
      <c r="A364" s="125"/>
      <c r="B364" s="125"/>
      <c r="C364" s="125"/>
      <c r="D364" s="125"/>
      <c r="E364" s="125"/>
      <c r="F364" s="126"/>
      <c r="G364" s="125"/>
      <c r="H364" s="125"/>
      <c r="I364" s="125"/>
      <c r="J364" s="125"/>
      <c r="K364" s="125"/>
      <c r="L364" s="125"/>
      <c r="M364" s="125"/>
      <c r="N364" s="129"/>
      <c r="O364" s="125"/>
      <c r="P364" s="173"/>
      <c r="Q364" s="125"/>
      <c r="R364" s="125"/>
      <c r="S364" s="125"/>
      <c r="T364" s="125"/>
      <c r="U364" s="125"/>
      <c r="V364" s="125"/>
      <c r="W364" s="125"/>
      <c r="X364" s="125"/>
      <c r="Y364" s="125"/>
      <c r="Z364" s="125"/>
    </row>
    <row r="365" spans="1:26" ht="15.75" customHeight="1">
      <c r="A365" s="125"/>
      <c r="B365" s="125"/>
      <c r="C365" s="125"/>
      <c r="D365" s="125"/>
      <c r="E365" s="125"/>
      <c r="F365" s="126"/>
      <c r="G365" s="125"/>
      <c r="H365" s="125"/>
      <c r="I365" s="125"/>
      <c r="J365" s="125"/>
      <c r="K365" s="125"/>
      <c r="L365" s="125"/>
      <c r="M365" s="125"/>
      <c r="N365" s="129"/>
      <c r="O365" s="125"/>
      <c r="P365" s="173"/>
      <c r="Q365" s="125"/>
      <c r="R365" s="125"/>
      <c r="S365" s="125"/>
      <c r="T365" s="125"/>
      <c r="U365" s="125"/>
      <c r="V365" s="125"/>
      <c r="W365" s="125"/>
      <c r="X365" s="125"/>
      <c r="Y365" s="125"/>
      <c r="Z365" s="125"/>
    </row>
    <row r="366" spans="1:26" ht="15.75" customHeight="1">
      <c r="A366" s="125"/>
      <c r="B366" s="125"/>
      <c r="C366" s="125"/>
      <c r="D366" s="125"/>
      <c r="E366" s="125"/>
      <c r="F366" s="126"/>
      <c r="G366" s="125"/>
      <c r="H366" s="125"/>
      <c r="I366" s="125"/>
      <c r="J366" s="125"/>
      <c r="K366" s="125"/>
      <c r="L366" s="125"/>
      <c r="M366" s="125"/>
      <c r="N366" s="129"/>
      <c r="O366" s="125"/>
      <c r="P366" s="173"/>
      <c r="Q366" s="125"/>
      <c r="R366" s="125"/>
      <c r="S366" s="125"/>
      <c r="T366" s="125"/>
      <c r="U366" s="125"/>
      <c r="V366" s="125"/>
      <c r="W366" s="125"/>
      <c r="X366" s="125"/>
      <c r="Y366" s="125"/>
      <c r="Z366" s="125"/>
    </row>
    <row r="367" spans="1:26" ht="15.75" customHeight="1">
      <c r="A367" s="125"/>
      <c r="B367" s="125"/>
      <c r="C367" s="125"/>
      <c r="D367" s="125"/>
      <c r="E367" s="125"/>
      <c r="F367" s="126"/>
      <c r="G367" s="125"/>
      <c r="H367" s="125"/>
      <c r="I367" s="125"/>
      <c r="J367" s="125"/>
      <c r="K367" s="125"/>
      <c r="L367" s="125"/>
      <c r="M367" s="125"/>
      <c r="N367" s="129"/>
      <c r="O367" s="125"/>
      <c r="P367" s="173"/>
      <c r="Q367" s="125"/>
      <c r="R367" s="125"/>
      <c r="S367" s="125"/>
      <c r="T367" s="125"/>
      <c r="U367" s="125"/>
      <c r="V367" s="125"/>
      <c r="W367" s="125"/>
      <c r="X367" s="125"/>
      <c r="Y367" s="125"/>
      <c r="Z367" s="125"/>
    </row>
    <row r="368" spans="1:26" ht="15.75" customHeight="1">
      <c r="A368" s="125"/>
      <c r="B368" s="125"/>
      <c r="C368" s="125"/>
      <c r="D368" s="125"/>
      <c r="E368" s="125"/>
      <c r="F368" s="126"/>
      <c r="G368" s="125"/>
      <c r="H368" s="125"/>
      <c r="I368" s="125"/>
      <c r="J368" s="125"/>
      <c r="K368" s="125"/>
      <c r="L368" s="125"/>
      <c r="M368" s="125"/>
      <c r="N368" s="129"/>
      <c r="O368" s="125"/>
      <c r="P368" s="173"/>
      <c r="Q368" s="125"/>
      <c r="R368" s="125"/>
      <c r="S368" s="125"/>
      <c r="T368" s="125"/>
      <c r="U368" s="125"/>
      <c r="V368" s="125"/>
      <c r="W368" s="125"/>
      <c r="X368" s="125"/>
      <c r="Y368" s="125"/>
      <c r="Z368" s="125"/>
    </row>
    <row r="369" spans="1:26" ht="15.75" customHeight="1">
      <c r="A369" s="125"/>
      <c r="B369" s="125"/>
      <c r="C369" s="125"/>
      <c r="D369" s="125"/>
      <c r="E369" s="125"/>
      <c r="F369" s="126"/>
      <c r="G369" s="125"/>
      <c r="H369" s="125"/>
      <c r="I369" s="125"/>
      <c r="J369" s="125"/>
      <c r="K369" s="125"/>
      <c r="L369" s="125"/>
      <c r="M369" s="125"/>
      <c r="N369" s="129"/>
      <c r="O369" s="125"/>
      <c r="P369" s="173"/>
      <c r="Q369" s="125"/>
      <c r="R369" s="125"/>
      <c r="S369" s="125"/>
      <c r="T369" s="125"/>
      <c r="U369" s="125"/>
      <c r="V369" s="125"/>
      <c r="W369" s="125"/>
      <c r="X369" s="125"/>
      <c r="Y369" s="125"/>
      <c r="Z369" s="125"/>
    </row>
    <row r="370" spans="1:26" ht="15.75" customHeight="1">
      <c r="A370" s="125"/>
      <c r="B370" s="125"/>
      <c r="C370" s="125"/>
      <c r="D370" s="125"/>
      <c r="E370" s="125"/>
      <c r="F370" s="126"/>
      <c r="G370" s="125"/>
      <c r="H370" s="125"/>
      <c r="I370" s="125"/>
      <c r="J370" s="125"/>
      <c r="K370" s="125"/>
      <c r="L370" s="125"/>
      <c r="M370" s="125"/>
      <c r="N370" s="129"/>
      <c r="O370" s="125"/>
      <c r="P370" s="173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</row>
    <row r="371" spans="1:26" ht="15.75" customHeight="1">
      <c r="A371" s="125"/>
      <c r="B371" s="125"/>
      <c r="C371" s="125"/>
      <c r="D371" s="125"/>
      <c r="E371" s="125"/>
      <c r="F371" s="126"/>
      <c r="G371" s="125"/>
      <c r="H371" s="125"/>
      <c r="I371" s="125"/>
      <c r="J371" s="125"/>
      <c r="K371" s="125"/>
      <c r="L371" s="125"/>
      <c r="M371" s="125"/>
      <c r="N371" s="129"/>
      <c r="O371" s="125"/>
      <c r="P371" s="173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</row>
    <row r="372" spans="1:26" ht="15.75" customHeight="1">
      <c r="A372" s="125"/>
      <c r="B372" s="125"/>
      <c r="C372" s="125"/>
      <c r="D372" s="125"/>
      <c r="E372" s="125"/>
      <c r="F372" s="126"/>
      <c r="G372" s="125"/>
      <c r="H372" s="125"/>
      <c r="I372" s="125"/>
      <c r="J372" s="125"/>
      <c r="K372" s="125"/>
      <c r="L372" s="125"/>
      <c r="M372" s="125"/>
      <c r="N372" s="129"/>
      <c r="O372" s="125"/>
      <c r="P372" s="173"/>
      <c r="Q372" s="125"/>
      <c r="R372" s="125"/>
      <c r="S372" s="125"/>
      <c r="T372" s="125"/>
      <c r="U372" s="125"/>
      <c r="V372" s="125"/>
      <c r="W372" s="125"/>
      <c r="X372" s="125"/>
      <c r="Y372" s="125"/>
      <c r="Z372" s="125"/>
    </row>
    <row r="373" spans="1:26" ht="15.75" customHeight="1">
      <c r="A373" s="125"/>
      <c r="B373" s="125"/>
      <c r="C373" s="125"/>
      <c r="D373" s="125"/>
      <c r="E373" s="125"/>
      <c r="F373" s="126"/>
      <c r="G373" s="125"/>
      <c r="H373" s="125"/>
      <c r="I373" s="125"/>
      <c r="J373" s="125"/>
      <c r="K373" s="125"/>
      <c r="L373" s="125"/>
      <c r="M373" s="125"/>
      <c r="N373" s="129"/>
      <c r="O373" s="125"/>
      <c r="P373" s="173"/>
      <c r="Q373" s="125"/>
      <c r="R373" s="125"/>
      <c r="S373" s="125"/>
      <c r="T373" s="125"/>
      <c r="U373" s="125"/>
      <c r="V373" s="125"/>
      <c r="W373" s="125"/>
      <c r="X373" s="125"/>
      <c r="Y373" s="125"/>
      <c r="Z373" s="125"/>
    </row>
    <row r="374" spans="1:26" ht="15.75" customHeight="1">
      <c r="A374" s="125"/>
      <c r="B374" s="125"/>
      <c r="C374" s="125"/>
      <c r="D374" s="125"/>
      <c r="E374" s="125"/>
      <c r="F374" s="126"/>
      <c r="G374" s="125"/>
      <c r="H374" s="125"/>
      <c r="I374" s="125"/>
      <c r="J374" s="125"/>
      <c r="K374" s="125"/>
      <c r="L374" s="125"/>
      <c r="M374" s="125"/>
      <c r="N374" s="129"/>
      <c r="O374" s="125"/>
      <c r="P374" s="173"/>
      <c r="Q374" s="125"/>
      <c r="R374" s="125"/>
      <c r="S374" s="125"/>
      <c r="T374" s="125"/>
      <c r="U374" s="125"/>
      <c r="V374" s="125"/>
      <c r="W374" s="125"/>
      <c r="X374" s="125"/>
      <c r="Y374" s="125"/>
      <c r="Z374" s="125"/>
    </row>
    <row r="375" spans="1:26" ht="15.75" customHeight="1">
      <c r="A375" s="125"/>
      <c r="B375" s="125"/>
      <c r="C375" s="125"/>
      <c r="D375" s="125"/>
      <c r="E375" s="125"/>
      <c r="F375" s="126"/>
      <c r="G375" s="125"/>
      <c r="H375" s="125"/>
      <c r="I375" s="125"/>
      <c r="J375" s="125"/>
      <c r="K375" s="125"/>
      <c r="L375" s="125"/>
      <c r="M375" s="125"/>
      <c r="N375" s="129"/>
      <c r="O375" s="125"/>
      <c r="P375" s="173"/>
      <c r="Q375" s="125"/>
      <c r="R375" s="125"/>
      <c r="S375" s="125"/>
      <c r="T375" s="125"/>
      <c r="U375" s="125"/>
      <c r="V375" s="125"/>
      <c r="W375" s="125"/>
      <c r="X375" s="125"/>
      <c r="Y375" s="125"/>
      <c r="Z375" s="125"/>
    </row>
    <row r="376" spans="1:26" ht="15.75" customHeight="1">
      <c r="A376" s="125"/>
      <c r="B376" s="125"/>
      <c r="C376" s="125"/>
      <c r="D376" s="125"/>
      <c r="E376" s="125"/>
      <c r="F376" s="126"/>
      <c r="G376" s="125"/>
      <c r="H376" s="125"/>
      <c r="I376" s="125"/>
      <c r="J376" s="125"/>
      <c r="K376" s="125"/>
      <c r="L376" s="125"/>
      <c r="M376" s="125"/>
      <c r="N376" s="129"/>
      <c r="O376" s="125"/>
      <c r="P376" s="173"/>
      <c r="Q376" s="125"/>
      <c r="R376" s="125"/>
      <c r="S376" s="125"/>
      <c r="T376" s="125"/>
      <c r="U376" s="125"/>
      <c r="V376" s="125"/>
      <c r="W376" s="125"/>
      <c r="X376" s="125"/>
      <c r="Y376" s="125"/>
      <c r="Z376" s="125"/>
    </row>
    <row r="377" spans="1:26" ht="15.75" customHeight="1">
      <c r="A377" s="125"/>
      <c r="B377" s="125"/>
      <c r="C377" s="125"/>
      <c r="D377" s="125"/>
      <c r="E377" s="125"/>
      <c r="F377" s="126"/>
      <c r="G377" s="125"/>
      <c r="H377" s="125"/>
      <c r="I377" s="125"/>
      <c r="J377" s="125"/>
      <c r="K377" s="125"/>
      <c r="L377" s="125"/>
      <c r="M377" s="125"/>
      <c r="N377" s="129"/>
      <c r="O377" s="125"/>
      <c r="P377" s="173"/>
      <c r="Q377" s="125"/>
      <c r="R377" s="125"/>
      <c r="S377" s="125"/>
      <c r="T377" s="125"/>
      <c r="U377" s="125"/>
      <c r="V377" s="125"/>
      <c r="W377" s="125"/>
      <c r="X377" s="125"/>
      <c r="Y377" s="125"/>
      <c r="Z377" s="125"/>
    </row>
    <row r="378" spans="1:26" ht="15.75" customHeight="1">
      <c r="A378" s="125"/>
      <c r="B378" s="125"/>
      <c r="C378" s="125"/>
      <c r="D378" s="125"/>
      <c r="E378" s="125"/>
      <c r="F378" s="126"/>
      <c r="G378" s="125"/>
      <c r="H378" s="125"/>
      <c r="I378" s="125"/>
      <c r="J378" s="125"/>
      <c r="K378" s="125"/>
      <c r="L378" s="125"/>
      <c r="M378" s="125"/>
      <c r="N378" s="129"/>
      <c r="O378" s="125"/>
      <c r="P378" s="173"/>
      <c r="Q378" s="125"/>
      <c r="R378" s="125"/>
      <c r="S378" s="125"/>
      <c r="T378" s="125"/>
      <c r="U378" s="125"/>
      <c r="V378" s="125"/>
      <c r="W378" s="125"/>
      <c r="X378" s="125"/>
      <c r="Y378" s="125"/>
      <c r="Z378" s="125"/>
    </row>
    <row r="379" spans="1:26" ht="15.75" customHeight="1">
      <c r="A379" s="125"/>
      <c r="B379" s="125"/>
      <c r="C379" s="125"/>
      <c r="D379" s="125"/>
      <c r="E379" s="125"/>
      <c r="F379" s="126"/>
      <c r="G379" s="125"/>
      <c r="H379" s="125"/>
      <c r="I379" s="125"/>
      <c r="J379" s="125"/>
      <c r="K379" s="125"/>
      <c r="L379" s="125"/>
      <c r="M379" s="125"/>
      <c r="N379" s="129"/>
      <c r="O379" s="125"/>
      <c r="P379" s="173"/>
      <c r="Q379" s="125"/>
      <c r="R379" s="125"/>
      <c r="S379" s="125"/>
      <c r="T379" s="125"/>
      <c r="U379" s="125"/>
      <c r="V379" s="125"/>
      <c r="W379" s="125"/>
      <c r="X379" s="125"/>
      <c r="Y379" s="125"/>
      <c r="Z379" s="125"/>
    </row>
    <row r="380" spans="1:26" ht="15.75" customHeight="1">
      <c r="A380" s="125"/>
      <c r="B380" s="125"/>
      <c r="C380" s="125"/>
      <c r="D380" s="125"/>
      <c r="E380" s="125"/>
      <c r="F380" s="126"/>
      <c r="G380" s="125"/>
      <c r="H380" s="125"/>
      <c r="I380" s="125"/>
      <c r="J380" s="125"/>
      <c r="K380" s="125"/>
      <c r="L380" s="125"/>
      <c r="M380" s="125"/>
      <c r="N380" s="129"/>
      <c r="O380" s="125"/>
      <c r="P380" s="173"/>
      <c r="Q380" s="125"/>
      <c r="R380" s="125"/>
      <c r="S380" s="125"/>
      <c r="T380" s="125"/>
      <c r="U380" s="125"/>
      <c r="V380" s="125"/>
      <c r="W380" s="125"/>
      <c r="X380" s="125"/>
      <c r="Y380" s="125"/>
      <c r="Z380" s="125"/>
    </row>
    <row r="381" spans="1:26" ht="15.75" customHeight="1">
      <c r="A381" s="125"/>
      <c r="B381" s="125"/>
      <c r="C381" s="125"/>
      <c r="D381" s="125"/>
      <c r="E381" s="125"/>
      <c r="F381" s="126"/>
      <c r="G381" s="125"/>
      <c r="H381" s="125"/>
      <c r="I381" s="125"/>
      <c r="J381" s="125"/>
      <c r="K381" s="125"/>
      <c r="L381" s="125"/>
      <c r="M381" s="125"/>
      <c r="N381" s="129"/>
      <c r="O381" s="125"/>
      <c r="P381" s="173"/>
      <c r="Q381" s="125"/>
      <c r="R381" s="125"/>
      <c r="S381" s="125"/>
      <c r="T381" s="125"/>
      <c r="U381" s="125"/>
      <c r="V381" s="125"/>
      <c r="W381" s="125"/>
      <c r="X381" s="125"/>
      <c r="Y381" s="125"/>
      <c r="Z381" s="125"/>
    </row>
    <row r="382" spans="1:26" ht="15.75" customHeight="1">
      <c r="A382" s="125"/>
      <c r="B382" s="125"/>
      <c r="C382" s="125"/>
      <c r="D382" s="125"/>
      <c r="E382" s="125"/>
      <c r="F382" s="126"/>
      <c r="G382" s="125"/>
      <c r="H382" s="125"/>
      <c r="I382" s="125"/>
      <c r="J382" s="125"/>
      <c r="K382" s="125"/>
      <c r="L382" s="125"/>
      <c r="M382" s="125"/>
      <c r="N382" s="129"/>
      <c r="O382" s="125"/>
      <c r="P382" s="173"/>
      <c r="Q382" s="125"/>
      <c r="R382" s="125"/>
      <c r="S382" s="125"/>
      <c r="T382" s="125"/>
      <c r="U382" s="125"/>
      <c r="V382" s="125"/>
      <c r="W382" s="125"/>
      <c r="X382" s="125"/>
      <c r="Y382" s="125"/>
      <c r="Z382" s="125"/>
    </row>
    <row r="383" spans="1:26" ht="15.75" customHeight="1">
      <c r="A383" s="125"/>
      <c r="B383" s="125"/>
      <c r="C383" s="125"/>
      <c r="D383" s="125"/>
      <c r="E383" s="125"/>
      <c r="F383" s="126"/>
      <c r="G383" s="125"/>
      <c r="H383" s="125"/>
      <c r="I383" s="125"/>
      <c r="J383" s="125"/>
      <c r="K383" s="125"/>
      <c r="L383" s="125"/>
      <c r="M383" s="125"/>
      <c r="N383" s="129"/>
      <c r="O383" s="125"/>
      <c r="P383" s="173"/>
      <c r="Q383" s="125"/>
      <c r="R383" s="125"/>
      <c r="S383" s="125"/>
      <c r="T383" s="125"/>
      <c r="U383" s="125"/>
      <c r="V383" s="125"/>
      <c r="W383" s="125"/>
      <c r="X383" s="125"/>
      <c r="Y383" s="125"/>
      <c r="Z383" s="125"/>
    </row>
    <row r="384" spans="1:26" ht="15.75" customHeight="1">
      <c r="A384" s="125"/>
      <c r="B384" s="125"/>
      <c r="C384" s="125"/>
      <c r="D384" s="125"/>
      <c r="E384" s="125"/>
      <c r="F384" s="126"/>
      <c r="G384" s="125"/>
      <c r="H384" s="125"/>
      <c r="I384" s="125"/>
      <c r="J384" s="125"/>
      <c r="K384" s="125"/>
      <c r="L384" s="125"/>
      <c r="M384" s="125"/>
      <c r="N384" s="129"/>
      <c r="O384" s="125"/>
      <c r="P384" s="173"/>
      <c r="Q384" s="125"/>
      <c r="R384" s="125"/>
      <c r="S384" s="125"/>
      <c r="T384" s="125"/>
      <c r="U384" s="125"/>
      <c r="V384" s="125"/>
      <c r="W384" s="125"/>
      <c r="X384" s="125"/>
      <c r="Y384" s="125"/>
      <c r="Z384" s="125"/>
    </row>
    <row r="385" spans="1:26" ht="15.75" customHeight="1">
      <c r="A385" s="125"/>
      <c r="B385" s="125"/>
      <c r="C385" s="125"/>
      <c r="D385" s="125"/>
      <c r="E385" s="125"/>
      <c r="F385" s="126"/>
      <c r="G385" s="125"/>
      <c r="H385" s="125"/>
      <c r="I385" s="125"/>
      <c r="J385" s="125"/>
      <c r="K385" s="125"/>
      <c r="L385" s="125"/>
      <c r="M385" s="125"/>
      <c r="N385" s="129"/>
      <c r="O385" s="125"/>
      <c r="P385" s="173"/>
      <c r="Q385" s="125"/>
      <c r="R385" s="125"/>
      <c r="S385" s="125"/>
      <c r="T385" s="125"/>
      <c r="U385" s="125"/>
      <c r="V385" s="125"/>
      <c r="W385" s="125"/>
      <c r="X385" s="125"/>
      <c r="Y385" s="125"/>
      <c r="Z385" s="125"/>
    </row>
    <row r="386" spans="1:26" ht="15.75" customHeight="1">
      <c r="A386" s="125"/>
      <c r="B386" s="125"/>
      <c r="C386" s="125"/>
      <c r="D386" s="125"/>
      <c r="E386" s="125"/>
      <c r="F386" s="126"/>
      <c r="G386" s="125"/>
      <c r="H386" s="125"/>
      <c r="I386" s="125"/>
      <c r="J386" s="125"/>
      <c r="K386" s="125"/>
      <c r="L386" s="125"/>
      <c r="M386" s="125"/>
      <c r="N386" s="129"/>
      <c r="O386" s="125"/>
      <c r="P386" s="173"/>
      <c r="Q386" s="125"/>
      <c r="R386" s="125"/>
      <c r="S386" s="125"/>
      <c r="T386" s="125"/>
      <c r="U386" s="125"/>
      <c r="V386" s="125"/>
      <c r="W386" s="125"/>
      <c r="X386" s="125"/>
      <c r="Y386" s="125"/>
      <c r="Z386" s="125"/>
    </row>
    <row r="387" spans="1:26" ht="15.75" customHeight="1">
      <c r="A387" s="125"/>
      <c r="B387" s="125"/>
      <c r="C387" s="125"/>
      <c r="D387" s="125"/>
      <c r="E387" s="125"/>
      <c r="F387" s="126"/>
      <c r="G387" s="125"/>
      <c r="H387" s="125"/>
      <c r="I387" s="125"/>
      <c r="J387" s="125"/>
      <c r="K387" s="125"/>
      <c r="L387" s="125"/>
      <c r="M387" s="125"/>
      <c r="N387" s="129"/>
      <c r="O387" s="125"/>
      <c r="P387" s="173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</row>
    <row r="388" spans="1:26" ht="15.75" customHeight="1">
      <c r="A388" s="125"/>
      <c r="B388" s="125"/>
      <c r="C388" s="125"/>
      <c r="D388" s="125"/>
      <c r="E388" s="125"/>
      <c r="F388" s="126"/>
      <c r="G388" s="125"/>
      <c r="H388" s="125"/>
      <c r="I388" s="125"/>
      <c r="J388" s="125"/>
      <c r="K388" s="125"/>
      <c r="L388" s="125"/>
      <c r="M388" s="125"/>
      <c r="N388" s="129"/>
      <c r="O388" s="125"/>
      <c r="P388" s="173"/>
      <c r="Q388" s="125"/>
      <c r="R388" s="125"/>
      <c r="S388" s="125"/>
      <c r="T388" s="125"/>
      <c r="U388" s="125"/>
      <c r="V388" s="125"/>
      <c r="W388" s="125"/>
      <c r="X388" s="125"/>
      <c r="Y388" s="125"/>
      <c r="Z388" s="125"/>
    </row>
    <row r="389" spans="1:26" ht="15.75" customHeight="1">
      <c r="A389" s="125"/>
      <c r="B389" s="125"/>
      <c r="C389" s="125"/>
      <c r="D389" s="125"/>
      <c r="E389" s="125"/>
      <c r="F389" s="126"/>
      <c r="G389" s="125"/>
      <c r="H389" s="125"/>
      <c r="I389" s="125"/>
      <c r="J389" s="125"/>
      <c r="K389" s="125"/>
      <c r="L389" s="125"/>
      <c r="M389" s="125"/>
      <c r="N389" s="129"/>
      <c r="O389" s="125"/>
      <c r="P389" s="173"/>
      <c r="Q389" s="125"/>
      <c r="R389" s="125"/>
      <c r="S389" s="125"/>
      <c r="T389" s="125"/>
      <c r="U389" s="125"/>
      <c r="V389" s="125"/>
      <c r="W389" s="125"/>
      <c r="X389" s="125"/>
      <c r="Y389" s="125"/>
      <c r="Z389" s="125"/>
    </row>
    <row r="390" spans="1:26" ht="15.75" customHeight="1">
      <c r="A390" s="125"/>
      <c r="B390" s="125"/>
      <c r="C390" s="125"/>
      <c r="D390" s="125"/>
      <c r="E390" s="125"/>
      <c r="F390" s="126"/>
      <c r="G390" s="125"/>
      <c r="H390" s="125"/>
      <c r="I390" s="125"/>
      <c r="J390" s="125"/>
      <c r="K390" s="125"/>
      <c r="L390" s="125"/>
      <c r="M390" s="125"/>
      <c r="N390" s="129"/>
      <c r="O390" s="125"/>
      <c r="P390" s="173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</row>
    <row r="391" spans="1:26" ht="15.75" customHeight="1">
      <c r="A391" s="125"/>
      <c r="B391" s="125"/>
      <c r="C391" s="125"/>
      <c r="D391" s="125"/>
      <c r="E391" s="125"/>
      <c r="F391" s="126"/>
      <c r="G391" s="125"/>
      <c r="H391" s="125"/>
      <c r="I391" s="125"/>
      <c r="J391" s="125"/>
      <c r="K391" s="125"/>
      <c r="L391" s="125"/>
      <c r="M391" s="125"/>
      <c r="N391" s="129"/>
      <c r="O391" s="125"/>
      <c r="P391" s="173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</row>
    <row r="392" spans="1:26" ht="15.75" customHeight="1">
      <c r="A392" s="125"/>
      <c r="B392" s="125"/>
      <c r="C392" s="125"/>
      <c r="D392" s="125"/>
      <c r="E392" s="125"/>
      <c r="F392" s="126"/>
      <c r="G392" s="125"/>
      <c r="H392" s="125"/>
      <c r="I392" s="125"/>
      <c r="J392" s="125"/>
      <c r="K392" s="125"/>
      <c r="L392" s="125"/>
      <c r="M392" s="125"/>
      <c r="N392" s="129"/>
      <c r="O392" s="125"/>
      <c r="P392" s="173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</row>
    <row r="393" spans="1:26" ht="15.75" customHeight="1">
      <c r="A393" s="125"/>
      <c r="B393" s="125"/>
      <c r="C393" s="125"/>
      <c r="D393" s="125"/>
      <c r="E393" s="125"/>
      <c r="F393" s="126"/>
      <c r="G393" s="125"/>
      <c r="H393" s="125"/>
      <c r="I393" s="125"/>
      <c r="J393" s="125"/>
      <c r="K393" s="125"/>
      <c r="L393" s="125"/>
      <c r="M393" s="125"/>
      <c r="N393" s="129"/>
      <c r="O393" s="125"/>
      <c r="P393" s="173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</row>
    <row r="394" spans="1:26" ht="15.75" customHeight="1">
      <c r="A394" s="125"/>
      <c r="B394" s="125"/>
      <c r="C394" s="125"/>
      <c r="D394" s="125"/>
      <c r="E394" s="125"/>
      <c r="F394" s="126"/>
      <c r="G394" s="125"/>
      <c r="H394" s="125"/>
      <c r="I394" s="125"/>
      <c r="J394" s="125"/>
      <c r="K394" s="125"/>
      <c r="L394" s="125"/>
      <c r="M394" s="125"/>
      <c r="N394" s="129"/>
      <c r="O394" s="125"/>
      <c r="P394" s="173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</row>
    <row r="395" spans="1:26" ht="15.75" customHeight="1">
      <c r="A395" s="125"/>
      <c r="B395" s="125"/>
      <c r="C395" s="125"/>
      <c r="D395" s="125"/>
      <c r="E395" s="125"/>
      <c r="F395" s="126"/>
      <c r="G395" s="125"/>
      <c r="H395" s="125"/>
      <c r="I395" s="125"/>
      <c r="J395" s="125"/>
      <c r="K395" s="125"/>
      <c r="L395" s="125"/>
      <c r="M395" s="125"/>
      <c r="N395" s="129"/>
      <c r="O395" s="125"/>
      <c r="P395" s="173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</row>
    <row r="396" spans="1:26" ht="15.75" customHeight="1">
      <c r="A396" s="125"/>
      <c r="B396" s="125"/>
      <c r="C396" s="125"/>
      <c r="D396" s="125"/>
      <c r="E396" s="125"/>
      <c r="F396" s="126"/>
      <c r="G396" s="125"/>
      <c r="H396" s="125"/>
      <c r="I396" s="125"/>
      <c r="J396" s="125"/>
      <c r="K396" s="125"/>
      <c r="L396" s="125"/>
      <c r="M396" s="125"/>
      <c r="N396" s="129"/>
      <c r="O396" s="125"/>
      <c r="P396" s="173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</row>
    <row r="397" spans="1:26" ht="15.75" customHeight="1">
      <c r="A397" s="125"/>
      <c r="B397" s="125"/>
      <c r="C397" s="125"/>
      <c r="D397" s="125"/>
      <c r="E397" s="125"/>
      <c r="F397" s="126"/>
      <c r="G397" s="125"/>
      <c r="H397" s="125"/>
      <c r="I397" s="125"/>
      <c r="J397" s="125"/>
      <c r="K397" s="125"/>
      <c r="L397" s="125"/>
      <c r="M397" s="125"/>
      <c r="N397" s="129"/>
      <c r="O397" s="125"/>
      <c r="P397" s="173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</row>
    <row r="398" spans="1:26" ht="15.75" customHeight="1">
      <c r="A398" s="125"/>
      <c r="B398" s="125"/>
      <c r="C398" s="125"/>
      <c r="D398" s="125"/>
      <c r="E398" s="125"/>
      <c r="F398" s="126"/>
      <c r="G398" s="125"/>
      <c r="H398" s="125"/>
      <c r="I398" s="125"/>
      <c r="J398" s="125"/>
      <c r="K398" s="125"/>
      <c r="L398" s="125"/>
      <c r="M398" s="125"/>
      <c r="N398" s="129"/>
      <c r="O398" s="125"/>
      <c r="P398" s="173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</row>
    <row r="399" spans="1:26" ht="15.75" customHeight="1">
      <c r="A399" s="125"/>
      <c r="B399" s="125"/>
      <c r="C399" s="125"/>
      <c r="D399" s="125"/>
      <c r="E399" s="125"/>
      <c r="F399" s="126"/>
      <c r="G399" s="125"/>
      <c r="H399" s="125"/>
      <c r="I399" s="125"/>
      <c r="J399" s="125"/>
      <c r="K399" s="125"/>
      <c r="L399" s="125"/>
      <c r="M399" s="125"/>
      <c r="N399" s="129"/>
      <c r="O399" s="125"/>
      <c r="P399" s="173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</row>
    <row r="400" spans="1:26" ht="15.75" customHeight="1">
      <c r="A400" s="125"/>
      <c r="B400" s="125"/>
      <c r="C400" s="125"/>
      <c r="D400" s="125"/>
      <c r="E400" s="125"/>
      <c r="F400" s="126"/>
      <c r="G400" s="125"/>
      <c r="H400" s="125"/>
      <c r="I400" s="125"/>
      <c r="J400" s="125"/>
      <c r="K400" s="125"/>
      <c r="L400" s="125"/>
      <c r="M400" s="125"/>
      <c r="N400" s="129"/>
      <c r="O400" s="125"/>
      <c r="P400" s="173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</row>
    <row r="401" spans="1:26" ht="15.75" customHeight="1">
      <c r="A401" s="125"/>
      <c r="B401" s="125"/>
      <c r="C401" s="125"/>
      <c r="D401" s="125"/>
      <c r="E401" s="125"/>
      <c r="F401" s="126"/>
      <c r="G401" s="125"/>
      <c r="H401" s="125"/>
      <c r="I401" s="125"/>
      <c r="J401" s="125"/>
      <c r="K401" s="125"/>
      <c r="L401" s="125"/>
      <c r="M401" s="125"/>
      <c r="N401" s="129"/>
      <c r="O401" s="125"/>
      <c r="P401" s="173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</row>
    <row r="402" spans="1:26" ht="15.75" customHeight="1">
      <c r="A402" s="125"/>
      <c r="B402" s="125"/>
      <c r="C402" s="125"/>
      <c r="D402" s="125"/>
      <c r="E402" s="125"/>
      <c r="F402" s="126"/>
      <c r="G402" s="125"/>
      <c r="H402" s="125"/>
      <c r="I402" s="125"/>
      <c r="J402" s="125"/>
      <c r="K402" s="125"/>
      <c r="L402" s="125"/>
      <c r="M402" s="125"/>
      <c r="N402" s="129"/>
      <c r="O402" s="125"/>
      <c r="P402" s="173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</row>
    <row r="403" spans="1:26" ht="15.75" customHeight="1">
      <c r="A403" s="125"/>
      <c r="B403" s="125"/>
      <c r="C403" s="125"/>
      <c r="D403" s="125"/>
      <c r="E403" s="125"/>
      <c r="F403" s="126"/>
      <c r="G403" s="125"/>
      <c r="H403" s="125"/>
      <c r="I403" s="125"/>
      <c r="J403" s="125"/>
      <c r="K403" s="125"/>
      <c r="L403" s="125"/>
      <c r="M403" s="125"/>
      <c r="N403" s="129"/>
      <c r="O403" s="125"/>
      <c r="P403" s="173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</row>
    <row r="404" spans="1:26" ht="15.75" customHeight="1">
      <c r="A404" s="125"/>
      <c r="B404" s="125"/>
      <c r="C404" s="125"/>
      <c r="D404" s="125"/>
      <c r="E404" s="125"/>
      <c r="F404" s="126"/>
      <c r="G404" s="125"/>
      <c r="H404" s="125"/>
      <c r="I404" s="125"/>
      <c r="J404" s="125"/>
      <c r="K404" s="125"/>
      <c r="L404" s="125"/>
      <c r="M404" s="125"/>
      <c r="N404" s="129"/>
      <c r="O404" s="125"/>
      <c r="P404" s="173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</row>
    <row r="405" spans="1:26" ht="15.75" customHeight="1">
      <c r="A405" s="125"/>
      <c r="B405" s="125"/>
      <c r="C405" s="125"/>
      <c r="D405" s="125"/>
      <c r="E405" s="125"/>
      <c r="F405" s="126"/>
      <c r="G405" s="125"/>
      <c r="H405" s="125"/>
      <c r="I405" s="125"/>
      <c r="J405" s="125"/>
      <c r="K405" s="125"/>
      <c r="L405" s="125"/>
      <c r="M405" s="125"/>
      <c r="N405" s="129"/>
      <c r="O405" s="125"/>
      <c r="P405" s="173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</row>
    <row r="406" spans="1:26" ht="15.75" customHeight="1">
      <c r="A406" s="125"/>
      <c r="B406" s="125"/>
      <c r="C406" s="125"/>
      <c r="D406" s="125"/>
      <c r="E406" s="125"/>
      <c r="F406" s="126"/>
      <c r="G406" s="125"/>
      <c r="H406" s="125"/>
      <c r="I406" s="125"/>
      <c r="J406" s="125"/>
      <c r="K406" s="125"/>
      <c r="L406" s="125"/>
      <c r="M406" s="125"/>
      <c r="N406" s="129"/>
      <c r="O406" s="125"/>
      <c r="P406" s="173"/>
      <c r="Q406" s="125"/>
      <c r="R406" s="125"/>
      <c r="S406" s="125"/>
      <c r="T406" s="125"/>
      <c r="U406" s="125"/>
      <c r="V406" s="125"/>
      <c r="W406" s="125"/>
      <c r="X406" s="125"/>
      <c r="Y406" s="125"/>
      <c r="Z406" s="125"/>
    </row>
    <row r="407" spans="1:26" ht="15.75" customHeight="1">
      <c r="A407" s="125"/>
      <c r="B407" s="125"/>
      <c r="C407" s="125"/>
      <c r="D407" s="125"/>
      <c r="E407" s="125"/>
      <c r="F407" s="126"/>
      <c r="G407" s="125"/>
      <c r="H407" s="125"/>
      <c r="I407" s="125"/>
      <c r="J407" s="125"/>
      <c r="K407" s="125"/>
      <c r="L407" s="125"/>
      <c r="M407" s="125"/>
      <c r="N407" s="129"/>
      <c r="O407" s="125"/>
      <c r="P407" s="173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</row>
    <row r="408" spans="1:26" ht="15.75" customHeight="1">
      <c r="A408" s="125"/>
      <c r="B408" s="125"/>
      <c r="C408" s="125"/>
      <c r="D408" s="125"/>
      <c r="E408" s="125"/>
      <c r="F408" s="126"/>
      <c r="G408" s="125"/>
      <c r="H408" s="125"/>
      <c r="I408" s="125"/>
      <c r="J408" s="125"/>
      <c r="K408" s="125"/>
      <c r="L408" s="125"/>
      <c r="M408" s="125"/>
      <c r="N408" s="129"/>
      <c r="O408" s="125"/>
      <c r="P408" s="173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</row>
    <row r="409" spans="1:26" ht="15.75" customHeight="1">
      <c r="A409" s="125"/>
      <c r="B409" s="125"/>
      <c r="C409" s="125"/>
      <c r="D409" s="125"/>
      <c r="E409" s="125"/>
      <c r="F409" s="126"/>
      <c r="G409" s="125"/>
      <c r="H409" s="125"/>
      <c r="I409" s="125"/>
      <c r="J409" s="125"/>
      <c r="K409" s="125"/>
      <c r="L409" s="125"/>
      <c r="M409" s="125"/>
      <c r="N409" s="129"/>
      <c r="O409" s="125"/>
      <c r="P409" s="173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</row>
    <row r="410" spans="1:26" ht="15.75" customHeight="1">
      <c r="A410" s="125"/>
      <c r="B410" s="125"/>
      <c r="C410" s="125"/>
      <c r="D410" s="125"/>
      <c r="E410" s="125"/>
      <c r="F410" s="126"/>
      <c r="G410" s="125"/>
      <c r="H410" s="125"/>
      <c r="I410" s="125"/>
      <c r="J410" s="125"/>
      <c r="K410" s="125"/>
      <c r="L410" s="125"/>
      <c r="M410" s="125"/>
      <c r="N410" s="129"/>
      <c r="O410" s="125"/>
      <c r="P410" s="173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</row>
    <row r="411" spans="1:26" ht="15.75" customHeight="1">
      <c r="A411" s="125"/>
      <c r="B411" s="125"/>
      <c r="C411" s="125"/>
      <c r="D411" s="125"/>
      <c r="E411" s="125"/>
      <c r="F411" s="126"/>
      <c r="G411" s="125"/>
      <c r="H411" s="125"/>
      <c r="I411" s="125"/>
      <c r="J411" s="125"/>
      <c r="K411" s="125"/>
      <c r="L411" s="125"/>
      <c r="M411" s="125"/>
      <c r="N411" s="129"/>
      <c r="O411" s="125"/>
      <c r="P411" s="173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</row>
    <row r="412" spans="1:26" ht="15.75" customHeight="1">
      <c r="A412" s="125"/>
      <c r="B412" s="125"/>
      <c r="C412" s="125"/>
      <c r="D412" s="125"/>
      <c r="E412" s="125"/>
      <c r="F412" s="126"/>
      <c r="G412" s="125"/>
      <c r="H412" s="125"/>
      <c r="I412" s="125"/>
      <c r="J412" s="125"/>
      <c r="K412" s="125"/>
      <c r="L412" s="125"/>
      <c r="M412" s="125"/>
      <c r="N412" s="129"/>
      <c r="O412" s="125"/>
      <c r="P412" s="173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</row>
    <row r="413" spans="1:26" ht="15.75" customHeight="1">
      <c r="A413" s="125"/>
      <c r="B413" s="125"/>
      <c r="C413" s="125"/>
      <c r="D413" s="125"/>
      <c r="E413" s="125"/>
      <c r="F413" s="126"/>
      <c r="G413" s="125"/>
      <c r="H413" s="125"/>
      <c r="I413" s="125"/>
      <c r="J413" s="125"/>
      <c r="K413" s="125"/>
      <c r="L413" s="125"/>
      <c r="M413" s="125"/>
      <c r="N413" s="129"/>
      <c r="O413" s="125"/>
      <c r="P413" s="173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</row>
    <row r="414" spans="1:26" ht="15.75" customHeight="1">
      <c r="A414" s="125"/>
      <c r="B414" s="125"/>
      <c r="C414" s="125"/>
      <c r="D414" s="125"/>
      <c r="E414" s="125"/>
      <c r="F414" s="126"/>
      <c r="G414" s="125"/>
      <c r="H414" s="125"/>
      <c r="I414" s="125"/>
      <c r="J414" s="125"/>
      <c r="K414" s="125"/>
      <c r="L414" s="125"/>
      <c r="M414" s="125"/>
      <c r="N414" s="129"/>
      <c r="O414" s="125"/>
      <c r="P414" s="173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</row>
    <row r="415" spans="1:26" ht="15.75" customHeight="1">
      <c r="A415" s="125"/>
      <c r="B415" s="125"/>
      <c r="C415" s="125"/>
      <c r="D415" s="125"/>
      <c r="E415" s="125"/>
      <c r="F415" s="126"/>
      <c r="G415" s="125"/>
      <c r="H415" s="125"/>
      <c r="I415" s="125"/>
      <c r="J415" s="125"/>
      <c r="K415" s="125"/>
      <c r="L415" s="125"/>
      <c r="M415" s="125"/>
      <c r="N415" s="129"/>
      <c r="O415" s="125"/>
      <c r="P415" s="173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</row>
    <row r="416" spans="1:26" ht="15.75" customHeight="1">
      <c r="A416" s="125"/>
      <c r="B416" s="125"/>
      <c r="C416" s="125"/>
      <c r="D416" s="125"/>
      <c r="E416" s="125"/>
      <c r="F416" s="126"/>
      <c r="G416" s="125"/>
      <c r="H416" s="125"/>
      <c r="I416" s="125"/>
      <c r="J416" s="125"/>
      <c r="K416" s="125"/>
      <c r="L416" s="125"/>
      <c r="M416" s="125"/>
      <c r="N416" s="129"/>
      <c r="O416" s="125"/>
      <c r="P416" s="173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</row>
    <row r="417" spans="1:26" ht="15.75" customHeight="1">
      <c r="A417" s="125"/>
      <c r="B417" s="125"/>
      <c r="C417" s="125"/>
      <c r="D417" s="125"/>
      <c r="E417" s="125"/>
      <c r="F417" s="126"/>
      <c r="G417" s="125"/>
      <c r="H417" s="125"/>
      <c r="I417" s="125"/>
      <c r="J417" s="125"/>
      <c r="K417" s="125"/>
      <c r="L417" s="125"/>
      <c r="M417" s="125"/>
      <c r="N417" s="129"/>
      <c r="O417" s="125"/>
      <c r="P417" s="173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</row>
    <row r="418" spans="1:26" ht="15.75" customHeight="1">
      <c r="A418" s="125"/>
      <c r="B418" s="125"/>
      <c r="C418" s="125"/>
      <c r="D418" s="125"/>
      <c r="E418" s="125"/>
      <c r="F418" s="126"/>
      <c r="G418" s="125"/>
      <c r="H418" s="125"/>
      <c r="I418" s="125"/>
      <c r="J418" s="125"/>
      <c r="K418" s="125"/>
      <c r="L418" s="125"/>
      <c r="M418" s="125"/>
      <c r="N418" s="129"/>
      <c r="O418" s="125"/>
      <c r="P418" s="173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</row>
    <row r="419" spans="1:26" ht="15.75" customHeight="1">
      <c r="A419" s="125"/>
      <c r="B419" s="125"/>
      <c r="C419" s="125"/>
      <c r="D419" s="125"/>
      <c r="E419" s="125"/>
      <c r="F419" s="126"/>
      <c r="G419" s="125"/>
      <c r="H419" s="125"/>
      <c r="I419" s="125"/>
      <c r="J419" s="125"/>
      <c r="K419" s="125"/>
      <c r="L419" s="125"/>
      <c r="M419" s="125"/>
      <c r="N419" s="129"/>
      <c r="O419" s="125"/>
      <c r="P419" s="173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</row>
    <row r="420" spans="1:26" ht="15.75" customHeight="1">
      <c r="A420" s="125"/>
      <c r="B420" s="125"/>
      <c r="C420" s="125"/>
      <c r="D420" s="125"/>
      <c r="E420" s="125"/>
      <c r="F420" s="126"/>
      <c r="G420" s="125"/>
      <c r="H420" s="125"/>
      <c r="I420" s="125"/>
      <c r="J420" s="125"/>
      <c r="K420" s="125"/>
      <c r="L420" s="125"/>
      <c r="M420" s="125"/>
      <c r="N420" s="129"/>
      <c r="O420" s="125"/>
      <c r="P420" s="173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</row>
    <row r="421" spans="1:26" ht="15.75" customHeight="1">
      <c r="A421" s="125"/>
      <c r="B421" s="125"/>
      <c r="C421" s="125"/>
      <c r="D421" s="125"/>
      <c r="E421" s="125"/>
      <c r="F421" s="126"/>
      <c r="G421" s="125"/>
      <c r="H421" s="125"/>
      <c r="I421" s="125"/>
      <c r="J421" s="125"/>
      <c r="K421" s="125"/>
      <c r="L421" s="125"/>
      <c r="M421" s="125"/>
      <c r="N421" s="129"/>
      <c r="O421" s="125"/>
      <c r="P421" s="173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</row>
    <row r="422" spans="1:26" ht="15.75" customHeight="1">
      <c r="A422" s="125"/>
      <c r="B422" s="125"/>
      <c r="C422" s="125"/>
      <c r="D422" s="125"/>
      <c r="E422" s="125"/>
      <c r="F422" s="126"/>
      <c r="G422" s="125"/>
      <c r="H422" s="125"/>
      <c r="I422" s="125"/>
      <c r="J422" s="125"/>
      <c r="K422" s="125"/>
      <c r="L422" s="125"/>
      <c r="M422" s="125"/>
      <c r="N422" s="129"/>
      <c r="O422" s="125"/>
      <c r="P422" s="173"/>
      <c r="Q422" s="125"/>
      <c r="R422" s="125"/>
      <c r="S422" s="125"/>
      <c r="T422" s="125"/>
      <c r="U422" s="125"/>
      <c r="V422" s="125"/>
      <c r="W422" s="125"/>
      <c r="X422" s="125"/>
      <c r="Y422" s="125"/>
      <c r="Z422" s="125"/>
    </row>
    <row r="423" spans="1:26" ht="15.75" customHeight="1">
      <c r="A423" s="125"/>
      <c r="B423" s="125"/>
      <c r="C423" s="125"/>
      <c r="D423" s="125"/>
      <c r="E423" s="125"/>
      <c r="F423" s="126"/>
      <c r="G423" s="125"/>
      <c r="H423" s="125"/>
      <c r="I423" s="125"/>
      <c r="J423" s="125"/>
      <c r="K423" s="125"/>
      <c r="L423" s="125"/>
      <c r="M423" s="125"/>
      <c r="N423" s="129"/>
      <c r="O423" s="125"/>
      <c r="P423" s="173"/>
      <c r="Q423" s="125"/>
      <c r="R423" s="125"/>
      <c r="S423" s="125"/>
      <c r="T423" s="125"/>
      <c r="U423" s="125"/>
      <c r="V423" s="125"/>
      <c r="W423" s="125"/>
      <c r="X423" s="125"/>
      <c r="Y423" s="125"/>
      <c r="Z423" s="125"/>
    </row>
    <row r="424" spans="1:26" ht="15.75" customHeight="1">
      <c r="A424" s="125"/>
      <c r="B424" s="125"/>
      <c r="C424" s="125"/>
      <c r="D424" s="125"/>
      <c r="E424" s="125"/>
      <c r="F424" s="126"/>
      <c r="G424" s="125"/>
      <c r="H424" s="125"/>
      <c r="I424" s="125"/>
      <c r="J424" s="125"/>
      <c r="K424" s="125"/>
      <c r="L424" s="125"/>
      <c r="M424" s="125"/>
      <c r="N424" s="129"/>
      <c r="O424" s="125"/>
      <c r="P424" s="173"/>
      <c r="Q424" s="125"/>
      <c r="R424" s="125"/>
      <c r="S424" s="125"/>
      <c r="T424" s="125"/>
      <c r="U424" s="125"/>
      <c r="V424" s="125"/>
      <c r="W424" s="125"/>
      <c r="X424" s="125"/>
      <c r="Y424" s="125"/>
      <c r="Z424" s="125"/>
    </row>
    <row r="425" spans="1:26" ht="15.75" customHeight="1">
      <c r="A425" s="125"/>
      <c r="B425" s="125"/>
      <c r="C425" s="125"/>
      <c r="D425" s="125"/>
      <c r="E425" s="125"/>
      <c r="F425" s="126"/>
      <c r="G425" s="125"/>
      <c r="H425" s="125"/>
      <c r="I425" s="125"/>
      <c r="J425" s="125"/>
      <c r="K425" s="125"/>
      <c r="L425" s="125"/>
      <c r="M425" s="125"/>
      <c r="N425" s="129"/>
      <c r="O425" s="125"/>
      <c r="P425" s="173"/>
      <c r="Q425" s="125"/>
      <c r="R425" s="125"/>
      <c r="S425" s="125"/>
      <c r="T425" s="125"/>
      <c r="U425" s="125"/>
      <c r="V425" s="125"/>
      <c r="W425" s="125"/>
      <c r="X425" s="125"/>
      <c r="Y425" s="125"/>
      <c r="Z425" s="125"/>
    </row>
    <row r="426" spans="1:26" ht="15.75" customHeight="1">
      <c r="A426" s="125"/>
      <c r="B426" s="125"/>
      <c r="C426" s="125"/>
      <c r="D426" s="125"/>
      <c r="E426" s="125"/>
      <c r="F426" s="126"/>
      <c r="G426" s="125"/>
      <c r="H426" s="125"/>
      <c r="I426" s="125"/>
      <c r="J426" s="125"/>
      <c r="K426" s="125"/>
      <c r="L426" s="125"/>
      <c r="M426" s="125"/>
      <c r="N426" s="129"/>
      <c r="O426" s="125"/>
      <c r="P426" s="173"/>
      <c r="Q426" s="125"/>
      <c r="R426" s="125"/>
      <c r="S426" s="125"/>
      <c r="T426" s="125"/>
      <c r="U426" s="125"/>
      <c r="V426" s="125"/>
      <c r="W426" s="125"/>
      <c r="X426" s="125"/>
      <c r="Y426" s="125"/>
      <c r="Z426" s="125"/>
    </row>
    <row r="427" spans="1:26" ht="15.75" customHeight="1">
      <c r="A427" s="125"/>
      <c r="B427" s="125"/>
      <c r="C427" s="125"/>
      <c r="D427" s="125"/>
      <c r="E427" s="125"/>
      <c r="F427" s="126"/>
      <c r="G427" s="125"/>
      <c r="H427" s="125"/>
      <c r="I427" s="125"/>
      <c r="J427" s="125"/>
      <c r="K427" s="125"/>
      <c r="L427" s="125"/>
      <c r="M427" s="125"/>
      <c r="N427" s="129"/>
      <c r="O427" s="125"/>
      <c r="P427" s="173"/>
      <c r="Q427" s="125"/>
      <c r="R427" s="125"/>
      <c r="S427" s="125"/>
      <c r="T427" s="125"/>
      <c r="U427" s="125"/>
      <c r="V427" s="125"/>
      <c r="W427" s="125"/>
      <c r="X427" s="125"/>
      <c r="Y427" s="125"/>
      <c r="Z427" s="125"/>
    </row>
    <row r="428" spans="1:26" ht="15.75" customHeight="1">
      <c r="A428" s="125"/>
      <c r="B428" s="125"/>
      <c r="C428" s="125"/>
      <c r="D428" s="125"/>
      <c r="E428" s="125"/>
      <c r="F428" s="126"/>
      <c r="G428" s="125"/>
      <c r="H428" s="125"/>
      <c r="I428" s="125"/>
      <c r="J428" s="125"/>
      <c r="K428" s="125"/>
      <c r="L428" s="125"/>
      <c r="M428" s="125"/>
      <c r="N428" s="129"/>
      <c r="O428" s="125"/>
      <c r="P428" s="173"/>
      <c r="Q428" s="125"/>
      <c r="R428" s="125"/>
      <c r="S428" s="125"/>
      <c r="T428" s="125"/>
      <c r="U428" s="125"/>
      <c r="V428" s="125"/>
      <c r="W428" s="125"/>
      <c r="X428" s="125"/>
      <c r="Y428" s="125"/>
      <c r="Z428" s="125"/>
    </row>
    <row r="429" spans="1:26" ht="15.75" customHeight="1">
      <c r="A429" s="125"/>
      <c r="B429" s="125"/>
      <c r="C429" s="125"/>
      <c r="D429" s="125"/>
      <c r="E429" s="125"/>
      <c r="F429" s="126"/>
      <c r="G429" s="125"/>
      <c r="H429" s="125"/>
      <c r="I429" s="125"/>
      <c r="J429" s="125"/>
      <c r="K429" s="125"/>
      <c r="L429" s="125"/>
      <c r="M429" s="125"/>
      <c r="N429" s="129"/>
      <c r="O429" s="125"/>
      <c r="P429" s="173"/>
      <c r="Q429" s="125"/>
      <c r="R429" s="125"/>
      <c r="S429" s="125"/>
      <c r="T429" s="125"/>
      <c r="U429" s="125"/>
      <c r="V429" s="125"/>
      <c r="W429" s="125"/>
      <c r="X429" s="125"/>
      <c r="Y429" s="125"/>
      <c r="Z429" s="125"/>
    </row>
    <row r="430" spans="1:26" ht="15.75" customHeight="1">
      <c r="A430" s="125"/>
      <c r="B430" s="125"/>
      <c r="C430" s="125"/>
      <c r="D430" s="125"/>
      <c r="E430" s="125"/>
      <c r="F430" s="126"/>
      <c r="G430" s="125"/>
      <c r="H430" s="125"/>
      <c r="I430" s="125"/>
      <c r="J430" s="125"/>
      <c r="K430" s="125"/>
      <c r="L430" s="125"/>
      <c r="M430" s="125"/>
      <c r="N430" s="129"/>
      <c r="O430" s="125"/>
      <c r="P430" s="173"/>
      <c r="Q430" s="125"/>
      <c r="R430" s="125"/>
      <c r="S430" s="125"/>
      <c r="T430" s="125"/>
      <c r="U430" s="125"/>
      <c r="V430" s="125"/>
      <c r="W430" s="125"/>
      <c r="X430" s="125"/>
      <c r="Y430" s="125"/>
      <c r="Z430" s="125"/>
    </row>
    <row r="431" spans="1:26" ht="15.75" customHeight="1">
      <c r="A431" s="125"/>
      <c r="B431" s="125"/>
      <c r="C431" s="125"/>
      <c r="D431" s="125"/>
      <c r="E431" s="125"/>
      <c r="F431" s="126"/>
      <c r="G431" s="125"/>
      <c r="H431" s="125"/>
      <c r="I431" s="125"/>
      <c r="J431" s="125"/>
      <c r="K431" s="125"/>
      <c r="L431" s="125"/>
      <c r="M431" s="125"/>
      <c r="N431" s="129"/>
      <c r="O431" s="125"/>
      <c r="P431" s="173"/>
      <c r="Q431" s="125"/>
      <c r="R431" s="125"/>
      <c r="S431" s="125"/>
      <c r="T431" s="125"/>
      <c r="U431" s="125"/>
      <c r="V431" s="125"/>
      <c r="W431" s="125"/>
      <c r="X431" s="125"/>
      <c r="Y431" s="125"/>
      <c r="Z431" s="125"/>
    </row>
    <row r="432" spans="1:26" ht="15.75" customHeight="1">
      <c r="A432" s="125"/>
      <c r="B432" s="125"/>
      <c r="C432" s="125"/>
      <c r="D432" s="125"/>
      <c r="E432" s="125"/>
      <c r="F432" s="126"/>
      <c r="G432" s="125"/>
      <c r="H432" s="125"/>
      <c r="I432" s="125"/>
      <c r="J432" s="125"/>
      <c r="K432" s="125"/>
      <c r="L432" s="125"/>
      <c r="M432" s="125"/>
      <c r="N432" s="129"/>
      <c r="O432" s="125"/>
      <c r="P432" s="173"/>
      <c r="Q432" s="125"/>
      <c r="R432" s="125"/>
      <c r="S432" s="125"/>
      <c r="T432" s="125"/>
      <c r="U432" s="125"/>
      <c r="V432" s="125"/>
      <c r="W432" s="125"/>
      <c r="X432" s="125"/>
      <c r="Y432" s="125"/>
      <c r="Z432" s="125"/>
    </row>
    <row r="433" spans="1:26" ht="15.75" customHeight="1">
      <c r="A433" s="125"/>
      <c r="B433" s="125"/>
      <c r="C433" s="125"/>
      <c r="D433" s="125"/>
      <c r="E433" s="125"/>
      <c r="F433" s="126"/>
      <c r="G433" s="125"/>
      <c r="H433" s="125"/>
      <c r="I433" s="125"/>
      <c r="J433" s="125"/>
      <c r="K433" s="125"/>
      <c r="L433" s="125"/>
      <c r="M433" s="125"/>
      <c r="N433" s="129"/>
      <c r="O433" s="125"/>
      <c r="P433" s="173"/>
      <c r="Q433" s="125"/>
      <c r="R433" s="125"/>
      <c r="S433" s="125"/>
      <c r="T433" s="125"/>
      <c r="U433" s="125"/>
      <c r="V433" s="125"/>
      <c r="W433" s="125"/>
      <c r="X433" s="125"/>
      <c r="Y433" s="125"/>
      <c r="Z433" s="125"/>
    </row>
    <row r="434" spans="1:26" ht="15.75" customHeight="1">
      <c r="A434" s="125"/>
      <c r="B434" s="125"/>
      <c r="C434" s="125"/>
      <c r="D434" s="125"/>
      <c r="E434" s="125"/>
      <c r="F434" s="126"/>
      <c r="G434" s="125"/>
      <c r="H434" s="125"/>
      <c r="I434" s="125"/>
      <c r="J434" s="125"/>
      <c r="K434" s="125"/>
      <c r="L434" s="125"/>
      <c r="M434" s="125"/>
      <c r="N434" s="129"/>
      <c r="O434" s="125"/>
      <c r="P434" s="173"/>
      <c r="Q434" s="125"/>
      <c r="R434" s="125"/>
      <c r="S434" s="125"/>
      <c r="T434" s="125"/>
      <c r="U434" s="125"/>
      <c r="V434" s="125"/>
      <c r="W434" s="125"/>
      <c r="X434" s="125"/>
      <c r="Y434" s="125"/>
      <c r="Z434" s="125"/>
    </row>
    <row r="435" spans="1:26" ht="15.75" customHeight="1">
      <c r="A435" s="125"/>
      <c r="B435" s="125"/>
      <c r="C435" s="125"/>
      <c r="D435" s="125"/>
      <c r="E435" s="125"/>
      <c r="F435" s="126"/>
      <c r="G435" s="125"/>
      <c r="H435" s="125"/>
      <c r="I435" s="125"/>
      <c r="J435" s="125"/>
      <c r="K435" s="125"/>
      <c r="L435" s="125"/>
      <c r="M435" s="125"/>
      <c r="N435" s="129"/>
      <c r="O435" s="125"/>
      <c r="P435" s="173"/>
      <c r="Q435" s="125"/>
      <c r="R435" s="125"/>
      <c r="S435" s="125"/>
      <c r="T435" s="125"/>
      <c r="U435" s="125"/>
      <c r="V435" s="125"/>
      <c r="W435" s="125"/>
      <c r="X435" s="125"/>
      <c r="Y435" s="125"/>
      <c r="Z435" s="125"/>
    </row>
    <row r="436" spans="1:26" ht="15.75" customHeight="1">
      <c r="A436" s="125"/>
      <c r="B436" s="125"/>
      <c r="C436" s="125"/>
      <c r="D436" s="125"/>
      <c r="E436" s="125"/>
      <c r="F436" s="126"/>
      <c r="G436" s="125"/>
      <c r="H436" s="125"/>
      <c r="I436" s="125"/>
      <c r="J436" s="125"/>
      <c r="K436" s="125"/>
      <c r="L436" s="125"/>
      <c r="M436" s="125"/>
      <c r="N436" s="129"/>
      <c r="O436" s="125"/>
      <c r="P436" s="173"/>
      <c r="Q436" s="125"/>
      <c r="R436" s="125"/>
      <c r="S436" s="125"/>
      <c r="T436" s="125"/>
      <c r="U436" s="125"/>
      <c r="V436" s="125"/>
      <c r="W436" s="125"/>
      <c r="X436" s="125"/>
      <c r="Y436" s="125"/>
      <c r="Z436" s="125"/>
    </row>
    <row r="437" spans="1:26" ht="15.75" customHeight="1">
      <c r="A437" s="125"/>
      <c r="B437" s="125"/>
      <c r="C437" s="125"/>
      <c r="D437" s="125"/>
      <c r="E437" s="125"/>
      <c r="F437" s="126"/>
      <c r="G437" s="125"/>
      <c r="H437" s="125"/>
      <c r="I437" s="125"/>
      <c r="J437" s="125"/>
      <c r="K437" s="125"/>
      <c r="L437" s="125"/>
      <c r="M437" s="125"/>
      <c r="N437" s="129"/>
      <c r="O437" s="125"/>
      <c r="P437" s="173"/>
      <c r="Q437" s="125"/>
      <c r="R437" s="125"/>
      <c r="S437" s="125"/>
      <c r="T437" s="125"/>
      <c r="U437" s="125"/>
      <c r="V437" s="125"/>
      <c r="W437" s="125"/>
      <c r="X437" s="125"/>
      <c r="Y437" s="125"/>
      <c r="Z437" s="125"/>
    </row>
    <row r="438" spans="1:26" ht="15.75" customHeight="1">
      <c r="A438" s="125"/>
      <c r="B438" s="125"/>
      <c r="C438" s="125"/>
      <c r="D438" s="125"/>
      <c r="E438" s="125"/>
      <c r="F438" s="126"/>
      <c r="G438" s="125"/>
      <c r="H438" s="125"/>
      <c r="I438" s="125"/>
      <c r="J438" s="125"/>
      <c r="K438" s="125"/>
      <c r="L438" s="125"/>
      <c r="M438" s="125"/>
      <c r="N438" s="129"/>
      <c r="O438" s="125"/>
      <c r="P438" s="173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</row>
    <row r="439" spans="1:26" ht="15.75" customHeight="1">
      <c r="A439" s="125"/>
      <c r="B439" s="125"/>
      <c r="C439" s="125"/>
      <c r="D439" s="125"/>
      <c r="E439" s="125"/>
      <c r="F439" s="126"/>
      <c r="G439" s="125"/>
      <c r="H439" s="125"/>
      <c r="I439" s="125"/>
      <c r="J439" s="125"/>
      <c r="K439" s="125"/>
      <c r="L439" s="125"/>
      <c r="M439" s="125"/>
      <c r="N439" s="129"/>
      <c r="O439" s="125"/>
      <c r="P439" s="173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</row>
    <row r="440" spans="1:26" ht="15.75" customHeight="1">
      <c r="A440" s="125"/>
      <c r="B440" s="125"/>
      <c r="C440" s="125"/>
      <c r="D440" s="125"/>
      <c r="E440" s="125"/>
      <c r="F440" s="126"/>
      <c r="G440" s="125"/>
      <c r="H440" s="125"/>
      <c r="I440" s="125"/>
      <c r="J440" s="125"/>
      <c r="K440" s="125"/>
      <c r="L440" s="125"/>
      <c r="M440" s="125"/>
      <c r="N440" s="129"/>
      <c r="O440" s="125"/>
      <c r="P440" s="173"/>
      <c r="Q440" s="125"/>
      <c r="R440" s="125"/>
      <c r="S440" s="125"/>
      <c r="T440" s="125"/>
      <c r="U440" s="125"/>
      <c r="V440" s="125"/>
      <c r="W440" s="125"/>
      <c r="X440" s="125"/>
      <c r="Y440" s="125"/>
      <c r="Z440" s="125"/>
    </row>
    <row r="441" spans="1:26" ht="15.75" customHeight="1">
      <c r="A441" s="125"/>
      <c r="B441" s="125"/>
      <c r="C441" s="125"/>
      <c r="D441" s="125"/>
      <c r="E441" s="125"/>
      <c r="F441" s="126"/>
      <c r="G441" s="125"/>
      <c r="H441" s="125"/>
      <c r="I441" s="125"/>
      <c r="J441" s="125"/>
      <c r="K441" s="125"/>
      <c r="L441" s="125"/>
      <c r="M441" s="125"/>
      <c r="N441" s="129"/>
      <c r="O441" s="125"/>
      <c r="P441" s="173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</row>
    <row r="442" spans="1:26" ht="15.75" customHeight="1">
      <c r="A442" s="125"/>
      <c r="B442" s="125"/>
      <c r="C442" s="125"/>
      <c r="D442" s="125"/>
      <c r="E442" s="125"/>
      <c r="F442" s="126"/>
      <c r="G442" s="125"/>
      <c r="H442" s="125"/>
      <c r="I442" s="125"/>
      <c r="J442" s="125"/>
      <c r="K442" s="125"/>
      <c r="L442" s="125"/>
      <c r="M442" s="125"/>
      <c r="N442" s="129"/>
      <c r="O442" s="125"/>
      <c r="P442" s="173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</row>
    <row r="443" spans="1:26" ht="15.75" customHeight="1">
      <c r="A443" s="125"/>
      <c r="B443" s="125"/>
      <c r="C443" s="125"/>
      <c r="D443" s="125"/>
      <c r="E443" s="125"/>
      <c r="F443" s="126"/>
      <c r="G443" s="125"/>
      <c r="H443" s="125"/>
      <c r="I443" s="125"/>
      <c r="J443" s="125"/>
      <c r="K443" s="125"/>
      <c r="L443" s="125"/>
      <c r="M443" s="125"/>
      <c r="N443" s="129"/>
      <c r="O443" s="125"/>
      <c r="P443" s="173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</row>
    <row r="444" spans="1:26" ht="15.75" customHeight="1">
      <c r="A444" s="125"/>
      <c r="B444" s="125"/>
      <c r="C444" s="125"/>
      <c r="D444" s="125"/>
      <c r="E444" s="125"/>
      <c r="F444" s="126"/>
      <c r="G444" s="125"/>
      <c r="H444" s="125"/>
      <c r="I444" s="125"/>
      <c r="J444" s="125"/>
      <c r="K444" s="125"/>
      <c r="L444" s="125"/>
      <c r="M444" s="125"/>
      <c r="N444" s="129"/>
      <c r="O444" s="125"/>
      <c r="P444" s="173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</row>
    <row r="445" spans="1:26" ht="15.75" customHeight="1">
      <c r="A445" s="125"/>
      <c r="B445" s="125"/>
      <c r="C445" s="125"/>
      <c r="D445" s="125"/>
      <c r="E445" s="125"/>
      <c r="F445" s="126"/>
      <c r="G445" s="125"/>
      <c r="H445" s="125"/>
      <c r="I445" s="125"/>
      <c r="J445" s="125"/>
      <c r="K445" s="125"/>
      <c r="L445" s="125"/>
      <c r="M445" s="125"/>
      <c r="N445" s="129"/>
      <c r="O445" s="125"/>
      <c r="P445" s="173"/>
      <c r="Q445" s="125"/>
      <c r="R445" s="125"/>
      <c r="S445" s="125"/>
      <c r="T445" s="125"/>
      <c r="U445" s="125"/>
      <c r="V445" s="125"/>
      <c r="W445" s="125"/>
      <c r="X445" s="125"/>
      <c r="Y445" s="125"/>
      <c r="Z445" s="125"/>
    </row>
    <row r="446" spans="1:26" ht="15.75" customHeight="1">
      <c r="A446" s="125"/>
      <c r="B446" s="125"/>
      <c r="C446" s="125"/>
      <c r="D446" s="125"/>
      <c r="E446" s="125"/>
      <c r="F446" s="126"/>
      <c r="G446" s="125"/>
      <c r="H446" s="125"/>
      <c r="I446" s="125"/>
      <c r="J446" s="125"/>
      <c r="K446" s="125"/>
      <c r="L446" s="125"/>
      <c r="M446" s="125"/>
      <c r="N446" s="129"/>
      <c r="O446" s="125"/>
      <c r="P446" s="173"/>
      <c r="Q446" s="125"/>
      <c r="R446" s="125"/>
      <c r="S446" s="125"/>
      <c r="T446" s="125"/>
      <c r="U446" s="125"/>
      <c r="V446" s="125"/>
      <c r="W446" s="125"/>
      <c r="X446" s="125"/>
      <c r="Y446" s="125"/>
      <c r="Z446" s="125"/>
    </row>
    <row r="447" spans="1:26" ht="15.75" customHeight="1">
      <c r="A447" s="125"/>
      <c r="B447" s="125"/>
      <c r="C447" s="125"/>
      <c r="D447" s="125"/>
      <c r="E447" s="125"/>
      <c r="F447" s="126"/>
      <c r="G447" s="125"/>
      <c r="H447" s="125"/>
      <c r="I447" s="125"/>
      <c r="J447" s="125"/>
      <c r="K447" s="125"/>
      <c r="L447" s="125"/>
      <c r="M447" s="125"/>
      <c r="N447" s="129"/>
      <c r="O447" s="125"/>
      <c r="P447" s="173"/>
      <c r="Q447" s="125"/>
      <c r="R447" s="125"/>
      <c r="S447" s="125"/>
      <c r="T447" s="125"/>
      <c r="U447" s="125"/>
      <c r="V447" s="125"/>
      <c r="W447" s="125"/>
      <c r="X447" s="125"/>
      <c r="Y447" s="125"/>
      <c r="Z447" s="125"/>
    </row>
    <row r="448" spans="1:26" ht="15.75" customHeight="1">
      <c r="A448" s="125"/>
      <c r="B448" s="125"/>
      <c r="C448" s="125"/>
      <c r="D448" s="125"/>
      <c r="E448" s="125"/>
      <c r="F448" s="126"/>
      <c r="G448" s="125"/>
      <c r="H448" s="125"/>
      <c r="I448" s="125"/>
      <c r="J448" s="125"/>
      <c r="K448" s="125"/>
      <c r="L448" s="125"/>
      <c r="M448" s="125"/>
      <c r="N448" s="129"/>
      <c r="O448" s="125"/>
      <c r="P448" s="173"/>
      <c r="Q448" s="125"/>
      <c r="R448" s="125"/>
      <c r="S448" s="125"/>
      <c r="T448" s="125"/>
      <c r="U448" s="125"/>
      <c r="V448" s="125"/>
      <c r="W448" s="125"/>
      <c r="X448" s="125"/>
      <c r="Y448" s="125"/>
      <c r="Z448" s="125"/>
    </row>
    <row r="449" spans="1:26" ht="15.75" customHeight="1">
      <c r="A449" s="125"/>
      <c r="B449" s="125"/>
      <c r="C449" s="125"/>
      <c r="D449" s="125"/>
      <c r="E449" s="125"/>
      <c r="F449" s="126"/>
      <c r="G449" s="125"/>
      <c r="H449" s="125"/>
      <c r="I449" s="125"/>
      <c r="J449" s="125"/>
      <c r="K449" s="125"/>
      <c r="L449" s="125"/>
      <c r="M449" s="125"/>
      <c r="N449" s="129"/>
      <c r="O449" s="125"/>
      <c r="P449" s="173"/>
      <c r="Q449" s="125"/>
      <c r="R449" s="125"/>
      <c r="S449" s="125"/>
      <c r="T449" s="125"/>
      <c r="U449" s="125"/>
      <c r="V449" s="125"/>
      <c r="W449" s="125"/>
      <c r="X449" s="125"/>
      <c r="Y449" s="125"/>
      <c r="Z449" s="125"/>
    </row>
    <row r="450" spans="1:26" ht="15.75" customHeight="1">
      <c r="A450" s="125"/>
      <c r="B450" s="125"/>
      <c r="C450" s="125"/>
      <c r="D450" s="125"/>
      <c r="E450" s="125"/>
      <c r="F450" s="126"/>
      <c r="G450" s="125"/>
      <c r="H450" s="125"/>
      <c r="I450" s="125"/>
      <c r="J450" s="125"/>
      <c r="K450" s="125"/>
      <c r="L450" s="125"/>
      <c r="M450" s="125"/>
      <c r="N450" s="129"/>
      <c r="O450" s="125"/>
      <c r="P450" s="173"/>
      <c r="Q450" s="125"/>
      <c r="R450" s="125"/>
      <c r="S450" s="125"/>
      <c r="T450" s="125"/>
      <c r="U450" s="125"/>
      <c r="V450" s="125"/>
      <c r="W450" s="125"/>
      <c r="X450" s="125"/>
      <c r="Y450" s="125"/>
      <c r="Z450" s="125"/>
    </row>
    <row r="451" spans="1:26" ht="15.75" customHeight="1">
      <c r="A451" s="125"/>
      <c r="B451" s="125"/>
      <c r="C451" s="125"/>
      <c r="D451" s="125"/>
      <c r="E451" s="125"/>
      <c r="F451" s="126"/>
      <c r="G451" s="125"/>
      <c r="H451" s="125"/>
      <c r="I451" s="125"/>
      <c r="J451" s="125"/>
      <c r="K451" s="125"/>
      <c r="L451" s="125"/>
      <c r="M451" s="125"/>
      <c r="N451" s="129"/>
      <c r="O451" s="125"/>
      <c r="P451" s="173"/>
      <c r="Q451" s="125"/>
      <c r="R451" s="125"/>
      <c r="S451" s="125"/>
      <c r="T451" s="125"/>
      <c r="U451" s="125"/>
      <c r="V451" s="125"/>
      <c r="W451" s="125"/>
      <c r="X451" s="125"/>
      <c r="Y451" s="125"/>
      <c r="Z451" s="125"/>
    </row>
    <row r="452" spans="1:26" ht="15.75" customHeight="1">
      <c r="A452" s="125"/>
      <c r="B452" s="125"/>
      <c r="C452" s="125"/>
      <c r="D452" s="125"/>
      <c r="E452" s="125"/>
      <c r="F452" s="126"/>
      <c r="G452" s="125"/>
      <c r="H452" s="125"/>
      <c r="I452" s="125"/>
      <c r="J452" s="125"/>
      <c r="K452" s="125"/>
      <c r="L452" s="125"/>
      <c r="M452" s="125"/>
      <c r="N452" s="129"/>
      <c r="O452" s="125"/>
      <c r="P452" s="173"/>
      <c r="Q452" s="125"/>
      <c r="R452" s="125"/>
      <c r="S452" s="125"/>
      <c r="T452" s="125"/>
      <c r="U452" s="125"/>
      <c r="V452" s="125"/>
      <c r="W452" s="125"/>
      <c r="X452" s="125"/>
      <c r="Y452" s="125"/>
      <c r="Z452" s="125"/>
    </row>
    <row r="453" spans="1:26" ht="15.75" customHeight="1">
      <c r="A453" s="125"/>
      <c r="B453" s="125"/>
      <c r="C453" s="125"/>
      <c r="D453" s="125"/>
      <c r="E453" s="125"/>
      <c r="F453" s="126"/>
      <c r="G453" s="125"/>
      <c r="H453" s="125"/>
      <c r="I453" s="125"/>
      <c r="J453" s="125"/>
      <c r="K453" s="125"/>
      <c r="L453" s="125"/>
      <c r="M453" s="125"/>
      <c r="N453" s="129"/>
      <c r="O453" s="125"/>
      <c r="P453" s="173"/>
      <c r="Q453" s="125"/>
      <c r="R453" s="125"/>
      <c r="S453" s="125"/>
      <c r="T453" s="125"/>
      <c r="U453" s="125"/>
      <c r="V453" s="125"/>
      <c r="W453" s="125"/>
      <c r="X453" s="125"/>
      <c r="Y453" s="125"/>
      <c r="Z453" s="125"/>
    </row>
    <row r="454" spans="1:26" ht="15.75" customHeight="1">
      <c r="A454" s="125"/>
      <c r="B454" s="125"/>
      <c r="C454" s="125"/>
      <c r="D454" s="125"/>
      <c r="E454" s="125"/>
      <c r="F454" s="126"/>
      <c r="G454" s="125"/>
      <c r="H454" s="125"/>
      <c r="I454" s="125"/>
      <c r="J454" s="125"/>
      <c r="K454" s="125"/>
      <c r="L454" s="125"/>
      <c r="M454" s="125"/>
      <c r="N454" s="129"/>
      <c r="O454" s="125"/>
      <c r="P454" s="173"/>
      <c r="Q454" s="125"/>
      <c r="R454" s="125"/>
      <c r="S454" s="125"/>
      <c r="T454" s="125"/>
      <c r="U454" s="125"/>
      <c r="V454" s="125"/>
      <c r="W454" s="125"/>
      <c r="X454" s="125"/>
      <c r="Y454" s="125"/>
      <c r="Z454" s="125"/>
    </row>
    <row r="455" spans="1:26" ht="15.75" customHeight="1">
      <c r="A455" s="125"/>
      <c r="B455" s="125"/>
      <c r="C455" s="125"/>
      <c r="D455" s="125"/>
      <c r="E455" s="125"/>
      <c r="F455" s="126"/>
      <c r="G455" s="125"/>
      <c r="H455" s="125"/>
      <c r="I455" s="125"/>
      <c r="J455" s="125"/>
      <c r="K455" s="125"/>
      <c r="L455" s="125"/>
      <c r="M455" s="125"/>
      <c r="N455" s="129"/>
      <c r="O455" s="125"/>
      <c r="P455" s="173"/>
      <c r="Q455" s="125"/>
      <c r="R455" s="125"/>
      <c r="S455" s="125"/>
      <c r="T455" s="125"/>
      <c r="U455" s="125"/>
      <c r="V455" s="125"/>
      <c r="W455" s="125"/>
      <c r="X455" s="125"/>
      <c r="Y455" s="125"/>
      <c r="Z455" s="125"/>
    </row>
    <row r="456" spans="1:26" ht="15.75" customHeight="1">
      <c r="A456" s="125"/>
      <c r="B456" s="125"/>
      <c r="C456" s="125"/>
      <c r="D456" s="125"/>
      <c r="E456" s="125"/>
      <c r="F456" s="126"/>
      <c r="G456" s="125"/>
      <c r="H456" s="125"/>
      <c r="I456" s="125"/>
      <c r="J456" s="125"/>
      <c r="K456" s="125"/>
      <c r="L456" s="125"/>
      <c r="M456" s="125"/>
      <c r="N456" s="129"/>
      <c r="O456" s="125"/>
      <c r="P456" s="173"/>
      <c r="Q456" s="125"/>
      <c r="R456" s="125"/>
      <c r="S456" s="125"/>
      <c r="T456" s="125"/>
      <c r="U456" s="125"/>
      <c r="V456" s="125"/>
      <c r="W456" s="125"/>
      <c r="X456" s="125"/>
      <c r="Y456" s="125"/>
      <c r="Z456" s="125"/>
    </row>
    <row r="457" spans="1:26" ht="15.75" customHeight="1">
      <c r="A457" s="125"/>
      <c r="B457" s="125"/>
      <c r="C457" s="125"/>
      <c r="D457" s="125"/>
      <c r="E457" s="125"/>
      <c r="F457" s="126"/>
      <c r="G457" s="125"/>
      <c r="H457" s="125"/>
      <c r="I457" s="125"/>
      <c r="J457" s="125"/>
      <c r="K457" s="125"/>
      <c r="L457" s="125"/>
      <c r="M457" s="125"/>
      <c r="N457" s="129"/>
      <c r="O457" s="125"/>
      <c r="P457" s="173"/>
      <c r="Q457" s="125"/>
      <c r="R457" s="125"/>
      <c r="S457" s="125"/>
      <c r="T457" s="125"/>
      <c r="U457" s="125"/>
      <c r="V457" s="125"/>
      <c r="W457" s="125"/>
      <c r="X457" s="125"/>
      <c r="Y457" s="125"/>
      <c r="Z457" s="125"/>
    </row>
    <row r="458" spans="1:26" ht="15.75" customHeight="1">
      <c r="A458" s="125"/>
      <c r="B458" s="125"/>
      <c r="C458" s="125"/>
      <c r="D458" s="125"/>
      <c r="E458" s="125"/>
      <c r="F458" s="126"/>
      <c r="G458" s="125"/>
      <c r="H458" s="125"/>
      <c r="I458" s="125"/>
      <c r="J458" s="125"/>
      <c r="K458" s="125"/>
      <c r="L458" s="125"/>
      <c r="M458" s="125"/>
      <c r="N458" s="129"/>
      <c r="O458" s="125"/>
      <c r="P458" s="173"/>
      <c r="Q458" s="125"/>
      <c r="R458" s="125"/>
      <c r="S458" s="125"/>
      <c r="T458" s="125"/>
      <c r="U458" s="125"/>
      <c r="V458" s="125"/>
      <c r="W458" s="125"/>
      <c r="X458" s="125"/>
      <c r="Y458" s="125"/>
      <c r="Z458" s="125"/>
    </row>
    <row r="459" spans="1:26" ht="15.75" customHeight="1">
      <c r="A459" s="125"/>
      <c r="B459" s="125"/>
      <c r="C459" s="125"/>
      <c r="D459" s="125"/>
      <c r="E459" s="125"/>
      <c r="F459" s="126"/>
      <c r="G459" s="125"/>
      <c r="H459" s="125"/>
      <c r="I459" s="125"/>
      <c r="J459" s="125"/>
      <c r="K459" s="125"/>
      <c r="L459" s="125"/>
      <c r="M459" s="125"/>
      <c r="N459" s="129"/>
      <c r="O459" s="125"/>
      <c r="P459" s="173"/>
      <c r="Q459" s="125"/>
      <c r="R459" s="125"/>
      <c r="S459" s="125"/>
      <c r="T459" s="125"/>
      <c r="U459" s="125"/>
      <c r="V459" s="125"/>
      <c r="W459" s="125"/>
      <c r="X459" s="125"/>
      <c r="Y459" s="125"/>
      <c r="Z459" s="125"/>
    </row>
    <row r="460" spans="1:26" ht="15.75" customHeight="1">
      <c r="A460" s="125"/>
      <c r="B460" s="125"/>
      <c r="C460" s="125"/>
      <c r="D460" s="125"/>
      <c r="E460" s="125"/>
      <c r="F460" s="126"/>
      <c r="G460" s="125"/>
      <c r="H460" s="125"/>
      <c r="I460" s="125"/>
      <c r="J460" s="125"/>
      <c r="K460" s="125"/>
      <c r="L460" s="125"/>
      <c r="M460" s="125"/>
      <c r="N460" s="129"/>
      <c r="O460" s="125"/>
      <c r="P460" s="173"/>
      <c r="Q460" s="125"/>
      <c r="R460" s="125"/>
      <c r="S460" s="125"/>
      <c r="T460" s="125"/>
      <c r="U460" s="125"/>
      <c r="V460" s="125"/>
      <c r="W460" s="125"/>
      <c r="X460" s="125"/>
      <c r="Y460" s="125"/>
      <c r="Z460" s="125"/>
    </row>
    <row r="461" spans="1:26" ht="15.75" customHeight="1">
      <c r="A461" s="125"/>
      <c r="B461" s="125"/>
      <c r="C461" s="125"/>
      <c r="D461" s="125"/>
      <c r="E461" s="125"/>
      <c r="F461" s="126"/>
      <c r="G461" s="125"/>
      <c r="H461" s="125"/>
      <c r="I461" s="125"/>
      <c r="J461" s="125"/>
      <c r="K461" s="125"/>
      <c r="L461" s="125"/>
      <c r="M461" s="125"/>
      <c r="N461" s="129"/>
      <c r="O461" s="125"/>
      <c r="P461" s="173"/>
      <c r="Q461" s="125"/>
      <c r="R461" s="125"/>
      <c r="S461" s="125"/>
      <c r="T461" s="125"/>
      <c r="U461" s="125"/>
      <c r="V461" s="125"/>
      <c r="W461" s="125"/>
      <c r="X461" s="125"/>
      <c r="Y461" s="125"/>
      <c r="Z461" s="125"/>
    </row>
    <row r="462" spans="1:26" ht="15.75" customHeight="1">
      <c r="A462" s="125"/>
      <c r="B462" s="125"/>
      <c r="C462" s="125"/>
      <c r="D462" s="125"/>
      <c r="E462" s="125"/>
      <c r="F462" s="126"/>
      <c r="G462" s="125"/>
      <c r="H462" s="125"/>
      <c r="I462" s="125"/>
      <c r="J462" s="125"/>
      <c r="K462" s="125"/>
      <c r="L462" s="125"/>
      <c r="M462" s="125"/>
      <c r="N462" s="129"/>
      <c r="O462" s="125"/>
      <c r="P462" s="173"/>
      <c r="Q462" s="125"/>
      <c r="R462" s="125"/>
      <c r="S462" s="125"/>
      <c r="T462" s="125"/>
      <c r="U462" s="125"/>
      <c r="V462" s="125"/>
      <c r="W462" s="125"/>
      <c r="X462" s="125"/>
      <c r="Y462" s="125"/>
      <c r="Z462" s="125"/>
    </row>
    <row r="463" spans="1:26" ht="15.75" customHeight="1">
      <c r="A463" s="125"/>
      <c r="B463" s="125"/>
      <c r="C463" s="125"/>
      <c r="D463" s="125"/>
      <c r="E463" s="125"/>
      <c r="F463" s="126"/>
      <c r="G463" s="125"/>
      <c r="H463" s="125"/>
      <c r="I463" s="125"/>
      <c r="J463" s="125"/>
      <c r="K463" s="125"/>
      <c r="L463" s="125"/>
      <c r="M463" s="125"/>
      <c r="N463" s="129"/>
      <c r="O463" s="125"/>
      <c r="P463" s="173"/>
      <c r="Q463" s="125"/>
      <c r="R463" s="125"/>
      <c r="S463" s="125"/>
      <c r="T463" s="125"/>
      <c r="U463" s="125"/>
      <c r="V463" s="125"/>
      <c r="W463" s="125"/>
      <c r="X463" s="125"/>
      <c r="Y463" s="125"/>
      <c r="Z463" s="125"/>
    </row>
    <row r="464" spans="1:26" ht="15.75" customHeight="1">
      <c r="A464" s="125"/>
      <c r="B464" s="125"/>
      <c r="C464" s="125"/>
      <c r="D464" s="125"/>
      <c r="E464" s="125"/>
      <c r="F464" s="126"/>
      <c r="G464" s="125"/>
      <c r="H464" s="125"/>
      <c r="I464" s="125"/>
      <c r="J464" s="125"/>
      <c r="K464" s="125"/>
      <c r="L464" s="125"/>
      <c r="M464" s="125"/>
      <c r="N464" s="129"/>
      <c r="O464" s="125"/>
      <c r="P464" s="173"/>
      <c r="Q464" s="125"/>
      <c r="R464" s="125"/>
      <c r="S464" s="125"/>
      <c r="T464" s="125"/>
      <c r="U464" s="125"/>
      <c r="V464" s="125"/>
      <c r="W464" s="125"/>
      <c r="X464" s="125"/>
      <c r="Y464" s="125"/>
      <c r="Z464" s="125"/>
    </row>
    <row r="465" spans="1:26" ht="15.75" customHeight="1">
      <c r="A465" s="125"/>
      <c r="B465" s="125"/>
      <c r="C465" s="125"/>
      <c r="D465" s="125"/>
      <c r="E465" s="125"/>
      <c r="F465" s="126"/>
      <c r="G465" s="125"/>
      <c r="H465" s="125"/>
      <c r="I465" s="125"/>
      <c r="J465" s="125"/>
      <c r="K465" s="125"/>
      <c r="L465" s="125"/>
      <c r="M465" s="125"/>
      <c r="N465" s="129"/>
      <c r="O465" s="125"/>
      <c r="P465" s="173"/>
      <c r="Q465" s="125"/>
      <c r="R465" s="125"/>
      <c r="S465" s="125"/>
      <c r="T465" s="125"/>
      <c r="U465" s="125"/>
      <c r="V465" s="125"/>
      <c r="W465" s="125"/>
      <c r="X465" s="125"/>
      <c r="Y465" s="125"/>
      <c r="Z465" s="125"/>
    </row>
    <row r="466" spans="1:26" ht="15.75" customHeight="1">
      <c r="A466" s="125"/>
      <c r="B466" s="125"/>
      <c r="C466" s="125"/>
      <c r="D466" s="125"/>
      <c r="E466" s="125"/>
      <c r="F466" s="126"/>
      <c r="G466" s="125"/>
      <c r="H466" s="125"/>
      <c r="I466" s="125"/>
      <c r="J466" s="125"/>
      <c r="K466" s="125"/>
      <c r="L466" s="125"/>
      <c r="M466" s="125"/>
      <c r="N466" s="129"/>
      <c r="O466" s="125"/>
      <c r="P466" s="173"/>
      <c r="Q466" s="125"/>
      <c r="R466" s="125"/>
      <c r="S466" s="125"/>
      <c r="T466" s="125"/>
      <c r="U466" s="125"/>
      <c r="V466" s="125"/>
      <c r="W466" s="125"/>
      <c r="X466" s="125"/>
      <c r="Y466" s="125"/>
      <c r="Z466" s="125"/>
    </row>
    <row r="467" spans="1:26" ht="15.75" customHeight="1">
      <c r="A467" s="125"/>
      <c r="B467" s="125"/>
      <c r="C467" s="125"/>
      <c r="D467" s="125"/>
      <c r="E467" s="125"/>
      <c r="F467" s="126"/>
      <c r="G467" s="125"/>
      <c r="H467" s="125"/>
      <c r="I467" s="125"/>
      <c r="J467" s="125"/>
      <c r="K467" s="125"/>
      <c r="L467" s="125"/>
      <c r="M467" s="125"/>
      <c r="N467" s="129"/>
      <c r="O467" s="125"/>
      <c r="P467" s="173"/>
      <c r="Q467" s="125"/>
      <c r="R467" s="125"/>
      <c r="S467" s="125"/>
      <c r="T467" s="125"/>
      <c r="U467" s="125"/>
      <c r="V467" s="125"/>
      <c r="W467" s="125"/>
      <c r="X467" s="125"/>
      <c r="Y467" s="125"/>
      <c r="Z467" s="125"/>
    </row>
    <row r="468" spans="1:26" ht="15.75" customHeight="1">
      <c r="A468" s="125"/>
      <c r="B468" s="125"/>
      <c r="C468" s="125"/>
      <c r="D468" s="125"/>
      <c r="E468" s="125"/>
      <c r="F468" s="126"/>
      <c r="G468" s="125"/>
      <c r="H468" s="125"/>
      <c r="I468" s="125"/>
      <c r="J468" s="125"/>
      <c r="K468" s="125"/>
      <c r="L468" s="125"/>
      <c r="M468" s="125"/>
      <c r="N468" s="129"/>
      <c r="O468" s="125"/>
      <c r="P468" s="173"/>
      <c r="Q468" s="125"/>
      <c r="R468" s="125"/>
      <c r="S468" s="125"/>
      <c r="T468" s="125"/>
      <c r="U468" s="125"/>
      <c r="V468" s="125"/>
      <c r="W468" s="125"/>
      <c r="X468" s="125"/>
      <c r="Y468" s="125"/>
      <c r="Z468" s="125"/>
    </row>
    <row r="469" spans="1:26" ht="15.75" customHeight="1">
      <c r="A469" s="125"/>
      <c r="B469" s="125"/>
      <c r="C469" s="125"/>
      <c r="D469" s="125"/>
      <c r="E469" s="125"/>
      <c r="F469" s="126"/>
      <c r="G469" s="125"/>
      <c r="H469" s="125"/>
      <c r="I469" s="125"/>
      <c r="J469" s="125"/>
      <c r="K469" s="125"/>
      <c r="L469" s="125"/>
      <c r="M469" s="125"/>
      <c r="N469" s="129"/>
      <c r="O469" s="125"/>
      <c r="P469" s="173"/>
      <c r="Q469" s="125"/>
      <c r="R469" s="125"/>
      <c r="S469" s="125"/>
      <c r="T469" s="125"/>
      <c r="U469" s="125"/>
      <c r="V469" s="125"/>
      <c r="W469" s="125"/>
      <c r="X469" s="125"/>
      <c r="Y469" s="125"/>
      <c r="Z469" s="125"/>
    </row>
    <row r="470" spans="1:26" ht="15.75" customHeight="1">
      <c r="A470" s="125"/>
      <c r="B470" s="125"/>
      <c r="C470" s="125"/>
      <c r="D470" s="125"/>
      <c r="E470" s="125"/>
      <c r="F470" s="126"/>
      <c r="G470" s="125"/>
      <c r="H470" s="125"/>
      <c r="I470" s="125"/>
      <c r="J470" s="125"/>
      <c r="K470" s="125"/>
      <c r="L470" s="125"/>
      <c r="M470" s="125"/>
      <c r="N470" s="129"/>
      <c r="O470" s="125"/>
      <c r="P470" s="173"/>
      <c r="Q470" s="125"/>
      <c r="R470" s="125"/>
      <c r="S470" s="125"/>
      <c r="T470" s="125"/>
      <c r="U470" s="125"/>
      <c r="V470" s="125"/>
      <c r="W470" s="125"/>
      <c r="X470" s="125"/>
      <c r="Y470" s="125"/>
      <c r="Z470" s="125"/>
    </row>
    <row r="471" spans="1:26" ht="15.75" customHeight="1">
      <c r="A471" s="125"/>
      <c r="B471" s="125"/>
      <c r="C471" s="125"/>
      <c r="D471" s="125"/>
      <c r="E471" s="125"/>
      <c r="F471" s="126"/>
      <c r="G471" s="125"/>
      <c r="H471" s="125"/>
      <c r="I471" s="125"/>
      <c r="J471" s="125"/>
      <c r="K471" s="125"/>
      <c r="L471" s="125"/>
      <c r="M471" s="125"/>
      <c r="N471" s="129"/>
      <c r="O471" s="125"/>
      <c r="P471" s="173"/>
      <c r="Q471" s="125"/>
      <c r="R471" s="125"/>
      <c r="S471" s="125"/>
      <c r="T471" s="125"/>
      <c r="U471" s="125"/>
      <c r="V471" s="125"/>
      <c r="W471" s="125"/>
      <c r="X471" s="125"/>
      <c r="Y471" s="125"/>
      <c r="Z471" s="125"/>
    </row>
    <row r="472" spans="1:26" ht="15.75" customHeight="1">
      <c r="A472" s="125"/>
      <c r="B472" s="125"/>
      <c r="C472" s="125"/>
      <c r="D472" s="125"/>
      <c r="E472" s="125"/>
      <c r="F472" s="126"/>
      <c r="G472" s="125"/>
      <c r="H472" s="125"/>
      <c r="I472" s="125"/>
      <c r="J472" s="125"/>
      <c r="K472" s="125"/>
      <c r="L472" s="125"/>
      <c r="M472" s="125"/>
      <c r="N472" s="129"/>
      <c r="O472" s="125"/>
      <c r="P472" s="173"/>
      <c r="Q472" s="125"/>
      <c r="R472" s="125"/>
      <c r="S472" s="125"/>
      <c r="T472" s="125"/>
      <c r="U472" s="125"/>
      <c r="V472" s="125"/>
      <c r="W472" s="125"/>
      <c r="X472" s="125"/>
      <c r="Y472" s="125"/>
      <c r="Z472" s="125"/>
    </row>
    <row r="473" spans="1:26" ht="15.75" customHeight="1">
      <c r="A473" s="125"/>
      <c r="B473" s="125"/>
      <c r="C473" s="125"/>
      <c r="D473" s="125"/>
      <c r="E473" s="125"/>
      <c r="F473" s="126"/>
      <c r="G473" s="125"/>
      <c r="H473" s="125"/>
      <c r="I473" s="125"/>
      <c r="J473" s="125"/>
      <c r="K473" s="125"/>
      <c r="L473" s="125"/>
      <c r="M473" s="125"/>
      <c r="N473" s="129"/>
      <c r="O473" s="125"/>
      <c r="P473" s="173"/>
      <c r="Q473" s="125"/>
      <c r="R473" s="125"/>
      <c r="S473" s="125"/>
      <c r="T473" s="125"/>
      <c r="U473" s="125"/>
      <c r="V473" s="125"/>
      <c r="W473" s="125"/>
      <c r="X473" s="125"/>
      <c r="Y473" s="125"/>
      <c r="Z473" s="125"/>
    </row>
    <row r="474" spans="1:26" ht="15.75" customHeight="1">
      <c r="A474" s="125"/>
      <c r="B474" s="125"/>
      <c r="C474" s="125"/>
      <c r="D474" s="125"/>
      <c r="E474" s="125"/>
      <c r="F474" s="126"/>
      <c r="G474" s="125"/>
      <c r="H474" s="125"/>
      <c r="I474" s="125"/>
      <c r="J474" s="125"/>
      <c r="K474" s="125"/>
      <c r="L474" s="125"/>
      <c r="M474" s="125"/>
      <c r="N474" s="129"/>
      <c r="O474" s="125"/>
      <c r="P474" s="173"/>
      <c r="Q474" s="125"/>
      <c r="R474" s="125"/>
      <c r="S474" s="125"/>
      <c r="T474" s="125"/>
      <c r="U474" s="125"/>
      <c r="V474" s="125"/>
      <c r="W474" s="125"/>
      <c r="X474" s="125"/>
      <c r="Y474" s="125"/>
      <c r="Z474" s="125"/>
    </row>
    <row r="475" spans="1:26" ht="15.75" customHeight="1">
      <c r="A475" s="125"/>
      <c r="B475" s="125"/>
      <c r="C475" s="125"/>
      <c r="D475" s="125"/>
      <c r="E475" s="125"/>
      <c r="F475" s="126"/>
      <c r="G475" s="125"/>
      <c r="H475" s="125"/>
      <c r="I475" s="125"/>
      <c r="J475" s="125"/>
      <c r="K475" s="125"/>
      <c r="L475" s="125"/>
      <c r="M475" s="125"/>
      <c r="N475" s="129"/>
      <c r="O475" s="125"/>
      <c r="P475" s="173"/>
      <c r="Q475" s="125"/>
      <c r="R475" s="125"/>
      <c r="S475" s="125"/>
      <c r="T475" s="125"/>
      <c r="U475" s="125"/>
      <c r="V475" s="125"/>
      <c r="W475" s="125"/>
      <c r="X475" s="125"/>
      <c r="Y475" s="125"/>
      <c r="Z475" s="125"/>
    </row>
    <row r="476" spans="1:26" ht="15.75" customHeight="1">
      <c r="A476" s="125"/>
      <c r="B476" s="125"/>
      <c r="C476" s="125"/>
      <c r="D476" s="125"/>
      <c r="E476" s="125"/>
      <c r="F476" s="126"/>
      <c r="G476" s="125"/>
      <c r="H476" s="125"/>
      <c r="I476" s="125"/>
      <c r="J476" s="125"/>
      <c r="K476" s="125"/>
      <c r="L476" s="125"/>
      <c r="M476" s="125"/>
      <c r="N476" s="129"/>
      <c r="O476" s="125"/>
      <c r="P476" s="173"/>
      <c r="Q476" s="125"/>
      <c r="R476" s="125"/>
      <c r="S476" s="125"/>
      <c r="T476" s="125"/>
      <c r="U476" s="125"/>
      <c r="V476" s="125"/>
      <c r="W476" s="125"/>
      <c r="X476" s="125"/>
      <c r="Y476" s="125"/>
      <c r="Z476" s="125"/>
    </row>
    <row r="477" spans="1:26" ht="15.75" customHeight="1">
      <c r="A477" s="125"/>
      <c r="B477" s="125"/>
      <c r="C477" s="125"/>
      <c r="D477" s="125"/>
      <c r="E477" s="125"/>
      <c r="F477" s="126"/>
      <c r="G477" s="125"/>
      <c r="H477" s="125"/>
      <c r="I477" s="125"/>
      <c r="J477" s="125"/>
      <c r="K477" s="125"/>
      <c r="L477" s="125"/>
      <c r="M477" s="125"/>
      <c r="N477" s="129"/>
      <c r="O477" s="125"/>
      <c r="P477" s="173"/>
      <c r="Q477" s="125"/>
      <c r="R477" s="125"/>
      <c r="S477" s="125"/>
      <c r="T477" s="125"/>
      <c r="U477" s="125"/>
      <c r="V477" s="125"/>
      <c r="W477" s="125"/>
      <c r="X477" s="125"/>
      <c r="Y477" s="125"/>
      <c r="Z477" s="125"/>
    </row>
    <row r="478" spans="1:26" ht="15.75" customHeight="1">
      <c r="A478" s="125"/>
      <c r="B478" s="125"/>
      <c r="C478" s="125"/>
      <c r="D478" s="125"/>
      <c r="E478" s="125"/>
      <c r="F478" s="126"/>
      <c r="G478" s="125"/>
      <c r="H478" s="125"/>
      <c r="I478" s="125"/>
      <c r="J478" s="125"/>
      <c r="K478" s="125"/>
      <c r="L478" s="125"/>
      <c r="M478" s="125"/>
      <c r="N478" s="129"/>
      <c r="O478" s="125"/>
      <c r="P478" s="173"/>
      <c r="Q478" s="125"/>
      <c r="R478" s="125"/>
      <c r="S478" s="125"/>
      <c r="T478" s="125"/>
      <c r="U478" s="125"/>
      <c r="V478" s="125"/>
      <c r="W478" s="125"/>
      <c r="X478" s="125"/>
      <c r="Y478" s="125"/>
      <c r="Z478" s="125"/>
    </row>
    <row r="479" spans="1:26" ht="15.75" customHeight="1">
      <c r="A479" s="125"/>
      <c r="B479" s="125"/>
      <c r="C479" s="125"/>
      <c r="D479" s="125"/>
      <c r="E479" s="125"/>
      <c r="F479" s="126"/>
      <c r="G479" s="125"/>
      <c r="H479" s="125"/>
      <c r="I479" s="125"/>
      <c r="J479" s="125"/>
      <c r="K479" s="125"/>
      <c r="L479" s="125"/>
      <c r="M479" s="125"/>
      <c r="N479" s="129"/>
      <c r="O479" s="125"/>
      <c r="P479" s="173"/>
      <c r="Q479" s="125"/>
      <c r="R479" s="125"/>
      <c r="S479" s="125"/>
      <c r="T479" s="125"/>
      <c r="U479" s="125"/>
      <c r="V479" s="125"/>
      <c r="W479" s="125"/>
      <c r="X479" s="125"/>
      <c r="Y479" s="125"/>
      <c r="Z479" s="125"/>
    </row>
    <row r="480" spans="1:26" ht="15.75" customHeight="1">
      <c r="A480" s="125"/>
      <c r="B480" s="125"/>
      <c r="C480" s="125"/>
      <c r="D480" s="125"/>
      <c r="E480" s="125"/>
      <c r="F480" s="126"/>
      <c r="G480" s="125"/>
      <c r="H480" s="125"/>
      <c r="I480" s="125"/>
      <c r="J480" s="125"/>
      <c r="K480" s="125"/>
      <c r="L480" s="125"/>
      <c r="M480" s="125"/>
      <c r="N480" s="129"/>
      <c r="O480" s="125"/>
      <c r="P480" s="173"/>
      <c r="Q480" s="125"/>
      <c r="R480" s="125"/>
      <c r="S480" s="125"/>
      <c r="T480" s="125"/>
      <c r="U480" s="125"/>
      <c r="V480" s="125"/>
      <c r="W480" s="125"/>
      <c r="X480" s="125"/>
      <c r="Y480" s="125"/>
      <c r="Z480" s="125"/>
    </row>
    <row r="481" spans="1:26" ht="15.75" customHeight="1">
      <c r="A481" s="125"/>
      <c r="B481" s="125"/>
      <c r="C481" s="125"/>
      <c r="D481" s="125"/>
      <c r="E481" s="125"/>
      <c r="F481" s="126"/>
      <c r="G481" s="125"/>
      <c r="H481" s="125"/>
      <c r="I481" s="125"/>
      <c r="J481" s="125"/>
      <c r="K481" s="125"/>
      <c r="L481" s="125"/>
      <c r="M481" s="125"/>
      <c r="N481" s="129"/>
      <c r="O481" s="125"/>
      <c r="P481" s="173"/>
      <c r="Q481" s="125"/>
      <c r="R481" s="125"/>
      <c r="S481" s="125"/>
      <c r="T481" s="125"/>
      <c r="U481" s="125"/>
      <c r="V481" s="125"/>
      <c r="W481" s="125"/>
      <c r="X481" s="125"/>
      <c r="Y481" s="125"/>
      <c r="Z481" s="125"/>
    </row>
    <row r="482" spans="1:26" ht="15.75" customHeight="1">
      <c r="A482" s="125"/>
      <c r="B482" s="125"/>
      <c r="C482" s="125"/>
      <c r="D482" s="125"/>
      <c r="E482" s="125"/>
      <c r="F482" s="126"/>
      <c r="G482" s="125"/>
      <c r="H482" s="125"/>
      <c r="I482" s="125"/>
      <c r="J482" s="125"/>
      <c r="K482" s="125"/>
      <c r="L482" s="125"/>
      <c r="M482" s="125"/>
      <c r="N482" s="129"/>
      <c r="O482" s="125"/>
      <c r="P482" s="173"/>
      <c r="Q482" s="125"/>
      <c r="R482" s="125"/>
      <c r="S482" s="125"/>
      <c r="T482" s="125"/>
      <c r="U482" s="125"/>
      <c r="V482" s="125"/>
      <c r="W482" s="125"/>
      <c r="X482" s="125"/>
      <c r="Y482" s="125"/>
      <c r="Z482" s="125"/>
    </row>
    <row r="483" spans="1:26" ht="15.75" customHeight="1">
      <c r="A483" s="125"/>
      <c r="B483" s="125"/>
      <c r="C483" s="125"/>
      <c r="D483" s="125"/>
      <c r="E483" s="125"/>
      <c r="F483" s="126"/>
      <c r="G483" s="125"/>
      <c r="H483" s="125"/>
      <c r="I483" s="125"/>
      <c r="J483" s="125"/>
      <c r="K483" s="125"/>
      <c r="L483" s="125"/>
      <c r="M483" s="125"/>
      <c r="N483" s="129"/>
      <c r="O483" s="125"/>
      <c r="P483" s="173"/>
      <c r="Q483" s="125"/>
      <c r="R483" s="125"/>
      <c r="S483" s="125"/>
      <c r="T483" s="125"/>
      <c r="U483" s="125"/>
      <c r="V483" s="125"/>
      <c r="W483" s="125"/>
      <c r="X483" s="125"/>
      <c r="Y483" s="125"/>
      <c r="Z483" s="125"/>
    </row>
    <row r="484" spans="1:26" ht="15.75" customHeight="1">
      <c r="A484" s="125"/>
      <c r="B484" s="125"/>
      <c r="C484" s="125"/>
      <c r="D484" s="125"/>
      <c r="E484" s="125"/>
      <c r="F484" s="126"/>
      <c r="G484" s="125"/>
      <c r="H484" s="125"/>
      <c r="I484" s="125"/>
      <c r="J484" s="125"/>
      <c r="K484" s="125"/>
      <c r="L484" s="125"/>
      <c r="M484" s="125"/>
      <c r="N484" s="129"/>
      <c r="O484" s="125"/>
      <c r="P484" s="173"/>
      <c r="Q484" s="125"/>
      <c r="R484" s="125"/>
      <c r="S484" s="125"/>
      <c r="T484" s="125"/>
      <c r="U484" s="125"/>
      <c r="V484" s="125"/>
      <c r="W484" s="125"/>
      <c r="X484" s="125"/>
      <c r="Y484" s="125"/>
      <c r="Z484" s="125"/>
    </row>
    <row r="485" spans="1:26" ht="15.75" customHeight="1">
      <c r="A485" s="125"/>
      <c r="B485" s="125"/>
      <c r="C485" s="125"/>
      <c r="D485" s="125"/>
      <c r="E485" s="125"/>
      <c r="F485" s="126"/>
      <c r="G485" s="125"/>
      <c r="H485" s="125"/>
      <c r="I485" s="125"/>
      <c r="J485" s="125"/>
      <c r="K485" s="125"/>
      <c r="L485" s="125"/>
      <c r="M485" s="125"/>
      <c r="N485" s="129"/>
      <c r="O485" s="125"/>
      <c r="P485" s="173"/>
      <c r="Q485" s="125"/>
      <c r="R485" s="125"/>
      <c r="S485" s="125"/>
      <c r="T485" s="125"/>
      <c r="U485" s="125"/>
      <c r="V485" s="125"/>
      <c r="W485" s="125"/>
      <c r="X485" s="125"/>
      <c r="Y485" s="125"/>
      <c r="Z485" s="125"/>
    </row>
    <row r="486" spans="1:26" ht="15.75" customHeight="1">
      <c r="A486" s="125"/>
      <c r="B486" s="125"/>
      <c r="C486" s="125"/>
      <c r="D486" s="125"/>
      <c r="E486" s="125"/>
      <c r="F486" s="126"/>
      <c r="G486" s="125"/>
      <c r="H486" s="125"/>
      <c r="I486" s="125"/>
      <c r="J486" s="125"/>
      <c r="K486" s="125"/>
      <c r="L486" s="125"/>
      <c r="M486" s="125"/>
      <c r="N486" s="129"/>
      <c r="O486" s="125"/>
      <c r="P486" s="173"/>
      <c r="Q486" s="125"/>
      <c r="R486" s="125"/>
      <c r="S486" s="125"/>
      <c r="T486" s="125"/>
      <c r="U486" s="125"/>
      <c r="V486" s="125"/>
      <c r="W486" s="125"/>
      <c r="X486" s="125"/>
      <c r="Y486" s="125"/>
      <c r="Z486" s="125"/>
    </row>
    <row r="487" spans="1:26" ht="15.75" customHeight="1">
      <c r="A487" s="125"/>
      <c r="B487" s="125"/>
      <c r="C487" s="125"/>
      <c r="D487" s="125"/>
      <c r="E487" s="125"/>
      <c r="F487" s="126"/>
      <c r="G487" s="125"/>
      <c r="H487" s="125"/>
      <c r="I487" s="125"/>
      <c r="J487" s="125"/>
      <c r="K487" s="125"/>
      <c r="L487" s="125"/>
      <c r="M487" s="125"/>
      <c r="N487" s="129"/>
      <c r="O487" s="125"/>
      <c r="P487" s="173"/>
      <c r="Q487" s="125"/>
      <c r="R487" s="125"/>
      <c r="S487" s="125"/>
      <c r="T487" s="125"/>
      <c r="U487" s="125"/>
      <c r="V487" s="125"/>
      <c r="W487" s="125"/>
      <c r="X487" s="125"/>
      <c r="Y487" s="125"/>
      <c r="Z487" s="125"/>
    </row>
    <row r="488" spans="1:26" ht="15.75" customHeight="1">
      <c r="A488" s="125"/>
      <c r="B488" s="125"/>
      <c r="C488" s="125"/>
      <c r="D488" s="125"/>
      <c r="E488" s="125"/>
      <c r="F488" s="126"/>
      <c r="G488" s="125"/>
      <c r="H488" s="125"/>
      <c r="I488" s="125"/>
      <c r="J488" s="125"/>
      <c r="K488" s="125"/>
      <c r="L488" s="125"/>
      <c r="M488" s="125"/>
      <c r="N488" s="129"/>
      <c r="O488" s="125"/>
      <c r="P488" s="173"/>
      <c r="Q488" s="125"/>
      <c r="R488" s="125"/>
      <c r="S488" s="125"/>
      <c r="T488" s="125"/>
      <c r="U488" s="125"/>
      <c r="V488" s="125"/>
      <c r="W488" s="125"/>
      <c r="X488" s="125"/>
      <c r="Y488" s="125"/>
      <c r="Z488" s="125"/>
    </row>
    <row r="489" spans="1:26" ht="15.75" customHeight="1">
      <c r="A489" s="125"/>
      <c r="B489" s="125"/>
      <c r="C489" s="125"/>
      <c r="D489" s="125"/>
      <c r="E489" s="125"/>
      <c r="F489" s="126"/>
      <c r="G489" s="125"/>
      <c r="H489" s="125"/>
      <c r="I489" s="125"/>
      <c r="J489" s="125"/>
      <c r="K489" s="125"/>
      <c r="L489" s="125"/>
      <c r="M489" s="125"/>
      <c r="N489" s="129"/>
      <c r="O489" s="125"/>
      <c r="P489" s="173"/>
      <c r="Q489" s="125"/>
      <c r="R489" s="125"/>
      <c r="S489" s="125"/>
      <c r="T489" s="125"/>
      <c r="U489" s="125"/>
      <c r="V489" s="125"/>
      <c r="W489" s="125"/>
      <c r="X489" s="125"/>
      <c r="Y489" s="125"/>
      <c r="Z489" s="125"/>
    </row>
    <row r="490" spans="1:26" ht="15.75" customHeight="1">
      <c r="A490" s="125"/>
      <c r="B490" s="125"/>
      <c r="C490" s="125"/>
      <c r="D490" s="125"/>
      <c r="E490" s="125"/>
      <c r="F490" s="126"/>
      <c r="G490" s="125"/>
      <c r="H490" s="125"/>
      <c r="I490" s="125"/>
      <c r="J490" s="125"/>
      <c r="K490" s="125"/>
      <c r="L490" s="125"/>
      <c r="M490" s="125"/>
      <c r="N490" s="129"/>
      <c r="O490" s="125"/>
      <c r="P490" s="173"/>
      <c r="Q490" s="125"/>
      <c r="R490" s="125"/>
      <c r="S490" s="125"/>
      <c r="T490" s="125"/>
      <c r="U490" s="125"/>
      <c r="V490" s="125"/>
      <c r="W490" s="125"/>
      <c r="X490" s="125"/>
      <c r="Y490" s="125"/>
      <c r="Z490" s="125"/>
    </row>
    <row r="491" spans="1:26" ht="15.75" customHeight="1">
      <c r="A491" s="125"/>
      <c r="B491" s="125"/>
      <c r="C491" s="125"/>
      <c r="D491" s="125"/>
      <c r="E491" s="125"/>
      <c r="F491" s="126"/>
      <c r="G491" s="125"/>
      <c r="H491" s="125"/>
      <c r="I491" s="125"/>
      <c r="J491" s="125"/>
      <c r="K491" s="125"/>
      <c r="L491" s="125"/>
      <c r="M491" s="125"/>
      <c r="N491" s="129"/>
      <c r="O491" s="125"/>
      <c r="P491" s="173"/>
      <c r="Q491" s="125"/>
      <c r="R491" s="125"/>
      <c r="S491" s="125"/>
      <c r="T491" s="125"/>
      <c r="U491" s="125"/>
      <c r="V491" s="125"/>
      <c r="W491" s="125"/>
      <c r="X491" s="125"/>
      <c r="Y491" s="125"/>
      <c r="Z491" s="125"/>
    </row>
    <row r="492" spans="1:26" ht="15.75" customHeight="1">
      <c r="A492" s="125"/>
      <c r="B492" s="125"/>
      <c r="C492" s="125"/>
      <c r="D492" s="125"/>
      <c r="E492" s="125"/>
      <c r="F492" s="126"/>
      <c r="G492" s="125"/>
      <c r="H492" s="125"/>
      <c r="I492" s="125"/>
      <c r="J492" s="125"/>
      <c r="K492" s="125"/>
      <c r="L492" s="125"/>
      <c r="M492" s="125"/>
      <c r="N492" s="129"/>
      <c r="O492" s="125"/>
      <c r="P492" s="173"/>
      <c r="Q492" s="125"/>
      <c r="R492" s="125"/>
      <c r="S492" s="125"/>
      <c r="T492" s="125"/>
      <c r="U492" s="125"/>
      <c r="V492" s="125"/>
      <c r="W492" s="125"/>
      <c r="X492" s="125"/>
      <c r="Y492" s="125"/>
      <c r="Z492" s="125"/>
    </row>
    <row r="493" spans="1:26" ht="15.75" customHeight="1">
      <c r="A493" s="125"/>
      <c r="B493" s="125"/>
      <c r="C493" s="125"/>
      <c r="D493" s="125"/>
      <c r="E493" s="125"/>
      <c r="F493" s="126"/>
      <c r="G493" s="125"/>
      <c r="H493" s="125"/>
      <c r="I493" s="125"/>
      <c r="J493" s="125"/>
      <c r="K493" s="125"/>
      <c r="L493" s="125"/>
      <c r="M493" s="125"/>
      <c r="N493" s="129"/>
      <c r="O493" s="125"/>
      <c r="P493" s="173"/>
      <c r="Q493" s="125"/>
      <c r="R493" s="125"/>
      <c r="S493" s="125"/>
      <c r="T493" s="125"/>
      <c r="U493" s="125"/>
      <c r="V493" s="125"/>
      <c r="W493" s="125"/>
      <c r="X493" s="125"/>
      <c r="Y493" s="125"/>
      <c r="Z493" s="125"/>
    </row>
    <row r="494" spans="1:26" ht="15.75" customHeight="1">
      <c r="A494" s="125"/>
      <c r="B494" s="125"/>
      <c r="C494" s="125"/>
      <c r="D494" s="125"/>
      <c r="E494" s="125"/>
      <c r="F494" s="126"/>
      <c r="G494" s="125"/>
      <c r="H494" s="125"/>
      <c r="I494" s="125"/>
      <c r="J494" s="125"/>
      <c r="K494" s="125"/>
      <c r="L494" s="125"/>
      <c r="M494" s="125"/>
      <c r="N494" s="129"/>
      <c r="O494" s="125"/>
      <c r="P494" s="173"/>
      <c r="Q494" s="125"/>
      <c r="R494" s="125"/>
      <c r="S494" s="125"/>
      <c r="T494" s="125"/>
      <c r="U494" s="125"/>
      <c r="V494" s="125"/>
      <c r="W494" s="125"/>
      <c r="X494" s="125"/>
      <c r="Y494" s="125"/>
      <c r="Z494" s="125"/>
    </row>
    <row r="495" spans="1:26" ht="15.75" customHeight="1">
      <c r="A495" s="125"/>
      <c r="B495" s="125"/>
      <c r="C495" s="125"/>
      <c r="D495" s="125"/>
      <c r="E495" s="125"/>
      <c r="F495" s="126"/>
      <c r="G495" s="125"/>
      <c r="H495" s="125"/>
      <c r="I495" s="125"/>
      <c r="J495" s="125"/>
      <c r="K495" s="125"/>
      <c r="L495" s="125"/>
      <c r="M495" s="125"/>
      <c r="N495" s="129"/>
      <c r="O495" s="125"/>
      <c r="P495" s="173"/>
      <c r="Q495" s="125"/>
      <c r="R495" s="125"/>
      <c r="S495" s="125"/>
      <c r="T495" s="125"/>
      <c r="U495" s="125"/>
      <c r="V495" s="125"/>
      <c r="W495" s="125"/>
      <c r="X495" s="125"/>
      <c r="Y495" s="125"/>
      <c r="Z495" s="125"/>
    </row>
    <row r="496" spans="1:26" ht="15.75" customHeight="1">
      <c r="A496" s="125"/>
      <c r="B496" s="125"/>
      <c r="C496" s="125"/>
      <c r="D496" s="125"/>
      <c r="E496" s="125"/>
      <c r="F496" s="126"/>
      <c r="G496" s="125"/>
      <c r="H496" s="125"/>
      <c r="I496" s="125"/>
      <c r="J496" s="125"/>
      <c r="K496" s="125"/>
      <c r="L496" s="125"/>
      <c r="M496" s="125"/>
      <c r="N496" s="129"/>
      <c r="O496" s="125"/>
      <c r="P496" s="173"/>
      <c r="Q496" s="125"/>
      <c r="R496" s="125"/>
      <c r="S496" s="125"/>
      <c r="T496" s="125"/>
      <c r="U496" s="125"/>
      <c r="V496" s="125"/>
      <c r="W496" s="125"/>
      <c r="X496" s="125"/>
      <c r="Y496" s="125"/>
      <c r="Z496" s="125"/>
    </row>
    <row r="497" spans="1:26" ht="15.75" customHeight="1">
      <c r="A497" s="125"/>
      <c r="B497" s="125"/>
      <c r="C497" s="125"/>
      <c r="D497" s="125"/>
      <c r="E497" s="125"/>
      <c r="F497" s="126"/>
      <c r="G497" s="125"/>
      <c r="H497" s="125"/>
      <c r="I497" s="125"/>
      <c r="J497" s="125"/>
      <c r="K497" s="125"/>
      <c r="L497" s="125"/>
      <c r="M497" s="125"/>
      <c r="N497" s="129"/>
      <c r="O497" s="125"/>
      <c r="P497" s="173"/>
      <c r="Q497" s="125"/>
      <c r="R497" s="125"/>
      <c r="S497" s="125"/>
      <c r="T497" s="125"/>
      <c r="U497" s="125"/>
      <c r="V497" s="125"/>
      <c r="W497" s="125"/>
      <c r="X497" s="125"/>
      <c r="Y497" s="125"/>
      <c r="Z497" s="125"/>
    </row>
    <row r="498" spans="1:26" ht="15.75" customHeight="1">
      <c r="A498" s="125"/>
      <c r="B498" s="125"/>
      <c r="C498" s="125"/>
      <c r="D498" s="125"/>
      <c r="E498" s="125"/>
      <c r="F498" s="126"/>
      <c r="G498" s="125"/>
      <c r="H498" s="125"/>
      <c r="I498" s="125"/>
      <c r="J498" s="125"/>
      <c r="K498" s="125"/>
      <c r="L498" s="125"/>
      <c r="M498" s="125"/>
      <c r="N498" s="129"/>
      <c r="O498" s="125"/>
      <c r="P498" s="173"/>
      <c r="Q498" s="125"/>
      <c r="R498" s="125"/>
      <c r="S498" s="125"/>
      <c r="T498" s="125"/>
      <c r="U498" s="125"/>
      <c r="V498" s="125"/>
      <c r="W498" s="125"/>
      <c r="X498" s="125"/>
      <c r="Y498" s="125"/>
      <c r="Z498" s="125"/>
    </row>
    <row r="499" spans="1:26" ht="15.75" customHeight="1">
      <c r="A499" s="125"/>
      <c r="B499" s="125"/>
      <c r="C499" s="125"/>
      <c r="D499" s="125"/>
      <c r="E499" s="125"/>
      <c r="F499" s="126"/>
      <c r="G499" s="125"/>
      <c r="H499" s="125"/>
      <c r="I499" s="125"/>
      <c r="J499" s="125"/>
      <c r="K499" s="125"/>
      <c r="L499" s="125"/>
      <c r="M499" s="125"/>
      <c r="N499" s="129"/>
      <c r="O499" s="125"/>
      <c r="P499" s="173"/>
      <c r="Q499" s="125"/>
      <c r="R499" s="125"/>
      <c r="S499" s="125"/>
      <c r="T499" s="125"/>
      <c r="U499" s="125"/>
      <c r="V499" s="125"/>
      <c r="W499" s="125"/>
      <c r="X499" s="125"/>
      <c r="Y499" s="125"/>
      <c r="Z499" s="125"/>
    </row>
    <row r="500" spans="1:26" ht="15.75" customHeight="1">
      <c r="A500" s="125"/>
      <c r="B500" s="125"/>
      <c r="C500" s="125"/>
      <c r="D500" s="125"/>
      <c r="E500" s="125"/>
      <c r="F500" s="126"/>
      <c r="G500" s="125"/>
      <c r="H500" s="125"/>
      <c r="I500" s="125"/>
      <c r="J500" s="125"/>
      <c r="K500" s="125"/>
      <c r="L500" s="125"/>
      <c r="M500" s="125"/>
      <c r="N500" s="129"/>
      <c r="O500" s="125"/>
      <c r="P500" s="173"/>
      <c r="Q500" s="125"/>
      <c r="R500" s="125"/>
      <c r="S500" s="125"/>
      <c r="T500" s="125"/>
      <c r="U500" s="125"/>
      <c r="V500" s="125"/>
      <c r="W500" s="125"/>
      <c r="X500" s="125"/>
      <c r="Y500" s="125"/>
      <c r="Z500" s="125"/>
    </row>
    <row r="501" spans="1:26" ht="15.75" customHeight="1">
      <c r="A501" s="125"/>
      <c r="B501" s="125"/>
      <c r="C501" s="125"/>
      <c r="D501" s="125"/>
      <c r="E501" s="125"/>
      <c r="F501" s="126"/>
      <c r="G501" s="125"/>
      <c r="H501" s="125"/>
      <c r="I501" s="125"/>
      <c r="J501" s="125"/>
      <c r="K501" s="125"/>
      <c r="L501" s="125"/>
      <c r="M501" s="125"/>
      <c r="N501" s="129"/>
      <c r="O501" s="125"/>
      <c r="P501" s="173"/>
      <c r="Q501" s="125"/>
      <c r="R501" s="125"/>
      <c r="S501" s="125"/>
      <c r="T501" s="125"/>
      <c r="U501" s="125"/>
      <c r="V501" s="125"/>
      <c r="W501" s="125"/>
      <c r="X501" s="125"/>
      <c r="Y501" s="125"/>
      <c r="Z501" s="125"/>
    </row>
    <row r="502" spans="1:26" ht="15.75" customHeight="1">
      <c r="A502" s="125"/>
      <c r="B502" s="125"/>
      <c r="C502" s="125"/>
      <c r="D502" s="125"/>
      <c r="E502" s="125"/>
      <c r="F502" s="126"/>
      <c r="G502" s="125"/>
      <c r="H502" s="125"/>
      <c r="I502" s="125"/>
      <c r="J502" s="125"/>
      <c r="K502" s="125"/>
      <c r="L502" s="125"/>
      <c r="M502" s="125"/>
      <c r="N502" s="129"/>
      <c r="O502" s="125"/>
      <c r="P502" s="173"/>
      <c r="Q502" s="125"/>
      <c r="R502" s="125"/>
      <c r="S502" s="125"/>
      <c r="T502" s="125"/>
      <c r="U502" s="125"/>
      <c r="V502" s="125"/>
      <c r="W502" s="125"/>
      <c r="X502" s="125"/>
      <c r="Y502" s="125"/>
      <c r="Z502" s="125"/>
    </row>
    <row r="503" spans="1:26" ht="15.75" customHeight="1">
      <c r="A503" s="125"/>
      <c r="B503" s="125"/>
      <c r="C503" s="125"/>
      <c r="D503" s="125"/>
      <c r="E503" s="125"/>
      <c r="F503" s="126"/>
      <c r="G503" s="125"/>
      <c r="H503" s="125"/>
      <c r="I503" s="125"/>
      <c r="J503" s="125"/>
      <c r="K503" s="125"/>
      <c r="L503" s="125"/>
      <c r="M503" s="125"/>
      <c r="N503" s="129"/>
      <c r="O503" s="125"/>
      <c r="P503" s="173"/>
      <c r="Q503" s="125"/>
      <c r="R503" s="125"/>
      <c r="S503" s="125"/>
      <c r="T503" s="125"/>
      <c r="U503" s="125"/>
      <c r="V503" s="125"/>
      <c r="W503" s="125"/>
      <c r="X503" s="125"/>
      <c r="Y503" s="125"/>
      <c r="Z503" s="125"/>
    </row>
    <row r="504" spans="1:26" ht="15.75" customHeight="1">
      <c r="A504" s="125"/>
      <c r="B504" s="125"/>
      <c r="C504" s="125"/>
      <c r="D504" s="125"/>
      <c r="E504" s="125"/>
      <c r="F504" s="126"/>
      <c r="G504" s="125"/>
      <c r="H504" s="125"/>
      <c r="I504" s="125"/>
      <c r="J504" s="125"/>
      <c r="K504" s="125"/>
      <c r="L504" s="125"/>
      <c r="M504" s="125"/>
      <c r="N504" s="129"/>
      <c r="O504" s="125"/>
      <c r="P504" s="173"/>
      <c r="Q504" s="125"/>
      <c r="R504" s="125"/>
      <c r="S504" s="125"/>
      <c r="T504" s="125"/>
      <c r="U504" s="125"/>
      <c r="V504" s="125"/>
      <c r="W504" s="125"/>
      <c r="X504" s="125"/>
      <c r="Y504" s="125"/>
      <c r="Z504" s="125"/>
    </row>
    <row r="505" spans="1:26" ht="15.75" customHeight="1">
      <c r="A505" s="125"/>
      <c r="B505" s="125"/>
      <c r="C505" s="125"/>
      <c r="D505" s="125"/>
      <c r="E505" s="125"/>
      <c r="F505" s="126"/>
      <c r="G505" s="125"/>
      <c r="H505" s="125"/>
      <c r="I505" s="125"/>
      <c r="J505" s="125"/>
      <c r="K505" s="125"/>
      <c r="L505" s="125"/>
      <c r="M505" s="125"/>
      <c r="N505" s="129"/>
      <c r="O505" s="125"/>
      <c r="P505" s="173"/>
      <c r="Q505" s="125"/>
      <c r="R505" s="125"/>
      <c r="S505" s="125"/>
      <c r="T505" s="125"/>
      <c r="U505" s="125"/>
      <c r="V505" s="125"/>
      <c r="W505" s="125"/>
      <c r="X505" s="125"/>
      <c r="Y505" s="125"/>
      <c r="Z505" s="125"/>
    </row>
    <row r="506" spans="1:26" ht="15.75" customHeight="1">
      <c r="A506" s="125"/>
      <c r="B506" s="125"/>
      <c r="C506" s="125"/>
      <c r="D506" s="125"/>
      <c r="E506" s="125"/>
      <c r="F506" s="126"/>
      <c r="G506" s="125"/>
      <c r="H506" s="125"/>
      <c r="I506" s="125"/>
      <c r="J506" s="125"/>
      <c r="K506" s="125"/>
      <c r="L506" s="125"/>
      <c r="M506" s="125"/>
      <c r="N506" s="129"/>
      <c r="O506" s="125"/>
      <c r="P506" s="173"/>
      <c r="Q506" s="125"/>
      <c r="R506" s="125"/>
      <c r="S506" s="125"/>
      <c r="T506" s="125"/>
      <c r="U506" s="125"/>
      <c r="V506" s="125"/>
      <c r="W506" s="125"/>
      <c r="X506" s="125"/>
      <c r="Y506" s="125"/>
      <c r="Z506" s="125"/>
    </row>
    <row r="507" spans="1:26" ht="15.75" customHeight="1">
      <c r="A507" s="125"/>
      <c r="B507" s="125"/>
      <c r="C507" s="125"/>
      <c r="D507" s="125"/>
      <c r="E507" s="125"/>
      <c r="F507" s="126"/>
      <c r="G507" s="125"/>
      <c r="H507" s="125"/>
      <c r="I507" s="125"/>
      <c r="J507" s="125"/>
      <c r="K507" s="125"/>
      <c r="L507" s="125"/>
      <c r="M507" s="125"/>
      <c r="N507" s="129"/>
      <c r="O507" s="125"/>
      <c r="P507" s="173"/>
      <c r="Q507" s="125"/>
      <c r="R507" s="125"/>
      <c r="S507" s="125"/>
      <c r="T507" s="125"/>
      <c r="U507" s="125"/>
      <c r="V507" s="125"/>
      <c r="W507" s="125"/>
      <c r="X507" s="125"/>
      <c r="Y507" s="125"/>
      <c r="Z507" s="125"/>
    </row>
    <row r="508" spans="1:26" ht="15.75" customHeight="1">
      <c r="A508" s="125"/>
      <c r="B508" s="125"/>
      <c r="C508" s="125"/>
      <c r="D508" s="125"/>
      <c r="E508" s="125"/>
      <c r="F508" s="126"/>
      <c r="G508" s="125"/>
      <c r="H508" s="125"/>
      <c r="I508" s="125"/>
      <c r="J508" s="125"/>
      <c r="K508" s="125"/>
      <c r="L508" s="125"/>
      <c r="M508" s="125"/>
      <c r="N508" s="129"/>
      <c r="O508" s="125"/>
      <c r="P508" s="173"/>
      <c r="Q508" s="125"/>
      <c r="R508" s="125"/>
      <c r="S508" s="125"/>
      <c r="T508" s="125"/>
      <c r="U508" s="125"/>
      <c r="V508" s="125"/>
      <c r="W508" s="125"/>
      <c r="X508" s="125"/>
      <c r="Y508" s="125"/>
      <c r="Z508" s="125"/>
    </row>
    <row r="509" spans="1:26" ht="15.75" customHeight="1">
      <c r="A509" s="125"/>
      <c r="B509" s="125"/>
      <c r="C509" s="125"/>
      <c r="D509" s="125"/>
      <c r="E509" s="125"/>
      <c r="F509" s="126"/>
      <c r="G509" s="125"/>
      <c r="H509" s="125"/>
      <c r="I509" s="125"/>
      <c r="J509" s="125"/>
      <c r="K509" s="125"/>
      <c r="L509" s="125"/>
      <c r="M509" s="125"/>
      <c r="N509" s="129"/>
      <c r="O509" s="125"/>
      <c r="P509" s="173"/>
      <c r="Q509" s="125"/>
      <c r="R509" s="125"/>
      <c r="S509" s="125"/>
      <c r="T509" s="125"/>
      <c r="U509" s="125"/>
      <c r="V509" s="125"/>
      <c r="W509" s="125"/>
      <c r="X509" s="125"/>
      <c r="Y509" s="125"/>
      <c r="Z509" s="125"/>
    </row>
    <row r="510" spans="1:26" ht="15.75" customHeight="1">
      <c r="A510" s="125"/>
      <c r="B510" s="125"/>
      <c r="C510" s="125"/>
      <c r="D510" s="125"/>
      <c r="E510" s="125"/>
      <c r="F510" s="126"/>
      <c r="G510" s="125"/>
      <c r="H510" s="125"/>
      <c r="I510" s="125"/>
      <c r="J510" s="125"/>
      <c r="K510" s="125"/>
      <c r="L510" s="125"/>
      <c r="M510" s="125"/>
      <c r="N510" s="129"/>
      <c r="O510" s="125"/>
      <c r="P510" s="173"/>
      <c r="Q510" s="125"/>
      <c r="R510" s="125"/>
      <c r="S510" s="125"/>
      <c r="T510" s="125"/>
      <c r="U510" s="125"/>
      <c r="V510" s="125"/>
      <c r="W510" s="125"/>
      <c r="X510" s="125"/>
      <c r="Y510" s="125"/>
      <c r="Z510" s="125"/>
    </row>
    <row r="511" spans="1:26" ht="15.75" customHeight="1">
      <c r="A511" s="125"/>
      <c r="B511" s="125"/>
      <c r="C511" s="125"/>
      <c r="D511" s="125"/>
      <c r="E511" s="125"/>
      <c r="F511" s="126"/>
      <c r="G511" s="125"/>
      <c r="H511" s="125"/>
      <c r="I511" s="125"/>
      <c r="J511" s="125"/>
      <c r="K511" s="125"/>
      <c r="L511" s="125"/>
      <c r="M511" s="125"/>
      <c r="N511" s="129"/>
      <c r="O511" s="125"/>
      <c r="P511" s="173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</row>
    <row r="512" spans="1:26" ht="15.75" customHeight="1">
      <c r="A512" s="125"/>
      <c r="B512" s="125"/>
      <c r="C512" s="125"/>
      <c r="D512" s="125"/>
      <c r="E512" s="125"/>
      <c r="F512" s="126"/>
      <c r="G512" s="125"/>
      <c r="H512" s="125"/>
      <c r="I512" s="125"/>
      <c r="J512" s="125"/>
      <c r="K512" s="125"/>
      <c r="L512" s="125"/>
      <c r="M512" s="125"/>
      <c r="N512" s="129"/>
      <c r="O512" s="125"/>
      <c r="P512" s="173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</row>
    <row r="513" spans="1:26" ht="15.75" customHeight="1">
      <c r="A513" s="125"/>
      <c r="B513" s="125"/>
      <c r="C513" s="125"/>
      <c r="D513" s="125"/>
      <c r="E513" s="125"/>
      <c r="F513" s="126"/>
      <c r="G513" s="125"/>
      <c r="H513" s="125"/>
      <c r="I513" s="125"/>
      <c r="J513" s="125"/>
      <c r="K513" s="125"/>
      <c r="L513" s="125"/>
      <c r="M513" s="125"/>
      <c r="N513" s="129"/>
      <c r="O513" s="125"/>
      <c r="P513" s="173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</row>
    <row r="514" spans="1:26" ht="15.75" customHeight="1">
      <c r="A514" s="125"/>
      <c r="B514" s="125"/>
      <c r="C514" s="125"/>
      <c r="D514" s="125"/>
      <c r="E514" s="125"/>
      <c r="F514" s="126"/>
      <c r="G514" s="125"/>
      <c r="H514" s="125"/>
      <c r="I514" s="125"/>
      <c r="J514" s="125"/>
      <c r="K514" s="125"/>
      <c r="L514" s="125"/>
      <c r="M514" s="125"/>
      <c r="N514" s="129"/>
      <c r="O514" s="125"/>
      <c r="P514" s="173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</row>
    <row r="515" spans="1:26" ht="15.75" customHeight="1">
      <c r="A515" s="125"/>
      <c r="B515" s="125"/>
      <c r="C515" s="125"/>
      <c r="D515" s="125"/>
      <c r="E515" s="125"/>
      <c r="F515" s="126"/>
      <c r="G515" s="125"/>
      <c r="H515" s="125"/>
      <c r="I515" s="125"/>
      <c r="J515" s="125"/>
      <c r="K515" s="125"/>
      <c r="L515" s="125"/>
      <c r="M515" s="125"/>
      <c r="N515" s="129"/>
      <c r="O515" s="125"/>
      <c r="P515" s="173"/>
      <c r="Q515" s="125"/>
      <c r="R515" s="125"/>
      <c r="S515" s="125"/>
      <c r="T515" s="125"/>
      <c r="U515" s="125"/>
      <c r="V515" s="125"/>
      <c r="W515" s="125"/>
      <c r="X515" s="125"/>
      <c r="Y515" s="125"/>
      <c r="Z515" s="125"/>
    </row>
    <row r="516" spans="1:26" ht="15.75" customHeight="1">
      <c r="A516" s="125"/>
      <c r="B516" s="125"/>
      <c r="C516" s="125"/>
      <c r="D516" s="125"/>
      <c r="E516" s="125"/>
      <c r="F516" s="126"/>
      <c r="G516" s="125"/>
      <c r="H516" s="125"/>
      <c r="I516" s="125"/>
      <c r="J516" s="125"/>
      <c r="K516" s="125"/>
      <c r="L516" s="125"/>
      <c r="M516" s="125"/>
      <c r="N516" s="129"/>
      <c r="O516" s="125"/>
      <c r="P516" s="173"/>
      <c r="Q516" s="125"/>
      <c r="R516" s="125"/>
      <c r="S516" s="125"/>
      <c r="T516" s="125"/>
      <c r="U516" s="125"/>
      <c r="V516" s="125"/>
      <c r="W516" s="125"/>
      <c r="X516" s="125"/>
      <c r="Y516" s="125"/>
      <c r="Z516" s="125"/>
    </row>
    <row r="517" spans="1:26" ht="15.75" customHeight="1">
      <c r="A517" s="125"/>
      <c r="B517" s="125"/>
      <c r="C517" s="125"/>
      <c r="D517" s="125"/>
      <c r="E517" s="125"/>
      <c r="F517" s="126"/>
      <c r="G517" s="125"/>
      <c r="H517" s="125"/>
      <c r="I517" s="125"/>
      <c r="J517" s="125"/>
      <c r="K517" s="125"/>
      <c r="L517" s="125"/>
      <c r="M517" s="125"/>
      <c r="N517" s="129"/>
      <c r="O517" s="125"/>
      <c r="P517" s="173"/>
      <c r="Q517" s="125"/>
      <c r="R517" s="125"/>
      <c r="S517" s="125"/>
      <c r="T517" s="125"/>
      <c r="U517" s="125"/>
      <c r="V517" s="125"/>
      <c r="W517" s="125"/>
      <c r="X517" s="125"/>
      <c r="Y517" s="125"/>
      <c r="Z517" s="125"/>
    </row>
    <row r="518" spans="1:26" ht="15.75" customHeight="1">
      <c r="A518" s="125"/>
      <c r="B518" s="125"/>
      <c r="C518" s="125"/>
      <c r="D518" s="125"/>
      <c r="E518" s="125"/>
      <c r="F518" s="126"/>
      <c r="G518" s="125"/>
      <c r="H518" s="125"/>
      <c r="I518" s="125"/>
      <c r="J518" s="125"/>
      <c r="K518" s="125"/>
      <c r="L518" s="125"/>
      <c r="M518" s="125"/>
      <c r="N518" s="129"/>
      <c r="O518" s="125"/>
      <c r="P518" s="173"/>
      <c r="Q518" s="125"/>
      <c r="R518" s="125"/>
      <c r="S518" s="125"/>
      <c r="T518" s="125"/>
      <c r="U518" s="125"/>
      <c r="V518" s="125"/>
      <c r="W518" s="125"/>
      <c r="X518" s="125"/>
      <c r="Y518" s="125"/>
      <c r="Z518" s="125"/>
    </row>
    <row r="519" spans="1:26" ht="15.75" customHeight="1">
      <c r="A519" s="125"/>
      <c r="B519" s="125"/>
      <c r="C519" s="125"/>
      <c r="D519" s="125"/>
      <c r="E519" s="125"/>
      <c r="F519" s="126"/>
      <c r="G519" s="125"/>
      <c r="H519" s="125"/>
      <c r="I519" s="125"/>
      <c r="J519" s="125"/>
      <c r="K519" s="125"/>
      <c r="L519" s="125"/>
      <c r="M519" s="125"/>
      <c r="N519" s="129"/>
      <c r="O519" s="125"/>
      <c r="P519" s="173"/>
      <c r="Q519" s="125"/>
      <c r="R519" s="125"/>
      <c r="S519" s="125"/>
      <c r="T519" s="125"/>
      <c r="U519" s="125"/>
      <c r="V519" s="125"/>
      <c r="W519" s="125"/>
      <c r="X519" s="125"/>
      <c r="Y519" s="125"/>
      <c r="Z519" s="125"/>
    </row>
    <row r="520" spans="1:26" ht="15.75" customHeight="1">
      <c r="A520" s="125"/>
      <c r="B520" s="125"/>
      <c r="C520" s="125"/>
      <c r="D520" s="125"/>
      <c r="E520" s="125"/>
      <c r="F520" s="126"/>
      <c r="G520" s="125"/>
      <c r="H520" s="125"/>
      <c r="I520" s="125"/>
      <c r="J520" s="125"/>
      <c r="K520" s="125"/>
      <c r="L520" s="125"/>
      <c r="M520" s="125"/>
      <c r="N520" s="129"/>
      <c r="O520" s="125"/>
      <c r="P520" s="173"/>
      <c r="Q520" s="125"/>
      <c r="R520" s="125"/>
      <c r="S520" s="125"/>
      <c r="T520" s="125"/>
      <c r="U520" s="125"/>
      <c r="V520" s="125"/>
      <c r="W520" s="125"/>
      <c r="X520" s="125"/>
      <c r="Y520" s="125"/>
      <c r="Z520" s="125"/>
    </row>
    <row r="521" spans="1:26" ht="15.75" customHeight="1">
      <c r="A521" s="125"/>
      <c r="B521" s="125"/>
      <c r="C521" s="125"/>
      <c r="D521" s="125"/>
      <c r="E521" s="125"/>
      <c r="F521" s="126"/>
      <c r="G521" s="125"/>
      <c r="H521" s="125"/>
      <c r="I521" s="125"/>
      <c r="J521" s="125"/>
      <c r="K521" s="125"/>
      <c r="L521" s="125"/>
      <c r="M521" s="125"/>
      <c r="N521" s="129"/>
      <c r="O521" s="125"/>
      <c r="P521" s="173"/>
      <c r="Q521" s="125"/>
      <c r="R521" s="125"/>
      <c r="S521" s="125"/>
      <c r="T521" s="125"/>
      <c r="U521" s="125"/>
      <c r="V521" s="125"/>
      <c r="W521" s="125"/>
      <c r="X521" s="125"/>
      <c r="Y521" s="125"/>
      <c r="Z521" s="125"/>
    </row>
    <row r="522" spans="1:26" ht="15.75" customHeight="1">
      <c r="A522" s="125"/>
      <c r="B522" s="125"/>
      <c r="C522" s="125"/>
      <c r="D522" s="125"/>
      <c r="E522" s="125"/>
      <c r="F522" s="126"/>
      <c r="G522" s="125"/>
      <c r="H522" s="125"/>
      <c r="I522" s="125"/>
      <c r="J522" s="125"/>
      <c r="K522" s="125"/>
      <c r="L522" s="125"/>
      <c r="M522" s="125"/>
      <c r="N522" s="129"/>
      <c r="O522" s="125"/>
      <c r="P522" s="173"/>
      <c r="Q522" s="125"/>
      <c r="R522" s="125"/>
      <c r="S522" s="125"/>
      <c r="T522" s="125"/>
      <c r="U522" s="125"/>
      <c r="V522" s="125"/>
      <c r="W522" s="125"/>
      <c r="X522" s="125"/>
      <c r="Y522" s="125"/>
      <c r="Z522" s="125"/>
    </row>
    <row r="523" spans="1:26" ht="15.75" customHeight="1">
      <c r="A523" s="125"/>
      <c r="B523" s="125"/>
      <c r="C523" s="125"/>
      <c r="D523" s="125"/>
      <c r="E523" s="125"/>
      <c r="F523" s="126"/>
      <c r="G523" s="125"/>
      <c r="H523" s="125"/>
      <c r="I523" s="125"/>
      <c r="J523" s="125"/>
      <c r="K523" s="125"/>
      <c r="L523" s="125"/>
      <c r="M523" s="125"/>
      <c r="N523" s="129"/>
      <c r="O523" s="125"/>
      <c r="P523" s="173"/>
      <c r="Q523" s="125"/>
      <c r="R523" s="125"/>
      <c r="S523" s="125"/>
      <c r="T523" s="125"/>
      <c r="U523" s="125"/>
      <c r="V523" s="125"/>
      <c r="W523" s="125"/>
      <c r="X523" s="125"/>
      <c r="Y523" s="125"/>
      <c r="Z523" s="125"/>
    </row>
    <row r="524" spans="1:26" ht="15.75" customHeight="1">
      <c r="A524" s="125"/>
      <c r="B524" s="125"/>
      <c r="C524" s="125"/>
      <c r="D524" s="125"/>
      <c r="E524" s="125"/>
      <c r="F524" s="126"/>
      <c r="G524" s="125"/>
      <c r="H524" s="125"/>
      <c r="I524" s="125"/>
      <c r="J524" s="125"/>
      <c r="K524" s="125"/>
      <c r="L524" s="125"/>
      <c r="M524" s="125"/>
      <c r="N524" s="129"/>
      <c r="O524" s="125"/>
      <c r="P524" s="173"/>
      <c r="Q524" s="125"/>
      <c r="R524" s="125"/>
      <c r="S524" s="125"/>
      <c r="T524" s="125"/>
      <c r="U524" s="125"/>
      <c r="V524" s="125"/>
      <c r="W524" s="125"/>
      <c r="X524" s="125"/>
      <c r="Y524" s="125"/>
      <c r="Z524" s="125"/>
    </row>
    <row r="525" spans="1:26" ht="15.75" customHeight="1">
      <c r="A525" s="125"/>
      <c r="B525" s="125"/>
      <c r="C525" s="125"/>
      <c r="D525" s="125"/>
      <c r="E525" s="125"/>
      <c r="F525" s="126"/>
      <c r="G525" s="125"/>
      <c r="H525" s="125"/>
      <c r="I525" s="125"/>
      <c r="J525" s="125"/>
      <c r="K525" s="125"/>
      <c r="L525" s="125"/>
      <c r="M525" s="125"/>
      <c r="N525" s="129"/>
      <c r="O525" s="125"/>
      <c r="P525" s="173"/>
      <c r="Q525" s="125"/>
      <c r="R525" s="125"/>
      <c r="S525" s="125"/>
      <c r="T525" s="125"/>
      <c r="U525" s="125"/>
      <c r="V525" s="125"/>
      <c r="W525" s="125"/>
      <c r="X525" s="125"/>
      <c r="Y525" s="125"/>
      <c r="Z525" s="125"/>
    </row>
    <row r="526" spans="1:26" ht="15.75" customHeight="1">
      <c r="A526" s="125"/>
      <c r="B526" s="125"/>
      <c r="C526" s="125"/>
      <c r="D526" s="125"/>
      <c r="E526" s="125"/>
      <c r="F526" s="126"/>
      <c r="G526" s="125"/>
      <c r="H526" s="125"/>
      <c r="I526" s="125"/>
      <c r="J526" s="125"/>
      <c r="K526" s="125"/>
      <c r="L526" s="125"/>
      <c r="M526" s="125"/>
      <c r="N526" s="129"/>
      <c r="O526" s="125"/>
      <c r="P526" s="173"/>
      <c r="Q526" s="125"/>
      <c r="R526" s="125"/>
      <c r="S526" s="125"/>
      <c r="T526" s="125"/>
      <c r="U526" s="125"/>
      <c r="V526" s="125"/>
      <c r="W526" s="125"/>
      <c r="X526" s="125"/>
      <c r="Y526" s="125"/>
      <c r="Z526" s="125"/>
    </row>
    <row r="527" spans="1:26" ht="15.75" customHeight="1">
      <c r="A527" s="125"/>
      <c r="B527" s="125"/>
      <c r="C527" s="125"/>
      <c r="D527" s="125"/>
      <c r="E527" s="125"/>
      <c r="F527" s="126"/>
      <c r="G527" s="125"/>
      <c r="H527" s="125"/>
      <c r="I527" s="125"/>
      <c r="J527" s="125"/>
      <c r="K527" s="125"/>
      <c r="L527" s="125"/>
      <c r="M527" s="125"/>
      <c r="N527" s="129"/>
      <c r="O527" s="125"/>
      <c r="P527" s="173"/>
      <c r="Q527" s="125"/>
      <c r="R527" s="125"/>
      <c r="S527" s="125"/>
      <c r="T527" s="125"/>
      <c r="U527" s="125"/>
      <c r="V527" s="125"/>
      <c r="W527" s="125"/>
      <c r="X527" s="125"/>
      <c r="Y527" s="125"/>
      <c r="Z527" s="125"/>
    </row>
    <row r="528" spans="1:26" ht="15.75" customHeight="1">
      <c r="A528" s="125"/>
      <c r="B528" s="125"/>
      <c r="C528" s="125"/>
      <c r="D528" s="125"/>
      <c r="E528" s="125"/>
      <c r="F528" s="126"/>
      <c r="G528" s="125"/>
      <c r="H528" s="125"/>
      <c r="I528" s="125"/>
      <c r="J528" s="125"/>
      <c r="K528" s="125"/>
      <c r="L528" s="125"/>
      <c r="M528" s="125"/>
      <c r="N528" s="129"/>
      <c r="O528" s="125"/>
      <c r="P528" s="173"/>
      <c r="Q528" s="125"/>
      <c r="R528" s="125"/>
      <c r="S528" s="125"/>
      <c r="T528" s="125"/>
      <c r="U528" s="125"/>
      <c r="V528" s="125"/>
      <c r="W528" s="125"/>
      <c r="X528" s="125"/>
      <c r="Y528" s="125"/>
      <c r="Z528" s="125"/>
    </row>
    <row r="529" spans="1:26" ht="15.75" customHeight="1">
      <c r="A529" s="125"/>
      <c r="B529" s="125"/>
      <c r="C529" s="125"/>
      <c r="D529" s="125"/>
      <c r="E529" s="125"/>
      <c r="F529" s="126"/>
      <c r="G529" s="125"/>
      <c r="H529" s="125"/>
      <c r="I529" s="125"/>
      <c r="J529" s="125"/>
      <c r="K529" s="125"/>
      <c r="L529" s="125"/>
      <c r="M529" s="125"/>
      <c r="N529" s="129"/>
      <c r="O529" s="125"/>
      <c r="P529" s="173"/>
      <c r="Q529" s="125"/>
      <c r="R529" s="125"/>
      <c r="S529" s="125"/>
      <c r="T529" s="125"/>
      <c r="U529" s="125"/>
      <c r="V529" s="125"/>
      <c r="W529" s="125"/>
      <c r="X529" s="125"/>
      <c r="Y529" s="125"/>
      <c r="Z529" s="125"/>
    </row>
    <row r="530" spans="1:26" ht="15.75" customHeight="1">
      <c r="A530" s="125"/>
      <c r="B530" s="125"/>
      <c r="C530" s="125"/>
      <c r="D530" s="125"/>
      <c r="E530" s="125"/>
      <c r="F530" s="126"/>
      <c r="G530" s="125"/>
      <c r="H530" s="125"/>
      <c r="I530" s="125"/>
      <c r="J530" s="125"/>
      <c r="K530" s="125"/>
      <c r="L530" s="125"/>
      <c r="M530" s="125"/>
      <c r="N530" s="129"/>
      <c r="O530" s="125"/>
      <c r="P530" s="173"/>
      <c r="Q530" s="125"/>
      <c r="R530" s="125"/>
      <c r="S530" s="125"/>
      <c r="T530" s="125"/>
      <c r="U530" s="125"/>
      <c r="V530" s="125"/>
      <c r="W530" s="125"/>
      <c r="X530" s="125"/>
      <c r="Y530" s="125"/>
      <c r="Z530" s="125"/>
    </row>
    <row r="531" spans="1:26" ht="15.75" customHeight="1">
      <c r="A531" s="125"/>
      <c r="B531" s="125"/>
      <c r="C531" s="125"/>
      <c r="D531" s="125"/>
      <c r="E531" s="125"/>
      <c r="F531" s="126"/>
      <c r="G531" s="125"/>
      <c r="H531" s="125"/>
      <c r="I531" s="125"/>
      <c r="J531" s="125"/>
      <c r="K531" s="125"/>
      <c r="L531" s="125"/>
      <c r="M531" s="125"/>
      <c r="N531" s="129"/>
      <c r="O531" s="125"/>
      <c r="P531" s="173"/>
      <c r="Q531" s="125"/>
      <c r="R531" s="125"/>
      <c r="S531" s="125"/>
      <c r="T531" s="125"/>
      <c r="U531" s="125"/>
      <c r="V531" s="125"/>
      <c r="W531" s="125"/>
      <c r="X531" s="125"/>
      <c r="Y531" s="125"/>
      <c r="Z531" s="125"/>
    </row>
    <row r="532" spans="1:26" ht="15.75" customHeight="1">
      <c r="A532" s="125"/>
      <c r="B532" s="125"/>
      <c r="C532" s="125"/>
      <c r="D532" s="125"/>
      <c r="E532" s="125"/>
      <c r="F532" s="126"/>
      <c r="G532" s="125"/>
      <c r="H532" s="125"/>
      <c r="I532" s="125"/>
      <c r="J532" s="125"/>
      <c r="K532" s="125"/>
      <c r="L532" s="125"/>
      <c r="M532" s="125"/>
      <c r="N532" s="129"/>
      <c r="O532" s="125"/>
      <c r="P532" s="173"/>
      <c r="Q532" s="125"/>
      <c r="R532" s="125"/>
      <c r="S532" s="125"/>
      <c r="T532" s="125"/>
      <c r="U532" s="125"/>
      <c r="V532" s="125"/>
      <c r="W532" s="125"/>
      <c r="X532" s="125"/>
      <c r="Y532" s="125"/>
      <c r="Z532" s="125"/>
    </row>
    <row r="533" spans="1:26" ht="15.75" customHeight="1">
      <c r="A533" s="125"/>
      <c r="B533" s="125"/>
      <c r="C533" s="125"/>
      <c r="D533" s="125"/>
      <c r="E533" s="125"/>
      <c r="F533" s="126"/>
      <c r="G533" s="125"/>
      <c r="H533" s="125"/>
      <c r="I533" s="125"/>
      <c r="J533" s="125"/>
      <c r="K533" s="125"/>
      <c r="L533" s="125"/>
      <c r="M533" s="125"/>
      <c r="N533" s="129"/>
      <c r="O533" s="125"/>
      <c r="P533" s="173"/>
      <c r="Q533" s="125"/>
      <c r="R533" s="125"/>
      <c r="S533" s="125"/>
      <c r="T533" s="125"/>
      <c r="U533" s="125"/>
      <c r="V533" s="125"/>
      <c r="W533" s="125"/>
      <c r="X533" s="125"/>
      <c r="Y533" s="125"/>
      <c r="Z533" s="125"/>
    </row>
    <row r="534" spans="1:26" ht="15.75" customHeight="1">
      <c r="A534" s="125"/>
      <c r="B534" s="125"/>
      <c r="C534" s="125"/>
      <c r="D534" s="125"/>
      <c r="E534" s="125"/>
      <c r="F534" s="126"/>
      <c r="G534" s="125"/>
      <c r="H534" s="125"/>
      <c r="I534" s="125"/>
      <c r="J534" s="125"/>
      <c r="K534" s="125"/>
      <c r="L534" s="125"/>
      <c r="M534" s="125"/>
      <c r="N534" s="129"/>
      <c r="O534" s="125"/>
      <c r="P534" s="173"/>
      <c r="Q534" s="125"/>
      <c r="R534" s="125"/>
      <c r="S534" s="125"/>
      <c r="T534" s="125"/>
      <c r="U534" s="125"/>
      <c r="V534" s="125"/>
      <c r="W534" s="125"/>
      <c r="X534" s="125"/>
      <c r="Y534" s="125"/>
      <c r="Z534" s="125"/>
    </row>
    <row r="535" spans="1:26" ht="15.75" customHeight="1">
      <c r="A535" s="125"/>
      <c r="B535" s="125"/>
      <c r="C535" s="125"/>
      <c r="D535" s="125"/>
      <c r="E535" s="125"/>
      <c r="F535" s="126"/>
      <c r="G535" s="125"/>
      <c r="H535" s="125"/>
      <c r="I535" s="125"/>
      <c r="J535" s="125"/>
      <c r="K535" s="125"/>
      <c r="L535" s="125"/>
      <c r="M535" s="125"/>
      <c r="N535" s="129"/>
      <c r="O535" s="125"/>
      <c r="P535" s="173"/>
      <c r="Q535" s="125"/>
      <c r="R535" s="125"/>
      <c r="S535" s="125"/>
      <c r="T535" s="125"/>
      <c r="U535" s="125"/>
      <c r="V535" s="125"/>
      <c r="W535" s="125"/>
      <c r="X535" s="125"/>
      <c r="Y535" s="125"/>
      <c r="Z535" s="125"/>
    </row>
    <row r="536" spans="1:26" ht="15.75" customHeight="1">
      <c r="A536" s="125"/>
      <c r="B536" s="125"/>
      <c r="C536" s="125"/>
      <c r="D536" s="125"/>
      <c r="E536" s="125"/>
      <c r="F536" s="126"/>
      <c r="G536" s="125"/>
      <c r="H536" s="125"/>
      <c r="I536" s="125"/>
      <c r="J536" s="125"/>
      <c r="K536" s="125"/>
      <c r="L536" s="125"/>
      <c r="M536" s="125"/>
      <c r="N536" s="129"/>
      <c r="O536" s="125"/>
      <c r="P536" s="173"/>
      <c r="Q536" s="125"/>
      <c r="R536" s="125"/>
      <c r="S536" s="125"/>
      <c r="T536" s="125"/>
      <c r="U536" s="125"/>
      <c r="V536" s="125"/>
      <c r="W536" s="125"/>
      <c r="X536" s="125"/>
      <c r="Y536" s="125"/>
      <c r="Z536" s="125"/>
    </row>
    <row r="537" spans="1:26" ht="15.75" customHeight="1">
      <c r="A537" s="125"/>
      <c r="B537" s="125"/>
      <c r="C537" s="125"/>
      <c r="D537" s="125"/>
      <c r="E537" s="125"/>
      <c r="F537" s="126"/>
      <c r="G537" s="125"/>
      <c r="H537" s="125"/>
      <c r="I537" s="125"/>
      <c r="J537" s="125"/>
      <c r="K537" s="125"/>
      <c r="L537" s="125"/>
      <c r="M537" s="125"/>
      <c r="N537" s="129"/>
      <c r="O537" s="125"/>
      <c r="P537" s="173"/>
      <c r="Q537" s="125"/>
      <c r="R537" s="125"/>
      <c r="S537" s="125"/>
      <c r="T537" s="125"/>
      <c r="U537" s="125"/>
      <c r="V537" s="125"/>
      <c r="W537" s="125"/>
      <c r="X537" s="125"/>
      <c r="Y537" s="125"/>
      <c r="Z537" s="125"/>
    </row>
    <row r="538" spans="1:26" ht="15.75" customHeight="1">
      <c r="A538" s="125"/>
      <c r="B538" s="125"/>
      <c r="C538" s="125"/>
      <c r="D538" s="125"/>
      <c r="E538" s="125"/>
      <c r="F538" s="126"/>
      <c r="G538" s="125"/>
      <c r="H538" s="125"/>
      <c r="I538" s="125"/>
      <c r="J538" s="125"/>
      <c r="K538" s="125"/>
      <c r="L538" s="125"/>
      <c r="M538" s="125"/>
      <c r="N538" s="129"/>
      <c r="O538" s="125"/>
      <c r="P538" s="173"/>
      <c r="Q538" s="125"/>
      <c r="R538" s="125"/>
      <c r="S538" s="125"/>
      <c r="T538" s="125"/>
      <c r="U538" s="125"/>
      <c r="V538" s="125"/>
      <c r="W538" s="125"/>
      <c r="X538" s="125"/>
      <c r="Y538" s="125"/>
      <c r="Z538" s="125"/>
    </row>
    <row r="539" spans="1:26" ht="15.75" customHeight="1">
      <c r="A539" s="125"/>
      <c r="B539" s="125"/>
      <c r="C539" s="125"/>
      <c r="D539" s="125"/>
      <c r="E539" s="125"/>
      <c r="F539" s="126"/>
      <c r="G539" s="125"/>
      <c r="H539" s="125"/>
      <c r="I539" s="125"/>
      <c r="J539" s="125"/>
      <c r="K539" s="125"/>
      <c r="L539" s="125"/>
      <c r="M539" s="125"/>
      <c r="N539" s="129"/>
      <c r="O539" s="125"/>
      <c r="P539" s="173"/>
      <c r="Q539" s="125"/>
      <c r="R539" s="125"/>
      <c r="S539" s="125"/>
      <c r="T539" s="125"/>
      <c r="U539" s="125"/>
      <c r="V539" s="125"/>
      <c r="W539" s="125"/>
      <c r="X539" s="125"/>
      <c r="Y539" s="125"/>
      <c r="Z539" s="125"/>
    </row>
    <row r="540" spans="1:26" ht="15.75" customHeight="1">
      <c r="A540" s="125"/>
      <c r="B540" s="125"/>
      <c r="C540" s="125"/>
      <c r="D540" s="125"/>
      <c r="E540" s="125"/>
      <c r="F540" s="126"/>
      <c r="G540" s="125"/>
      <c r="H540" s="125"/>
      <c r="I540" s="125"/>
      <c r="J540" s="125"/>
      <c r="K540" s="125"/>
      <c r="L540" s="125"/>
      <c r="M540" s="125"/>
      <c r="N540" s="129"/>
      <c r="O540" s="125"/>
      <c r="P540" s="173"/>
      <c r="Q540" s="125"/>
      <c r="R540" s="125"/>
      <c r="S540" s="125"/>
      <c r="T540" s="125"/>
      <c r="U540" s="125"/>
      <c r="V540" s="125"/>
      <c r="W540" s="125"/>
      <c r="X540" s="125"/>
      <c r="Y540" s="125"/>
      <c r="Z540" s="125"/>
    </row>
    <row r="541" spans="1:26" ht="15.75" customHeight="1">
      <c r="A541" s="125"/>
      <c r="B541" s="125"/>
      <c r="C541" s="125"/>
      <c r="D541" s="125"/>
      <c r="E541" s="125"/>
      <c r="F541" s="126"/>
      <c r="G541" s="125"/>
      <c r="H541" s="125"/>
      <c r="I541" s="125"/>
      <c r="J541" s="125"/>
      <c r="K541" s="125"/>
      <c r="L541" s="125"/>
      <c r="M541" s="125"/>
      <c r="N541" s="129"/>
      <c r="O541" s="125"/>
      <c r="P541" s="173"/>
      <c r="Q541" s="125"/>
      <c r="R541" s="125"/>
      <c r="S541" s="125"/>
      <c r="T541" s="125"/>
      <c r="U541" s="125"/>
      <c r="V541" s="125"/>
      <c r="W541" s="125"/>
      <c r="X541" s="125"/>
      <c r="Y541" s="125"/>
      <c r="Z541" s="125"/>
    </row>
    <row r="542" spans="1:26" ht="15.75" customHeight="1">
      <c r="A542" s="125"/>
      <c r="B542" s="125"/>
      <c r="C542" s="125"/>
      <c r="D542" s="125"/>
      <c r="E542" s="125"/>
      <c r="F542" s="126"/>
      <c r="G542" s="125"/>
      <c r="H542" s="125"/>
      <c r="I542" s="125"/>
      <c r="J542" s="125"/>
      <c r="K542" s="125"/>
      <c r="L542" s="125"/>
      <c r="M542" s="125"/>
      <c r="N542" s="129"/>
      <c r="O542" s="125"/>
      <c r="P542" s="173"/>
      <c r="Q542" s="125"/>
      <c r="R542" s="125"/>
      <c r="S542" s="125"/>
      <c r="T542" s="125"/>
      <c r="U542" s="125"/>
      <c r="V542" s="125"/>
      <c r="W542" s="125"/>
      <c r="X542" s="125"/>
      <c r="Y542" s="125"/>
      <c r="Z542" s="125"/>
    </row>
    <row r="543" spans="1:26" ht="15.75" customHeight="1">
      <c r="A543" s="125"/>
      <c r="B543" s="125"/>
      <c r="C543" s="125"/>
      <c r="D543" s="125"/>
      <c r="E543" s="125"/>
      <c r="F543" s="126"/>
      <c r="G543" s="125"/>
      <c r="H543" s="125"/>
      <c r="I543" s="125"/>
      <c r="J543" s="125"/>
      <c r="K543" s="125"/>
      <c r="L543" s="125"/>
      <c r="M543" s="125"/>
      <c r="N543" s="129"/>
      <c r="O543" s="125"/>
      <c r="P543" s="173"/>
      <c r="Q543" s="125"/>
      <c r="R543" s="125"/>
      <c r="S543" s="125"/>
      <c r="T543" s="125"/>
      <c r="U543" s="125"/>
      <c r="V543" s="125"/>
      <c r="W543" s="125"/>
      <c r="X543" s="125"/>
      <c r="Y543" s="125"/>
      <c r="Z543" s="125"/>
    </row>
    <row r="544" spans="1:26" ht="15.75" customHeight="1">
      <c r="A544" s="125"/>
      <c r="B544" s="125"/>
      <c r="C544" s="125"/>
      <c r="D544" s="125"/>
      <c r="E544" s="125"/>
      <c r="F544" s="126"/>
      <c r="G544" s="125"/>
      <c r="H544" s="125"/>
      <c r="I544" s="125"/>
      <c r="J544" s="125"/>
      <c r="K544" s="125"/>
      <c r="L544" s="125"/>
      <c r="M544" s="125"/>
      <c r="N544" s="129"/>
      <c r="O544" s="125"/>
      <c r="P544" s="173"/>
      <c r="Q544" s="125"/>
      <c r="R544" s="125"/>
      <c r="S544" s="125"/>
      <c r="T544" s="125"/>
      <c r="U544" s="125"/>
      <c r="V544" s="125"/>
      <c r="W544" s="125"/>
      <c r="X544" s="125"/>
      <c r="Y544" s="125"/>
      <c r="Z544" s="125"/>
    </row>
    <row r="545" spans="1:26" ht="15.75" customHeight="1">
      <c r="A545" s="125"/>
      <c r="B545" s="125"/>
      <c r="C545" s="125"/>
      <c r="D545" s="125"/>
      <c r="E545" s="125"/>
      <c r="F545" s="126"/>
      <c r="G545" s="125"/>
      <c r="H545" s="125"/>
      <c r="I545" s="125"/>
      <c r="J545" s="125"/>
      <c r="K545" s="125"/>
      <c r="L545" s="125"/>
      <c r="M545" s="125"/>
      <c r="N545" s="129"/>
      <c r="O545" s="125"/>
      <c r="P545" s="173"/>
      <c r="Q545" s="125"/>
      <c r="R545" s="125"/>
      <c r="S545" s="125"/>
      <c r="T545" s="125"/>
      <c r="U545" s="125"/>
      <c r="V545" s="125"/>
      <c r="W545" s="125"/>
      <c r="X545" s="125"/>
      <c r="Y545" s="125"/>
      <c r="Z545" s="125"/>
    </row>
    <row r="546" spans="1:26" ht="15.75" customHeight="1">
      <c r="A546" s="125"/>
      <c r="B546" s="125"/>
      <c r="C546" s="125"/>
      <c r="D546" s="125"/>
      <c r="E546" s="125"/>
      <c r="F546" s="126"/>
      <c r="G546" s="125"/>
      <c r="H546" s="125"/>
      <c r="I546" s="125"/>
      <c r="J546" s="125"/>
      <c r="K546" s="125"/>
      <c r="L546" s="125"/>
      <c r="M546" s="125"/>
      <c r="N546" s="129"/>
      <c r="O546" s="125"/>
      <c r="P546" s="173"/>
      <c r="Q546" s="125"/>
      <c r="R546" s="125"/>
      <c r="S546" s="125"/>
      <c r="T546" s="125"/>
      <c r="U546" s="125"/>
      <c r="V546" s="125"/>
      <c r="W546" s="125"/>
      <c r="X546" s="125"/>
      <c r="Y546" s="125"/>
      <c r="Z546" s="125"/>
    </row>
    <row r="547" spans="1:26" ht="15.75" customHeight="1">
      <c r="A547" s="125"/>
      <c r="B547" s="125"/>
      <c r="C547" s="125"/>
      <c r="D547" s="125"/>
      <c r="E547" s="125"/>
      <c r="F547" s="126"/>
      <c r="G547" s="125"/>
      <c r="H547" s="125"/>
      <c r="I547" s="125"/>
      <c r="J547" s="125"/>
      <c r="K547" s="125"/>
      <c r="L547" s="125"/>
      <c r="M547" s="125"/>
      <c r="N547" s="129"/>
      <c r="O547" s="125"/>
      <c r="P547" s="173"/>
      <c r="Q547" s="125"/>
      <c r="R547" s="125"/>
      <c r="S547" s="125"/>
      <c r="T547" s="125"/>
      <c r="U547" s="125"/>
      <c r="V547" s="125"/>
      <c r="W547" s="125"/>
      <c r="X547" s="125"/>
      <c r="Y547" s="125"/>
      <c r="Z547" s="125"/>
    </row>
    <row r="548" spans="1:26" ht="15.75" customHeight="1">
      <c r="A548" s="125"/>
      <c r="B548" s="125"/>
      <c r="C548" s="125"/>
      <c r="D548" s="125"/>
      <c r="E548" s="125"/>
      <c r="F548" s="126"/>
      <c r="G548" s="125"/>
      <c r="H548" s="125"/>
      <c r="I548" s="125"/>
      <c r="J548" s="125"/>
      <c r="K548" s="125"/>
      <c r="L548" s="125"/>
      <c r="M548" s="125"/>
      <c r="N548" s="129"/>
      <c r="O548" s="125"/>
      <c r="P548" s="173"/>
      <c r="Q548" s="125"/>
      <c r="R548" s="125"/>
      <c r="S548" s="125"/>
      <c r="T548" s="125"/>
      <c r="U548" s="125"/>
      <c r="V548" s="125"/>
      <c r="W548" s="125"/>
      <c r="X548" s="125"/>
      <c r="Y548" s="125"/>
      <c r="Z548" s="125"/>
    </row>
    <row r="549" spans="1:26" ht="15.75" customHeight="1">
      <c r="A549" s="125"/>
      <c r="B549" s="125"/>
      <c r="C549" s="125"/>
      <c r="D549" s="125"/>
      <c r="E549" s="125"/>
      <c r="F549" s="126"/>
      <c r="G549" s="125"/>
      <c r="H549" s="125"/>
      <c r="I549" s="125"/>
      <c r="J549" s="125"/>
      <c r="K549" s="125"/>
      <c r="L549" s="125"/>
      <c r="M549" s="125"/>
      <c r="N549" s="129"/>
      <c r="O549" s="125"/>
      <c r="P549" s="173"/>
      <c r="Q549" s="125"/>
      <c r="R549" s="125"/>
      <c r="S549" s="125"/>
      <c r="T549" s="125"/>
      <c r="U549" s="125"/>
      <c r="V549" s="125"/>
      <c r="W549" s="125"/>
      <c r="X549" s="125"/>
      <c r="Y549" s="125"/>
      <c r="Z549" s="125"/>
    </row>
    <row r="550" spans="1:26" ht="15.75" customHeight="1">
      <c r="A550" s="125"/>
      <c r="B550" s="125"/>
      <c r="C550" s="125"/>
      <c r="D550" s="125"/>
      <c r="E550" s="125"/>
      <c r="F550" s="126"/>
      <c r="G550" s="125"/>
      <c r="H550" s="125"/>
      <c r="I550" s="125"/>
      <c r="J550" s="125"/>
      <c r="K550" s="125"/>
      <c r="L550" s="125"/>
      <c r="M550" s="125"/>
      <c r="N550" s="129"/>
      <c r="O550" s="125"/>
      <c r="P550" s="173"/>
      <c r="Q550" s="125"/>
      <c r="R550" s="125"/>
      <c r="S550" s="125"/>
      <c r="T550" s="125"/>
      <c r="U550" s="125"/>
      <c r="V550" s="125"/>
      <c r="W550" s="125"/>
      <c r="X550" s="125"/>
      <c r="Y550" s="125"/>
      <c r="Z550" s="125"/>
    </row>
    <row r="551" spans="1:26" ht="15.75" customHeight="1">
      <c r="A551" s="125"/>
      <c r="B551" s="125"/>
      <c r="C551" s="125"/>
      <c r="D551" s="125"/>
      <c r="E551" s="125"/>
      <c r="F551" s="126"/>
      <c r="G551" s="125"/>
      <c r="H551" s="125"/>
      <c r="I551" s="125"/>
      <c r="J551" s="125"/>
      <c r="K551" s="125"/>
      <c r="L551" s="125"/>
      <c r="M551" s="125"/>
      <c r="N551" s="129"/>
      <c r="O551" s="125"/>
      <c r="P551" s="173"/>
      <c r="Q551" s="125"/>
      <c r="R551" s="125"/>
      <c r="S551" s="125"/>
      <c r="T551" s="125"/>
      <c r="U551" s="125"/>
      <c r="V551" s="125"/>
      <c r="W551" s="125"/>
      <c r="X551" s="125"/>
      <c r="Y551" s="125"/>
      <c r="Z551" s="125"/>
    </row>
    <row r="552" spans="1:26" ht="15.75" customHeight="1">
      <c r="A552" s="125"/>
      <c r="B552" s="125"/>
      <c r="C552" s="125"/>
      <c r="D552" s="125"/>
      <c r="E552" s="125"/>
      <c r="F552" s="126"/>
      <c r="G552" s="125"/>
      <c r="H552" s="125"/>
      <c r="I552" s="125"/>
      <c r="J552" s="125"/>
      <c r="K552" s="125"/>
      <c r="L552" s="125"/>
      <c r="M552" s="125"/>
      <c r="N552" s="129"/>
      <c r="O552" s="125"/>
      <c r="P552" s="173"/>
      <c r="Q552" s="125"/>
      <c r="R552" s="125"/>
      <c r="S552" s="125"/>
      <c r="T552" s="125"/>
      <c r="U552" s="125"/>
      <c r="V552" s="125"/>
      <c r="W552" s="125"/>
      <c r="X552" s="125"/>
      <c r="Y552" s="125"/>
      <c r="Z552" s="125"/>
    </row>
    <row r="553" spans="1:26" ht="15.75" customHeight="1">
      <c r="A553" s="125"/>
      <c r="B553" s="125"/>
      <c r="C553" s="125"/>
      <c r="D553" s="125"/>
      <c r="E553" s="125"/>
      <c r="F553" s="126"/>
      <c r="G553" s="125"/>
      <c r="H553" s="125"/>
      <c r="I553" s="125"/>
      <c r="J553" s="125"/>
      <c r="K553" s="125"/>
      <c r="L553" s="125"/>
      <c r="M553" s="125"/>
      <c r="N553" s="129"/>
      <c r="O553" s="125"/>
      <c r="P553" s="173"/>
      <c r="Q553" s="125"/>
      <c r="R553" s="125"/>
      <c r="S553" s="125"/>
      <c r="T553" s="125"/>
      <c r="U553" s="125"/>
      <c r="V553" s="125"/>
      <c r="W553" s="125"/>
      <c r="X553" s="125"/>
      <c r="Y553" s="125"/>
      <c r="Z553" s="125"/>
    </row>
    <row r="554" spans="1:26" ht="15.75" customHeight="1">
      <c r="A554" s="125"/>
      <c r="B554" s="125"/>
      <c r="C554" s="125"/>
      <c r="D554" s="125"/>
      <c r="E554" s="125"/>
      <c r="F554" s="126"/>
      <c r="G554" s="125"/>
      <c r="H554" s="125"/>
      <c r="I554" s="125"/>
      <c r="J554" s="125"/>
      <c r="K554" s="125"/>
      <c r="L554" s="125"/>
      <c r="M554" s="125"/>
      <c r="N554" s="129"/>
      <c r="O554" s="125"/>
      <c r="P554" s="173"/>
      <c r="Q554" s="125"/>
      <c r="R554" s="125"/>
      <c r="S554" s="125"/>
      <c r="T554" s="125"/>
      <c r="U554" s="125"/>
      <c r="V554" s="125"/>
      <c r="W554" s="125"/>
      <c r="X554" s="125"/>
      <c r="Y554" s="125"/>
      <c r="Z554" s="125"/>
    </row>
    <row r="555" spans="1:26" ht="15.75" customHeight="1">
      <c r="A555" s="125"/>
      <c r="B555" s="125"/>
      <c r="C555" s="125"/>
      <c r="D555" s="125"/>
      <c r="E555" s="125"/>
      <c r="F555" s="126"/>
      <c r="G555" s="125"/>
      <c r="H555" s="125"/>
      <c r="I555" s="125"/>
      <c r="J555" s="125"/>
      <c r="K555" s="125"/>
      <c r="L555" s="125"/>
      <c r="M555" s="125"/>
      <c r="N555" s="129"/>
      <c r="O555" s="125"/>
      <c r="P555" s="173"/>
      <c r="Q555" s="125"/>
      <c r="R555" s="125"/>
      <c r="S555" s="125"/>
      <c r="T555" s="125"/>
      <c r="U555" s="125"/>
      <c r="V555" s="125"/>
      <c r="W555" s="125"/>
      <c r="X555" s="125"/>
      <c r="Y555" s="125"/>
      <c r="Z555" s="125"/>
    </row>
    <row r="556" spans="1:26" ht="15.75" customHeight="1">
      <c r="A556" s="125"/>
      <c r="B556" s="125"/>
      <c r="C556" s="125"/>
      <c r="D556" s="125"/>
      <c r="E556" s="125"/>
      <c r="F556" s="126"/>
      <c r="G556" s="125"/>
      <c r="H556" s="125"/>
      <c r="I556" s="125"/>
      <c r="J556" s="125"/>
      <c r="K556" s="125"/>
      <c r="L556" s="125"/>
      <c r="M556" s="125"/>
      <c r="N556" s="129"/>
      <c r="O556" s="125"/>
      <c r="P556" s="173"/>
      <c r="Q556" s="125"/>
      <c r="R556" s="125"/>
      <c r="S556" s="125"/>
      <c r="T556" s="125"/>
      <c r="U556" s="125"/>
      <c r="V556" s="125"/>
      <c r="W556" s="125"/>
      <c r="X556" s="125"/>
      <c r="Y556" s="125"/>
      <c r="Z556" s="125"/>
    </row>
    <row r="557" spans="1:26" ht="15.75" customHeight="1">
      <c r="A557" s="125"/>
      <c r="B557" s="125"/>
      <c r="C557" s="125"/>
      <c r="D557" s="125"/>
      <c r="E557" s="125"/>
      <c r="F557" s="126"/>
      <c r="G557" s="125"/>
      <c r="H557" s="125"/>
      <c r="I557" s="125"/>
      <c r="J557" s="125"/>
      <c r="K557" s="125"/>
      <c r="L557" s="125"/>
      <c r="M557" s="125"/>
      <c r="N557" s="129"/>
      <c r="O557" s="125"/>
      <c r="P557" s="173"/>
      <c r="Q557" s="125"/>
      <c r="R557" s="125"/>
      <c r="S557" s="125"/>
      <c r="T557" s="125"/>
      <c r="U557" s="125"/>
      <c r="V557" s="125"/>
      <c r="W557" s="125"/>
      <c r="X557" s="125"/>
      <c r="Y557" s="125"/>
      <c r="Z557" s="125"/>
    </row>
    <row r="558" spans="1:26" ht="15.75" customHeight="1">
      <c r="A558" s="125"/>
      <c r="B558" s="125"/>
      <c r="C558" s="125"/>
      <c r="D558" s="125"/>
      <c r="E558" s="125"/>
      <c r="F558" s="126"/>
      <c r="G558" s="125"/>
      <c r="H558" s="125"/>
      <c r="I558" s="125"/>
      <c r="J558" s="125"/>
      <c r="K558" s="125"/>
      <c r="L558" s="125"/>
      <c r="M558" s="125"/>
      <c r="N558" s="129"/>
      <c r="O558" s="125"/>
      <c r="P558" s="173"/>
      <c r="Q558" s="125"/>
      <c r="R558" s="125"/>
      <c r="S558" s="125"/>
      <c r="T558" s="125"/>
      <c r="U558" s="125"/>
      <c r="V558" s="125"/>
      <c r="W558" s="125"/>
      <c r="X558" s="125"/>
      <c r="Y558" s="125"/>
      <c r="Z558" s="125"/>
    </row>
    <row r="559" spans="1:26" ht="15.75" customHeight="1">
      <c r="A559" s="125"/>
      <c r="B559" s="125"/>
      <c r="C559" s="125"/>
      <c r="D559" s="125"/>
      <c r="E559" s="125"/>
      <c r="F559" s="126"/>
      <c r="G559" s="125"/>
      <c r="H559" s="125"/>
      <c r="I559" s="125"/>
      <c r="J559" s="125"/>
      <c r="K559" s="125"/>
      <c r="L559" s="125"/>
      <c r="M559" s="125"/>
      <c r="N559" s="129"/>
      <c r="O559" s="125"/>
      <c r="P559" s="173"/>
      <c r="Q559" s="125"/>
      <c r="R559" s="125"/>
      <c r="S559" s="125"/>
      <c r="T559" s="125"/>
      <c r="U559" s="125"/>
      <c r="V559" s="125"/>
      <c r="W559" s="125"/>
      <c r="X559" s="125"/>
      <c r="Y559" s="125"/>
      <c r="Z559" s="125"/>
    </row>
    <row r="560" spans="1:26" ht="15.75" customHeight="1">
      <c r="A560" s="125"/>
      <c r="B560" s="125"/>
      <c r="C560" s="125"/>
      <c r="D560" s="125"/>
      <c r="E560" s="125"/>
      <c r="F560" s="126"/>
      <c r="G560" s="125"/>
      <c r="H560" s="125"/>
      <c r="I560" s="125"/>
      <c r="J560" s="125"/>
      <c r="K560" s="125"/>
      <c r="L560" s="125"/>
      <c r="M560" s="125"/>
      <c r="N560" s="129"/>
      <c r="O560" s="125"/>
      <c r="P560" s="173"/>
      <c r="Q560" s="125"/>
      <c r="R560" s="125"/>
      <c r="S560" s="125"/>
      <c r="T560" s="125"/>
      <c r="U560" s="125"/>
      <c r="V560" s="125"/>
      <c r="W560" s="125"/>
      <c r="X560" s="125"/>
      <c r="Y560" s="125"/>
      <c r="Z560" s="125"/>
    </row>
    <row r="561" spans="1:26" ht="15.75" customHeight="1">
      <c r="A561" s="125"/>
      <c r="B561" s="125"/>
      <c r="C561" s="125"/>
      <c r="D561" s="125"/>
      <c r="E561" s="125"/>
      <c r="F561" s="126"/>
      <c r="G561" s="125"/>
      <c r="H561" s="125"/>
      <c r="I561" s="125"/>
      <c r="J561" s="125"/>
      <c r="K561" s="125"/>
      <c r="L561" s="125"/>
      <c r="M561" s="125"/>
      <c r="N561" s="129"/>
      <c r="O561" s="125"/>
      <c r="P561" s="173"/>
      <c r="Q561" s="125"/>
      <c r="R561" s="125"/>
      <c r="S561" s="125"/>
      <c r="T561" s="125"/>
      <c r="U561" s="125"/>
      <c r="V561" s="125"/>
      <c r="W561" s="125"/>
      <c r="X561" s="125"/>
      <c r="Y561" s="125"/>
      <c r="Z561" s="125"/>
    </row>
    <row r="562" spans="1:26" ht="15.75" customHeight="1">
      <c r="A562" s="125"/>
      <c r="B562" s="125"/>
      <c r="C562" s="125"/>
      <c r="D562" s="125"/>
      <c r="E562" s="125"/>
      <c r="F562" s="126"/>
      <c r="G562" s="125"/>
      <c r="H562" s="125"/>
      <c r="I562" s="125"/>
      <c r="J562" s="125"/>
      <c r="K562" s="125"/>
      <c r="L562" s="125"/>
      <c r="M562" s="125"/>
      <c r="N562" s="129"/>
      <c r="O562" s="125"/>
      <c r="P562" s="173"/>
      <c r="Q562" s="125"/>
      <c r="R562" s="125"/>
      <c r="S562" s="125"/>
      <c r="T562" s="125"/>
      <c r="U562" s="125"/>
      <c r="V562" s="125"/>
      <c r="W562" s="125"/>
      <c r="X562" s="125"/>
      <c r="Y562" s="125"/>
      <c r="Z562" s="125"/>
    </row>
    <row r="563" spans="1:26" ht="15.75" customHeight="1">
      <c r="A563" s="125"/>
      <c r="B563" s="125"/>
      <c r="C563" s="125"/>
      <c r="D563" s="125"/>
      <c r="E563" s="125"/>
      <c r="F563" s="126"/>
      <c r="G563" s="125"/>
      <c r="H563" s="125"/>
      <c r="I563" s="125"/>
      <c r="J563" s="125"/>
      <c r="K563" s="125"/>
      <c r="L563" s="125"/>
      <c r="M563" s="125"/>
      <c r="N563" s="129"/>
      <c r="O563" s="125"/>
      <c r="P563" s="173"/>
      <c r="Q563" s="125"/>
      <c r="R563" s="125"/>
      <c r="S563" s="125"/>
      <c r="T563" s="125"/>
      <c r="U563" s="125"/>
      <c r="V563" s="125"/>
      <c r="W563" s="125"/>
      <c r="X563" s="125"/>
      <c r="Y563" s="125"/>
      <c r="Z563" s="125"/>
    </row>
    <row r="564" spans="1:26" ht="15.75" customHeight="1">
      <c r="A564" s="125"/>
      <c r="B564" s="125"/>
      <c r="C564" s="125"/>
      <c r="D564" s="125"/>
      <c r="E564" s="125"/>
      <c r="F564" s="126"/>
      <c r="G564" s="125"/>
      <c r="H564" s="125"/>
      <c r="I564" s="125"/>
      <c r="J564" s="125"/>
      <c r="K564" s="125"/>
      <c r="L564" s="125"/>
      <c r="M564" s="125"/>
      <c r="N564" s="129"/>
      <c r="O564" s="125"/>
      <c r="P564" s="173"/>
      <c r="Q564" s="125"/>
      <c r="R564" s="125"/>
      <c r="S564" s="125"/>
      <c r="T564" s="125"/>
      <c r="U564" s="125"/>
      <c r="V564" s="125"/>
      <c r="W564" s="125"/>
      <c r="X564" s="125"/>
      <c r="Y564" s="125"/>
      <c r="Z564" s="125"/>
    </row>
    <row r="565" spans="1:26" ht="15.75" customHeight="1">
      <c r="A565" s="125"/>
      <c r="B565" s="125"/>
      <c r="C565" s="125"/>
      <c r="D565" s="125"/>
      <c r="E565" s="125"/>
      <c r="F565" s="126"/>
      <c r="G565" s="125"/>
      <c r="H565" s="125"/>
      <c r="I565" s="125"/>
      <c r="J565" s="125"/>
      <c r="K565" s="125"/>
      <c r="L565" s="125"/>
      <c r="M565" s="125"/>
      <c r="N565" s="129"/>
      <c r="O565" s="125"/>
      <c r="P565" s="173"/>
      <c r="Q565" s="125"/>
      <c r="R565" s="125"/>
      <c r="S565" s="125"/>
      <c r="T565" s="125"/>
      <c r="U565" s="125"/>
      <c r="V565" s="125"/>
      <c r="W565" s="125"/>
      <c r="X565" s="125"/>
      <c r="Y565" s="125"/>
      <c r="Z565" s="125"/>
    </row>
    <row r="566" spans="1:26" ht="15.75" customHeight="1">
      <c r="A566" s="125"/>
      <c r="B566" s="125"/>
      <c r="C566" s="125"/>
      <c r="D566" s="125"/>
      <c r="E566" s="125"/>
      <c r="F566" s="126"/>
      <c r="G566" s="125"/>
      <c r="H566" s="125"/>
      <c r="I566" s="125"/>
      <c r="J566" s="125"/>
      <c r="K566" s="125"/>
      <c r="L566" s="125"/>
      <c r="M566" s="125"/>
      <c r="N566" s="129"/>
      <c r="O566" s="125"/>
      <c r="P566" s="173"/>
      <c r="Q566" s="125"/>
      <c r="R566" s="125"/>
      <c r="S566" s="125"/>
      <c r="T566" s="125"/>
      <c r="U566" s="125"/>
      <c r="V566" s="125"/>
      <c r="W566" s="125"/>
      <c r="X566" s="125"/>
      <c r="Y566" s="125"/>
      <c r="Z566" s="125"/>
    </row>
    <row r="567" spans="1:26" ht="15.75" customHeight="1">
      <c r="A567" s="125"/>
      <c r="B567" s="125"/>
      <c r="C567" s="125"/>
      <c r="D567" s="125"/>
      <c r="E567" s="125"/>
      <c r="F567" s="126"/>
      <c r="G567" s="125"/>
      <c r="H567" s="125"/>
      <c r="I567" s="125"/>
      <c r="J567" s="125"/>
      <c r="K567" s="125"/>
      <c r="L567" s="125"/>
      <c r="M567" s="125"/>
      <c r="N567" s="129"/>
      <c r="O567" s="125"/>
      <c r="P567" s="173"/>
      <c r="Q567" s="125"/>
      <c r="R567" s="125"/>
      <c r="S567" s="125"/>
      <c r="T567" s="125"/>
      <c r="U567" s="125"/>
      <c r="V567" s="125"/>
      <c r="W567" s="125"/>
      <c r="X567" s="125"/>
      <c r="Y567" s="125"/>
      <c r="Z567" s="125"/>
    </row>
    <row r="568" spans="1:26" ht="15.75" customHeight="1">
      <c r="A568" s="125"/>
      <c r="B568" s="125"/>
      <c r="C568" s="125"/>
      <c r="D568" s="125"/>
      <c r="E568" s="125"/>
      <c r="F568" s="126"/>
      <c r="G568" s="125"/>
      <c r="H568" s="125"/>
      <c r="I568" s="125"/>
      <c r="J568" s="125"/>
      <c r="K568" s="125"/>
      <c r="L568" s="125"/>
      <c r="M568" s="125"/>
      <c r="N568" s="129"/>
      <c r="O568" s="125"/>
      <c r="P568" s="173"/>
      <c r="Q568" s="125"/>
      <c r="R568" s="125"/>
      <c r="S568" s="125"/>
      <c r="T568" s="125"/>
      <c r="U568" s="125"/>
      <c r="V568" s="125"/>
      <c r="W568" s="125"/>
      <c r="X568" s="125"/>
      <c r="Y568" s="125"/>
      <c r="Z568" s="125"/>
    </row>
    <row r="569" spans="1:26" ht="15.75" customHeight="1">
      <c r="A569" s="125"/>
      <c r="B569" s="125"/>
      <c r="C569" s="125"/>
      <c r="D569" s="125"/>
      <c r="E569" s="125"/>
      <c r="F569" s="126"/>
      <c r="G569" s="125"/>
      <c r="H569" s="125"/>
      <c r="I569" s="125"/>
      <c r="J569" s="125"/>
      <c r="K569" s="125"/>
      <c r="L569" s="125"/>
      <c r="M569" s="125"/>
      <c r="N569" s="129"/>
      <c r="O569" s="125"/>
      <c r="P569" s="173"/>
      <c r="Q569" s="125"/>
      <c r="R569" s="125"/>
      <c r="S569" s="125"/>
      <c r="T569" s="125"/>
      <c r="U569" s="125"/>
      <c r="V569" s="125"/>
      <c r="W569" s="125"/>
      <c r="X569" s="125"/>
      <c r="Y569" s="125"/>
      <c r="Z569" s="125"/>
    </row>
    <row r="570" spans="1:26" ht="15.75" customHeight="1">
      <c r="A570" s="125"/>
      <c r="B570" s="125"/>
      <c r="C570" s="125"/>
      <c r="D570" s="125"/>
      <c r="E570" s="125"/>
      <c r="F570" s="126"/>
      <c r="G570" s="125"/>
      <c r="H570" s="125"/>
      <c r="I570" s="125"/>
      <c r="J570" s="125"/>
      <c r="K570" s="125"/>
      <c r="L570" s="125"/>
      <c r="M570" s="125"/>
      <c r="N570" s="129"/>
      <c r="O570" s="125"/>
      <c r="P570" s="173"/>
      <c r="Q570" s="125"/>
      <c r="R570" s="125"/>
      <c r="S570" s="125"/>
      <c r="T570" s="125"/>
      <c r="U570" s="125"/>
      <c r="V570" s="125"/>
      <c r="W570" s="125"/>
      <c r="X570" s="125"/>
      <c r="Y570" s="125"/>
      <c r="Z570" s="125"/>
    </row>
    <row r="571" spans="1:26" ht="15.75" customHeight="1">
      <c r="A571" s="125"/>
      <c r="B571" s="125"/>
      <c r="C571" s="125"/>
      <c r="D571" s="125"/>
      <c r="E571" s="125"/>
      <c r="F571" s="126"/>
      <c r="G571" s="125"/>
      <c r="H571" s="125"/>
      <c r="I571" s="125"/>
      <c r="J571" s="125"/>
      <c r="K571" s="125"/>
      <c r="L571" s="125"/>
      <c r="M571" s="125"/>
      <c r="N571" s="129"/>
      <c r="O571" s="125"/>
      <c r="P571" s="173"/>
      <c r="Q571" s="125"/>
      <c r="R571" s="125"/>
      <c r="S571" s="125"/>
      <c r="T571" s="125"/>
      <c r="U571" s="125"/>
      <c r="V571" s="125"/>
      <c r="W571" s="125"/>
      <c r="X571" s="125"/>
      <c r="Y571" s="125"/>
      <c r="Z571" s="125"/>
    </row>
    <row r="572" spans="1:26" ht="15.75" customHeight="1">
      <c r="A572" s="125"/>
      <c r="B572" s="125"/>
      <c r="C572" s="125"/>
      <c r="D572" s="125"/>
      <c r="E572" s="125"/>
      <c r="F572" s="126"/>
      <c r="G572" s="125"/>
      <c r="H572" s="125"/>
      <c r="I572" s="125"/>
      <c r="J572" s="125"/>
      <c r="K572" s="125"/>
      <c r="L572" s="125"/>
      <c r="M572" s="125"/>
      <c r="N572" s="129"/>
      <c r="O572" s="125"/>
      <c r="P572" s="173"/>
      <c r="Q572" s="125"/>
      <c r="R572" s="125"/>
      <c r="S572" s="125"/>
      <c r="T572" s="125"/>
      <c r="U572" s="125"/>
      <c r="V572" s="125"/>
      <c r="W572" s="125"/>
      <c r="X572" s="125"/>
      <c r="Y572" s="125"/>
      <c r="Z572" s="125"/>
    </row>
    <row r="573" spans="1:26" ht="15.75" customHeight="1">
      <c r="A573" s="125"/>
      <c r="B573" s="125"/>
      <c r="C573" s="125"/>
      <c r="D573" s="125"/>
      <c r="E573" s="125"/>
      <c r="F573" s="126"/>
      <c r="G573" s="125"/>
      <c r="H573" s="125"/>
      <c r="I573" s="125"/>
      <c r="J573" s="125"/>
      <c r="K573" s="125"/>
      <c r="L573" s="125"/>
      <c r="M573" s="125"/>
      <c r="N573" s="129"/>
      <c r="O573" s="125"/>
      <c r="P573" s="173"/>
      <c r="Q573" s="125"/>
      <c r="R573" s="125"/>
      <c r="S573" s="125"/>
      <c r="T573" s="125"/>
      <c r="U573" s="125"/>
      <c r="V573" s="125"/>
      <c r="W573" s="125"/>
      <c r="X573" s="125"/>
      <c r="Y573" s="125"/>
      <c r="Z573" s="125"/>
    </row>
    <row r="574" spans="1:26" ht="15.75" customHeight="1">
      <c r="A574" s="125"/>
      <c r="B574" s="125"/>
      <c r="C574" s="125"/>
      <c r="D574" s="125"/>
      <c r="E574" s="125"/>
      <c r="F574" s="126"/>
      <c r="G574" s="125"/>
      <c r="H574" s="125"/>
      <c r="I574" s="125"/>
      <c r="J574" s="125"/>
      <c r="K574" s="125"/>
      <c r="L574" s="125"/>
      <c r="M574" s="125"/>
      <c r="N574" s="129"/>
      <c r="O574" s="125"/>
      <c r="P574" s="173"/>
      <c r="Q574" s="125"/>
      <c r="R574" s="125"/>
      <c r="S574" s="125"/>
      <c r="T574" s="125"/>
      <c r="U574" s="125"/>
      <c r="V574" s="125"/>
      <c r="W574" s="125"/>
      <c r="X574" s="125"/>
      <c r="Y574" s="125"/>
      <c r="Z574" s="125"/>
    </row>
    <row r="575" spans="1:26" ht="15.75" customHeight="1">
      <c r="A575" s="125"/>
      <c r="B575" s="125"/>
      <c r="C575" s="125"/>
      <c r="D575" s="125"/>
      <c r="E575" s="125"/>
      <c r="F575" s="126"/>
      <c r="G575" s="125"/>
      <c r="H575" s="125"/>
      <c r="I575" s="125"/>
      <c r="J575" s="125"/>
      <c r="K575" s="125"/>
      <c r="L575" s="125"/>
      <c r="M575" s="125"/>
      <c r="N575" s="129"/>
      <c r="O575" s="125"/>
      <c r="P575" s="173"/>
      <c r="Q575" s="125"/>
      <c r="R575" s="125"/>
      <c r="S575" s="125"/>
      <c r="T575" s="125"/>
      <c r="U575" s="125"/>
      <c r="V575" s="125"/>
      <c r="W575" s="125"/>
      <c r="X575" s="125"/>
      <c r="Y575" s="125"/>
      <c r="Z575" s="125"/>
    </row>
    <row r="576" spans="1:26" ht="15.75" customHeight="1">
      <c r="A576" s="125"/>
      <c r="B576" s="125"/>
      <c r="C576" s="125"/>
      <c r="D576" s="125"/>
      <c r="E576" s="125"/>
      <c r="F576" s="126"/>
      <c r="G576" s="125"/>
      <c r="H576" s="125"/>
      <c r="I576" s="125"/>
      <c r="J576" s="125"/>
      <c r="K576" s="125"/>
      <c r="L576" s="125"/>
      <c r="M576" s="125"/>
      <c r="N576" s="129"/>
      <c r="O576" s="125"/>
      <c r="P576" s="173"/>
      <c r="Q576" s="125"/>
      <c r="R576" s="125"/>
      <c r="S576" s="125"/>
      <c r="T576" s="125"/>
      <c r="U576" s="125"/>
      <c r="V576" s="125"/>
      <c r="W576" s="125"/>
      <c r="X576" s="125"/>
      <c r="Y576" s="125"/>
      <c r="Z576" s="125"/>
    </row>
    <row r="577" spans="1:26" ht="15.75" customHeight="1">
      <c r="A577" s="125"/>
      <c r="B577" s="125"/>
      <c r="C577" s="125"/>
      <c r="D577" s="125"/>
      <c r="E577" s="125"/>
      <c r="F577" s="126"/>
      <c r="G577" s="125"/>
      <c r="H577" s="125"/>
      <c r="I577" s="125"/>
      <c r="J577" s="125"/>
      <c r="K577" s="125"/>
      <c r="L577" s="125"/>
      <c r="M577" s="125"/>
      <c r="N577" s="129"/>
      <c r="O577" s="125"/>
      <c r="P577" s="173"/>
      <c r="Q577" s="125"/>
      <c r="R577" s="125"/>
      <c r="S577" s="125"/>
      <c r="T577" s="125"/>
      <c r="U577" s="125"/>
      <c r="V577" s="125"/>
      <c r="W577" s="125"/>
      <c r="X577" s="125"/>
      <c r="Y577" s="125"/>
      <c r="Z577" s="125"/>
    </row>
    <row r="578" spans="1:26" ht="15.75" customHeight="1">
      <c r="A578" s="125"/>
      <c r="B578" s="125"/>
      <c r="C578" s="125"/>
      <c r="D578" s="125"/>
      <c r="E578" s="125"/>
      <c r="F578" s="126"/>
      <c r="G578" s="125"/>
      <c r="H578" s="125"/>
      <c r="I578" s="125"/>
      <c r="J578" s="125"/>
      <c r="K578" s="125"/>
      <c r="L578" s="125"/>
      <c r="M578" s="125"/>
      <c r="N578" s="129"/>
      <c r="O578" s="125"/>
      <c r="P578" s="173"/>
      <c r="Q578" s="125"/>
      <c r="R578" s="125"/>
      <c r="S578" s="125"/>
      <c r="T578" s="125"/>
      <c r="U578" s="125"/>
      <c r="V578" s="125"/>
      <c r="W578" s="125"/>
      <c r="X578" s="125"/>
      <c r="Y578" s="125"/>
      <c r="Z578" s="125"/>
    </row>
    <row r="579" spans="1:26" ht="15.75" customHeight="1">
      <c r="A579" s="125"/>
      <c r="B579" s="125"/>
      <c r="C579" s="125"/>
      <c r="D579" s="125"/>
      <c r="E579" s="125"/>
      <c r="F579" s="126"/>
      <c r="G579" s="125"/>
      <c r="H579" s="125"/>
      <c r="I579" s="125"/>
      <c r="J579" s="125"/>
      <c r="K579" s="125"/>
      <c r="L579" s="125"/>
      <c r="M579" s="125"/>
      <c r="N579" s="129"/>
      <c r="O579" s="125"/>
      <c r="P579" s="173"/>
      <c r="Q579" s="125"/>
      <c r="R579" s="125"/>
      <c r="S579" s="125"/>
      <c r="T579" s="125"/>
      <c r="U579" s="125"/>
      <c r="V579" s="125"/>
      <c r="W579" s="125"/>
      <c r="X579" s="125"/>
      <c r="Y579" s="125"/>
      <c r="Z579" s="125"/>
    </row>
    <row r="580" spans="1:26" ht="15.75" customHeight="1">
      <c r="A580" s="125"/>
      <c r="B580" s="125"/>
      <c r="C580" s="125"/>
      <c r="D580" s="125"/>
      <c r="E580" s="125"/>
      <c r="F580" s="126"/>
      <c r="G580" s="125"/>
      <c r="H580" s="125"/>
      <c r="I580" s="125"/>
      <c r="J580" s="125"/>
      <c r="K580" s="125"/>
      <c r="L580" s="125"/>
      <c r="M580" s="125"/>
      <c r="N580" s="129"/>
      <c r="O580" s="125"/>
      <c r="P580" s="173"/>
      <c r="Q580" s="125"/>
      <c r="R580" s="125"/>
      <c r="S580" s="125"/>
      <c r="T580" s="125"/>
      <c r="U580" s="125"/>
      <c r="V580" s="125"/>
      <c r="W580" s="125"/>
      <c r="X580" s="125"/>
      <c r="Y580" s="125"/>
      <c r="Z580" s="125"/>
    </row>
    <row r="581" spans="1:26" ht="15.75" customHeight="1">
      <c r="A581" s="125"/>
      <c r="B581" s="125"/>
      <c r="C581" s="125"/>
      <c r="D581" s="125"/>
      <c r="E581" s="125"/>
      <c r="F581" s="126"/>
      <c r="G581" s="125"/>
      <c r="H581" s="125"/>
      <c r="I581" s="125"/>
      <c r="J581" s="125"/>
      <c r="K581" s="125"/>
      <c r="L581" s="125"/>
      <c r="M581" s="125"/>
      <c r="N581" s="129"/>
      <c r="O581" s="125"/>
      <c r="P581" s="173"/>
      <c r="Q581" s="125"/>
      <c r="R581" s="125"/>
      <c r="S581" s="125"/>
      <c r="T581" s="125"/>
      <c r="U581" s="125"/>
      <c r="V581" s="125"/>
      <c r="W581" s="125"/>
      <c r="X581" s="125"/>
      <c r="Y581" s="125"/>
      <c r="Z581" s="125"/>
    </row>
    <row r="582" spans="1:26" ht="15.75" customHeight="1">
      <c r="A582" s="125"/>
      <c r="B582" s="125"/>
      <c r="C582" s="125"/>
      <c r="D582" s="125"/>
      <c r="E582" s="125"/>
      <c r="F582" s="126"/>
      <c r="G582" s="125"/>
      <c r="H582" s="125"/>
      <c r="I582" s="125"/>
      <c r="J582" s="125"/>
      <c r="K582" s="125"/>
      <c r="L582" s="125"/>
      <c r="M582" s="125"/>
      <c r="N582" s="129"/>
      <c r="O582" s="125"/>
      <c r="P582" s="173"/>
      <c r="Q582" s="125"/>
      <c r="R582" s="125"/>
      <c r="S582" s="125"/>
      <c r="T582" s="125"/>
      <c r="U582" s="125"/>
      <c r="V582" s="125"/>
      <c r="W582" s="125"/>
      <c r="X582" s="125"/>
      <c r="Y582" s="125"/>
      <c r="Z582" s="125"/>
    </row>
    <row r="583" spans="1:26" ht="15.75" customHeight="1">
      <c r="A583" s="125"/>
      <c r="B583" s="125"/>
      <c r="C583" s="125"/>
      <c r="D583" s="125"/>
      <c r="E583" s="125"/>
      <c r="F583" s="126"/>
      <c r="G583" s="125"/>
      <c r="H583" s="125"/>
      <c r="I583" s="125"/>
      <c r="J583" s="125"/>
      <c r="K583" s="125"/>
      <c r="L583" s="125"/>
      <c r="M583" s="125"/>
      <c r="N583" s="129"/>
      <c r="O583" s="125"/>
      <c r="P583" s="173"/>
      <c r="Q583" s="125"/>
      <c r="R583" s="125"/>
      <c r="S583" s="125"/>
      <c r="T583" s="125"/>
      <c r="U583" s="125"/>
      <c r="V583" s="125"/>
      <c r="W583" s="125"/>
      <c r="X583" s="125"/>
      <c r="Y583" s="125"/>
      <c r="Z583" s="125"/>
    </row>
    <row r="584" spans="1:26" ht="15.75" customHeight="1">
      <c r="A584" s="125"/>
      <c r="B584" s="125"/>
      <c r="C584" s="125"/>
      <c r="D584" s="125"/>
      <c r="E584" s="125"/>
      <c r="F584" s="126"/>
      <c r="G584" s="125"/>
      <c r="H584" s="125"/>
      <c r="I584" s="125"/>
      <c r="J584" s="125"/>
      <c r="K584" s="125"/>
      <c r="L584" s="125"/>
      <c r="M584" s="125"/>
      <c r="N584" s="129"/>
      <c r="O584" s="125"/>
      <c r="P584" s="173"/>
      <c r="Q584" s="125"/>
      <c r="R584" s="125"/>
      <c r="S584" s="125"/>
      <c r="T584" s="125"/>
      <c r="U584" s="125"/>
      <c r="V584" s="125"/>
      <c r="W584" s="125"/>
      <c r="X584" s="125"/>
      <c r="Y584" s="125"/>
      <c r="Z584" s="125"/>
    </row>
    <row r="585" spans="1:26" ht="15.75" customHeight="1">
      <c r="A585" s="125"/>
      <c r="B585" s="125"/>
      <c r="C585" s="125"/>
      <c r="D585" s="125"/>
      <c r="E585" s="125"/>
      <c r="F585" s="126"/>
      <c r="G585" s="125"/>
      <c r="H585" s="125"/>
      <c r="I585" s="125"/>
      <c r="J585" s="125"/>
      <c r="K585" s="125"/>
      <c r="L585" s="125"/>
      <c r="M585" s="125"/>
      <c r="N585" s="129"/>
      <c r="O585" s="125"/>
      <c r="P585" s="173"/>
      <c r="Q585" s="125"/>
      <c r="R585" s="125"/>
      <c r="S585" s="125"/>
      <c r="T585" s="125"/>
      <c r="U585" s="125"/>
      <c r="V585" s="125"/>
      <c r="W585" s="125"/>
      <c r="X585" s="125"/>
      <c r="Y585" s="125"/>
      <c r="Z585" s="125"/>
    </row>
    <row r="586" spans="1:26" ht="15.75" customHeight="1">
      <c r="A586" s="125"/>
      <c r="B586" s="125"/>
      <c r="C586" s="125"/>
      <c r="D586" s="125"/>
      <c r="E586" s="125"/>
      <c r="F586" s="126"/>
      <c r="G586" s="125"/>
      <c r="H586" s="125"/>
      <c r="I586" s="125"/>
      <c r="J586" s="125"/>
      <c r="K586" s="125"/>
      <c r="L586" s="125"/>
      <c r="M586" s="125"/>
      <c r="N586" s="129"/>
      <c r="O586" s="125"/>
      <c r="P586" s="173"/>
      <c r="Q586" s="125"/>
      <c r="R586" s="125"/>
      <c r="S586" s="125"/>
      <c r="T586" s="125"/>
      <c r="U586" s="125"/>
      <c r="V586" s="125"/>
      <c r="W586" s="125"/>
      <c r="X586" s="125"/>
      <c r="Y586" s="125"/>
      <c r="Z586" s="125"/>
    </row>
    <row r="587" spans="1:26" ht="15.75" customHeight="1">
      <c r="A587" s="125"/>
      <c r="B587" s="125"/>
      <c r="C587" s="125"/>
      <c r="D587" s="125"/>
      <c r="E587" s="125"/>
      <c r="F587" s="126"/>
      <c r="G587" s="125"/>
      <c r="H587" s="125"/>
      <c r="I587" s="125"/>
      <c r="J587" s="125"/>
      <c r="K587" s="125"/>
      <c r="L587" s="125"/>
      <c r="M587" s="125"/>
      <c r="N587" s="129"/>
      <c r="O587" s="125"/>
      <c r="P587" s="173"/>
      <c r="Q587" s="125"/>
      <c r="R587" s="125"/>
      <c r="S587" s="125"/>
      <c r="T587" s="125"/>
      <c r="U587" s="125"/>
      <c r="V587" s="125"/>
      <c r="W587" s="125"/>
      <c r="X587" s="125"/>
      <c r="Y587" s="125"/>
      <c r="Z587" s="125"/>
    </row>
    <row r="588" spans="1:26" ht="15.75" customHeight="1">
      <c r="A588" s="125"/>
      <c r="B588" s="125"/>
      <c r="C588" s="125"/>
      <c r="D588" s="125"/>
      <c r="E588" s="125"/>
      <c r="F588" s="126"/>
      <c r="G588" s="125"/>
      <c r="H588" s="125"/>
      <c r="I588" s="125"/>
      <c r="J588" s="125"/>
      <c r="K588" s="125"/>
      <c r="L588" s="125"/>
      <c r="M588" s="125"/>
      <c r="N588" s="129"/>
      <c r="O588" s="125"/>
      <c r="P588" s="173"/>
      <c r="Q588" s="125"/>
      <c r="R588" s="125"/>
      <c r="S588" s="125"/>
      <c r="T588" s="125"/>
      <c r="U588" s="125"/>
      <c r="V588" s="125"/>
      <c r="W588" s="125"/>
      <c r="X588" s="125"/>
      <c r="Y588" s="125"/>
      <c r="Z588" s="125"/>
    </row>
    <row r="589" spans="1:26" ht="15.75" customHeight="1">
      <c r="A589" s="125"/>
      <c r="B589" s="125"/>
      <c r="C589" s="125"/>
      <c r="D589" s="125"/>
      <c r="E589" s="125"/>
      <c r="F589" s="126"/>
      <c r="G589" s="125"/>
      <c r="H589" s="125"/>
      <c r="I589" s="125"/>
      <c r="J589" s="125"/>
      <c r="K589" s="125"/>
      <c r="L589" s="125"/>
      <c r="M589" s="125"/>
      <c r="N589" s="129"/>
      <c r="O589" s="125"/>
      <c r="P589" s="173"/>
      <c r="Q589" s="125"/>
      <c r="R589" s="125"/>
      <c r="S589" s="125"/>
      <c r="T589" s="125"/>
      <c r="U589" s="125"/>
      <c r="V589" s="125"/>
      <c r="W589" s="125"/>
      <c r="X589" s="125"/>
      <c r="Y589" s="125"/>
      <c r="Z589" s="125"/>
    </row>
    <row r="590" spans="1:26" ht="15.75" customHeight="1">
      <c r="A590" s="125"/>
      <c r="B590" s="125"/>
      <c r="C590" s="125"/>
      <c r="D590" s="125"/>
      <c r="E590" s="125"/>
      <c r="F590" s="126"/>
      <c r="G590" s="125"/>
      <c r="H590" s="125"/>
      <c r="I590" s="125"/>
      <c r="J590" s="125"/>
      <c r="K590" s="125"/>
      <c r="L590" s="125"/>
      <c r="M590" s="125"/>
      <c r="N590" s="129"/>
      <c r="O590" s="125"/>
      <c r="P590" s="173"/>
      <c r="Q590" s="125"/>
      <c r="R590" s="125"/>
      <c r="S590" s="125"/>
      <c r="T590" s="125"/>
      <c r="U590" s="125"/>
      <c r="V590" s="125"/>
      <c r="W590" s="125"/>
      <c r="X590" s="125"/>
      <c r="Y590" s="125"/>
      <c r="Z590" s="125"/>
    </row>
    <row r="591" spans="1:26" ht="15.75" customHeight="1">
      <c r="A591" s="125"/>
      <c r="B591" s="125"/>
      <c r="C591" s="125"/>
      <c r="D591" s="125"/>
      <c r="E591" s="125"/>
      <c r="F591" s="126"/>
      <c r="G591" s="125"/>
      <c r="H591" s="125"/>
      <c r="I591" s="125"/>
      <c r="J591" s="125"/>
      <c r="K591" s="125"/>
      <c r="L591" s="125"/>
      <c r="M591" s="125"/>
      <c r="N591" s="129"/>
      <c r="O591" s="125"/>
      <c r="P591" s="173"/>
      <c r="Q591" s="125"/>
      <c r="R591" s="125"/>
      <c r="S591" s="125"/>
      <c r="T591" s="125"/>
      <c r="U591" s="125"/>
      <c r="V591" s="125"/>
      <c r="W591" s="125"/>
      <c r="X591" s="125"/>
      <c r="Y591" s="125"/>
      <c r="Z591" s="125"/>
    </row>
    <row r="592" spans="1:26" ht="15.75" customHeight="1">
      <c r="A592" s="125"/>
      <c r="B592" s="125"/>
      <c r="C592" s="125"/>
      <c r="D592" s="125"/>
      <c r="E592" s="125"/>
      <c r="F592" s="126"/>
      <c r="G592" s="125"/>
      <c r="H592" s="125"/>
      <c r="I592" s="125"/>
      <c r="J592" s="125"/>
      <c r="K592" s="125"/>
      <c r="L592" s="125"/>
      <c r="M592" s="125"/>
      <c r="N592" s="129"/>
      <c r="O592" s="125"/>
      <c r="P592" s="173"/>
      <c r="Q592" s="125"/>
      <c r="R592" s="125"/>
      <c r="S592" s="125"/>
      <c r="T592" s="125"/>
      <c r="U592" s="125"/>
      <c r="V592" s="125"/>
      <c r="W592" s="125"/>
      <c r="X592" s="125"/>
      <c r="Y592" s="125"/>
      <c r="Z592" s="125"/>
    </row>
    <row r="593" spans="1:26" ht="15.75" customHeight="1">
      <c r="A593" s="125"/>
      <c r="B593" s="125"/>
      <c r="C593" s="125"/>
      <c r="D593" s="125"/>
      <c r="E593" s="125"/>
      <c r="F593" s="126"/>
      <c r="G593" s="125"/>
      <c r="H593" s="125"/>
      <c r="I593" s="125"/>
      <c r="J593" s="125"/>
      <c r="K593" s="125"/>
      <c r="L593" s="125"/>
      <c r="M593" s="125"/>
      <c r="N593" s="129"/>
      <c r="O593" s="125"/>
      <c r="P593" s="173"/>
      <c r="Q593" s="125"/>
      <c r="R593" s="125"/>
      <c r="S593" s="125"/>
      <c r="T593" s="125"/>
      <c r="U593" s="125"/>
      <c r="V593" s="125"/>
      <c r="W593" s="125"/>
      <c r="X593" s="125"/>
      <c r="Y593" s="125"/>
      <c r="Z593" s="125"/>
    </row>
    <row r="594" spans="1:26" ht="15.75" customHeight="1">
      <c r="A594" s="125"/>
      <c r="B594" s="125"/>
      <c r="C594" s="125"/>
      <c r="D594" s="125"/>
      <c r="E594" s="125"/>
      <c r="F594" s="126"/>
      <c r="G594" s="125"/>
      <c r="H594" s="125"/>
      <c r="I594" s="125"/>
      <c r="J594" s="125"/>
      <c r="K594" s="125"/>
      <c r="L594" s="125"/>
      <c r="M594" s="125"/>
      <c r="N594" s="129"/>
      <c r="O594" s="125"/>
      <c r="P594" s="173"/>
      <c r="Q594" s="125"/>
      <c r="R594" s="125"/>
      <c r="S594" s="125"/>
      <c r="T594" s="125"/>
      <c r="U594" s="125"/>
      <c r="V594" s="125"/>
      <c r="W594" s="125"/>
      <c r="X594" s="125"/>
      <c r="Y594" s="125"/>
      <c r="Z594" s="125"/>
    </row>
    <row r="595" spans="1:26" ht="15.75" customHeight="1">
      <c r="A595" s="125"/>
      <c r="B595" s="125"/>
      <c r="C595" s="125"/>
      <c r="D595" s="125"/>
      <c r="E595" s="125"/>
      <c r="F595" s="126"/>
      <c r="G595" s="125"/>
      <c r="H595" s="125"/>
      <c r="I595" s="125"/>
      <c r="J595" s="125"/>
      <c r="K595" s="125"/>
      <c r="L595" s="125"/>
      <c r="M595" s="125"/>
      <c r="N595" s="129"/>
      <c r="O595" s="125"/>
      <c r="P595" s="173"/>
      <c r="Q595" s="125"/>
      <c r="R595" s="125"/>
      <c r="S595" s="125"/>
      <c r="T595" s="125"/>
      <c r="U595" s="125"/>
      <c r="V595" s="125"/>
      <c r="W595" s="125"/>
      <c r="X595" s="125"/>
      <c r="Y595" s="125"/>
      <c r="Z595" s="125"/>
    </row>
    <row r="596" spans="1:26" ht="15.75" customHeight="1">
      <c r="A596" s="125"/>
      <c r="B596" s="125"/>
      <c r="C596" s="125"/>
      <c r="D596" s="125"/>
      <c r="E596" s="125"/>
      <c r="F596" s="126"/>
      <c r="G596" s="125"/>
      <c r="H596" s="125"/>
      <c r="I596" s="125"/>
      <c r="J596" s="125"/>
      <c r="K596" s="125"/>
      <c r="L596" s="125"/>
      <c r="M596" s="125"/>
      <c r="N596" s="129"/>
      <c r="O596" s="125"/>
      <c r="P596" s="173"/>
      <c r="Q596" s="125"/>
      <c r="R596" s="125"/>
      <c r="S596" s="125"/>
      <c r="T596" s="125"/>
      <c r="U596" s="125"/>
      <c r="V596" s="125"/>
      <c r="W596" s="125"/>
      <c r="X596" s="125"/>
      <c r="Y596" s="125"/>
      <c r="Z596" s="125"/>
    </row>
    <row r="597" spans="1:26" ht="15.75" customHeight="1">
      <c r="A597" s="125"/>
      <c r="B597" s="125"/>
      <c r="C597" s="125"/>
      <c r="D597" s="125"/>
      <c r="E597" s="125"/>
      <c r="F597" s="126"/>
      <c r="G597" s="125"/>
      <c r="H597" s="125"/>
      <c r="I597" s="125"/>
      <c r="J597" s="125"/>
      <c r="K597" s="125"/>
      <c r="L597" s="125"/>
      <c r="M597" s="125"/>
      <c r="N597" s="129"/>
      <c r="O597" s="125"/>
      <c r="P597" s="173"/>
      <c r="Q597" s="125"/>
      <c r="R597" s="125"/>
      <c r="S597" s="125"/>
      <c r="T597" s="125"/>
      <c r="U597" s="125"/>
      <c r="V597" s="125"/>
      <c r="W597" s="125"/>
      <c r="X597" s="125"/>
      <c r="Y597" s="125"/>
      <c r="Z597" s="125"/>
    </row>
    <row r="598" spans="1:26" ht="15.75" customHeight="1">
      <c r="A598" s="125"/>
      <c r="B598" s="125"/>
      <c r="C598" s="125"/>
      <c r="D598" s="125"/>
      <c r="E598" s="125"/>
      <c r="F598" s="126"/>
      <c r="G598" s="125"/>
      <c r="H598" s="125"/>
      <c r="I598" s="125"/>
      <c r="J598" s="125"/>
      <c r="K598" s="125"/>
      <c r="L598" s="125"/>
      <c r="M598" s="125"/>
      <c r="N598" s="129"/>
      <c r="O598" s="125"/>
      <c r="P598" s="173"/>
      <c r="Q598" s="125"/>
      <c r="R598" s="125"/>
      <c r="S598" s="125"/>
      <c r="T598" s="125"/>
      <c r="U598" s="125"/>
      <c r="V598" s="125"/>
      <c r="W598" s="125"/>
      <c r="X598" s="125"/>
      <c r="Y598" s="125"/>
      <c r="Z598" s="125"/>
    </row>
    <row r="599" spans="1:26" ht="15.75" customHeight="1">
      <c r="A599" s="125"/>
      <c r="B599" s="125"/>
      <c r="C599" s="125"/>
      <c r="D599" s="125"/>
      <c r="E599" s="125"/>
      <c r="F599" s="126"/>
      <c r="G599" s="125"/>
      <c r="H599" s="125"/>
      <c r="I599" s="125"/>
      <c r="J599" s="125"/>
      <c r="K599" s="125"/>
      <c r="L599" s="125"/>
      <c r="M599" s="125"/>
      <c r="N599" s="129"/>
      <c r="O599" s="125"/>
      <c r="P599" s="173"/>
      <c r="Q599" s="125"/>
      <c r="R599" s="125"/>
      <c r="S599" s="125"/>
      <c r="T599" s="125"/>
      <c r="U599" s="125"/>
      <c r="V599" s="125"/>
      <c r="W599" s="125"/>
      <c r="X599" s="125"/>
      <c r="Y599" s="125"/>
      <c r="Z599" s="125"/>
    </row>
    <row r="600" spans="1:26" ht="15.75" customHeight="1">
      <c r="A600" s="125"/>
      <c r="B600" s="125"/>
      <c r="C600" s="125"/>
      <c r="D600" s="125"/>
      <c r="E600" s="125"/>
      <c r="F600" s="126"/>
      <c r="G600" s="125"/>
      <c r="H600" s="125"/>
      <c r="I600" s="125"/>
      <c r="J600" s="125"/>
      <c r="K600" s="125"/>
      <c r="L600" s="125"/>
      <c r="M600" s="125"/>
      <c r="N600" s="129"/>
      <c r="O600" s="125"/>
      <c r="P600" s="173"/>
      <c r="Q600" s="125"/>
      <c r="R600" s="125"/>
      <c r="S600" s="125"/>
      <c r="T600" s="125"/>
      <c r="U600" s="125"/>
      <c r="V600" s="125"/>
      <c r="W600" s="125"/>
      <c r="X600" s="125"/>
      <c r="Y600" s="125"/>
      <c r="Z600" s="125"/>
    </row>
    <row r="601" spans="1:26" ht="15.75" customHeight="1">
      <c r="A601" s="125"/>
      <c r="B601" s="125"/>
      <c r="C601" s="125"/>
      <c r="D601" s="125"/>
      <c r="E601" s="125"/>
      <c r="F601" s="126"/>
      <c r="G601" s="125"/>
      <c r="H601" s="125"/>
      <c r="I601" s="125"/>
      <c r="J601" s="125"/>
      <c r="K601" s="125"/>
      <c r="L601" s="125"/>
      <c r="M601" s="125"/>
      <c r="N601" s="129"/>
      <c r="O601" s="125"/>
      <c r="P601" s="173"/>
      <c r="Q601" s="125"/>
      <c r="R601" s="125"/>
      <c r="S601" s="125"/>
      <c r="T601" s="125"/>
      <c r="U601" s="125"/>
      <c r="V601" s="125"/>
      <c r="W601" s="125"/>
      <c r="X601" s="125"/>
      <c r="Y601" s="125"/>
      <c r="Z601" s="125"/>
    </row>
    <row r="602" spans="1:26" ht="15.75" customHeight="1">
      <c r="A602" s="125"/>
      <c r="B602" s="125"/>
      <c r="C602" s="125"/>
      <c r="D602" s="125"/>
      <c r="E602" s="125"/>
      <c r="F602" s="126"/>
      <c r="G602" s="125"/>
      <c r="H602" s="125"/>
      <c r="I602" s="125"/>
      <c r="J602" s="125"/>
      <c r="K602" s="125"/>
      <c r="L602" s="125"/>
      <c r="M602" s="125"/>
      <c r="N602" s="129"/>
      <c r="O602" s="125"/>
      <c r="P602" s="173"/>
      <c r="Q602" s="125"/>
      <c r="R602" s="125"/>
      <c r="S602" s="125"/>
      <c r="T602" s="125"/>
      <c r="U602" s="125"/>
      <c r="V602" s="125"/>
      <c r="W602" s="125"/>
      <c r="X602" s="125"/>
      <c r="Y602" s="125"/>
      <c r="Z602" s="125"/>
    </row>
    <row r="603" spans="1:26" ht="15.75" customHeight="1">
      <c r="A603" s="125"/>
      <c r="B603" s="125"/>
      <c r="C603" s="125"/>
      <c r="D603" s="125"/>
      <c r="E603" s="125"/>
      <c r="F603" s="126"/>
      <c r="G603" s="125"/>
      <c r="H603" s="125"/>
      <c r="I603" s="125"/>
      <c r="J603" s="125"/>
      <c r="K603" s="125"/>
      <c r="L603" s="125"/>
      <c r="M603" s="125"/>
      <c r="N603" s="129"/>
      <c r="O603" s="125"/>
      <c r="P603" s="173"/>
      <c r="Q603" s="125"/>
      <c r="R603" s="125"/>
      <c r="S603" s="125"/>
      <c r="T603" s="125"/>
      <c r="U603" s="125"/>
      <c r="V603" s="125"/>
      <c r="W603" s="125"/>
      <c r="X603" s="125"/>
      <c r="Y603" s="125"/>
      <c r="Z603" s="125"/>
    </row>
    <row r="604" spans="1:26" ht="15.75" customHeight="1">
      <c r="A604" s="125"/>
      <c r="B604" s="125"/>
      <c r="C604" s="125"/>
      <c r="D604" s="125"/>
      <c r="E604" s="125"/>
      <c r="F604" s="126"/>
      <c r="G604" s="125"/>
      <c r="H604" s="125"/>
      <c r="I604" s="125"/>
      <c r="J604" s="125"/>
      <c r="K604" s="125"/>
      <c r="L604" s="125"/>
      <c r="M604" s="125"/>
      <c r="N604" s="129"/>
      <c r="O604" s="125"/>
      <c r="P604" s="173"/>
      <c r="Q604" s="125"/>
      <c r="R604" s="125"/>
      <c r="S604" s="125"/>
      <c r="T604" s="125"/>
      <c r="U604" s="125"/>
      <c r="V604" s="125"/>
      <c r="W604" s="125"/>
      <c r="X604" s="125"/>
      <c r="Y604" s="125"/>
      <c r="Z604" s="125"/>
    </row>
    <row r="605" spans="1:26" ht="15.75" customHeight="1">
      <c r="A605" s="125"/>
      <c r="B605" s="125"/>
      <c r="C605" s="125"/>
      <c r="D605" s="125"/>
      <c r="E605" s="125"/>
      <c r="F605" s="126"/>
      <c r="G605" s="125"/>
      <c r="H605" s="125"/>
      <c r="I605" s="125"/>
      <c r="J605" s="125"/>
      <c r="K605" s="125"/>
      <c r="L605" s="125"/>
      <c r="M605" s="125"/>
      <c r="N605" s="129"/>
      <c r="O605" s="125"/>
      <c r="P605" s="173"/>
      <c r="Q605" s="125"/>
      <c r="R605" s="125"/>
      <c r="S605" s="125"/>
      <c r="T605" s="125"/>
      <c r="U605" s="125"/>
      <c r="V605" s="125"/>
      <c r="W605" s="125"/>
      <c r="X605" s="125"/>
      <c r="Y605" s="125"/>
      <c r="Z605" s="125"/>
    </row>
    <row r="606" spans="1:26" ht="15.75" customHeight="1">
      <c r="A606" s="125"/>
      <c r="B606" s="125"/>
      <c r="C606" s="125"/>
      <c r="D606" s="125"/>
      <c r="E606" s="125"/>
      <c r="F606" s="126"/>
      <c r="G606" s="125"/>
      <c r="H606" s="125"/>
      <c r="I606" s="125"/>
      <c r="J606" s="125"/>
      <c r="K606" s="125"/>
      <c r="L606" s="125"/>
      <c r="M606" s="125"/>
      <c r="N606" s="129"/>
      <c r="O606" s="125"/>
      <c r="P606" s="173"/>
      <c r="Q606" s="125"/>
      <c r="R606" s="125"/>
      <c r="S606" s="125"/>
      <c r="T606" s="125"/>
      <c r="U606" s="125"/>
      <c r="V606" s="125"/>
      <c r="W606" s="125"/>
      <c r="X606" s="125"/>
      <c r="Y606" s="125"/>
      <c r="Z606" s="125"/>
    </row>
    <row r="607" spans="1:26" ht="15.75" customHeight="1">
      <c r="A607" s="125"/>
      <c r="B607" s="125"/>
      <c r="C607" s="125"/>
      <c r="D607" s="125"/>
      <c r="E607" s="125"/>
      <c r="F607" s="126"/>
      <c r="G607" s="125"/>
      <c r="H607" s="125"/>
      <c r="I607" s="125"/>
      <c r="J607" s="125"/>
      <c r="K607" s="125"/>
      <c r="L607" s="125"/>
      <c r="M607" s="125"/>
      <c r="N607" s="129"/>
      <c r="O607" s="125"/>
      <c r="P607" s="173"/>
      <c r="Q607" s="125"/>
      <c r="R607" s="125"/>
      <c r="S607" s="125"/>
      <c r="T607" s="125"/>
      <c r="U607" s="125"/>
      <c r="V607" s="125"/>
      <c r="W607" s="125"/>
      <c r="X607" s="125"/>
      <c r="Y607" s="125"/>
      <c r="Z607" s="125"/>
    </row>
    <row r="608" spans="1:26" ht="15.75" customHeight="1">
      <c r="A608" s="125"/>
      <c r="B608" s="125"/>
      <c r="C608" s="125"/>
      <c r="D608" s="125"/>
      <c r="E608" s="125"/>
      <c r="F608" s="126"/>
      <c r="G608" s="125"/>
      <c r="H608" s="125"/>
      <c r="I608" s="125"/>
      <c r="J608" s="125"/>
      <c r="K608" s="125"/>
      <c r="L608" s="125"/>
      <c r="M608" s="125"/>
      <c r="N608" s="129"/>
      <c r="O608" s="125"/>
      <c r="P608" s="173"/>
      <c r="Q608" s="125"/>
      <c r="R608" s="125"/>
      <c r="S608" s="125"/>
      <c r="T608" s="125"/>
      <c r="U608" s="125"/>
      <c r="V608" s="125"/>
      <c r="W608" s="125"/>
      <c r="X608" s="125"/>
      <c r="Y608" s="125"/>
      <c r="Z608" s="125"/>
    </row>
    <row r="609" spans="1:26" ht="15.75" customHeight="1">
      <c r="A609" s="125"/>
      <c r="B609" s="125"/>
      <c r="C609" s="125"/>
      <c r="D609" s="125"/>
      <c r="E609" s="125"/>
      <c r="F609" s="126"/>
      <c r="G609" s="125"/>
      <c r="H609" s="125"/>
      <c r="I609" s="125"/>
      <c r="J609" s="125"/>
      <c r="K609" s="125"/>
      <c r="L609" s="125"/>
      <c r="M609" s="125"/>
      <c r="N609" s="129"/>
      <c r="O609" s="125"/>
      <c r="P609" s="173"/>
      <c r="Q609" s="125"/>
      <c r="R609" s="125"/>
      <c r="S609" s="125"/>
      <c r="T609" s="125"/>
      <c r="U609" s="125"/>
      <c r="V609" s="125"/>
      <c r="W609" s="125"/>
      <c r="X609" s="125"/>
      <c r="Y609" s="125"/>
      <c r="Z609" s="125"/>
    </row>
    <row r="610" spans="1:26" ht="15.75" customHeight="1">
      <c r="A610" s="125"/>
      <c r="B610" s="125"/>
      <c r="C610" s="125"/>
      <c r="D610" s="125"/>
      <c r="E610" s="125"/>
      <c r="F610" s="126"/>
      <c r="G610" s="125"/>
      <c r="H610" s="125"/>
      <c r="I610" s="125"/>
      <c r="J610" s="125"/>
      <c r="K610" s="125"/>
      <c r="L610" s="125"/>
      <c r="M610" s="125"/>
      <c r="N610" s="129"/>
      <c r="O610" s="125"/>
      <c r="P610" s="173"/>
      <c r="Q610" s="125"/>
      <c r="R610" s="125"/>
      <c r="S610" s="125"/>
      <c r="T610" s="125"/>
      <c r="U610" s="125"/>
      <c r="V610" s="125"/>
      <c r="W610" s="125"/>
      <c r="X610" s="125"/>
      <c r="Y610" s="125"/>
      <c r="Z610" s="125"/>
    </row>
    <row r="611" spans="1:26" ht="15.75" customHeight="1">
      <c r="A611" s="125"/>
      <c r="B611" s="125"/>
      <c r="C611" s="125"/>
      <c r="D611" s="125"/>
      <c r="E611" s="125"/>
      <c r="F611" s="126"/>
      <c r="G611" s="125"/>
      <c r="H611" s="125"/>
      <c r="I611" s="125"/>
      <c r="J611" s="125"/>
      <c r="K611" s="125"/>
      <c r="L611" s="125"/>
      <c r="M611" s="125"/>
      <c r="N611" s="129"/>
      <c r="O611" s="125"/>
      <c r="P611" s="173"/>
      <c r="Q611" s="125"/>
      <c r="R611" s="125"/>
      <c r="S611" s="125"/>
      <c r="T611" s="125"/>
      <c r="U611" s="125"/>
      <c r="V611" s="125"/>
      <c r="W611" s="125"/>
      <c r="X611" s="125"/>
      <c r="Y611" s="125"/>
      <c r="Z611" s="125"/>
    </row>
    <row r="612" spans="1:26" ht="15.75" customHeight="1">
      <c r="A612" s="125"/>
      <c r="B612" s="125"/>
      <c r="C612" s="125"/>
      <c r="D612" s="125"/>
      <c r="E612" s="125"/>
      <c r="F612" s="126"/>
      <c r="G612" s="125"/>
      <c r="H612" s="125"/>
      <c r="I612" s="125"/>
      <c r="J612" s="125"/>
      <c r="K612" s="125"/>
      <c r="L612" s="125"/>
      <c r="M612" s="125"/>
      <c r="N612" s="129"/>
      <c r="O612" s="125"/>
      <c r="P612" s="173"/>
      <c r="Q612" s="125"/>
      <c r="R612" s="125"/>
      <c r="S612" s="125"/>
      <c r="T612" s="125"/>
      <c r="U612" s="125"/>
      <c r="V612" s="125"/>
      <c r="W612" s="125"/>
      <c r="X612" s="125"/>
      <c r="Y612" s="125"/>
      <c r="Z612" s="125"/>
    </row>
    <row r="613" spans="1:26" ht="15.75" customHeight="1">
      <c r="A613" s="125"/>
      <c r="B613" s="125"/>
      <c r="C613" s="125"/>
      <c r="D613" s="125"/>
      <c r="E613" s="125"/>
      <c r="F613" s="126"/>
      <c r="G613" s="125"/>
      <c r="H613" s="125"/>
      <c r="I613" s="125"/>
      <c r="J613" s="125"/>
      <c r="K613" s="125"/>
      <c r="L613" s="125"/>
      <c r="M613" s="125"/>
      <c r="N613" s="129"/>
      <c r="O613" s="125"/>
      <c r="P613" s="173"/>
      <c r="Q613" s="125"/>
      <c r="R613" s="125"/>
      <c r="S613" s="125"/>
      <c r="T613" s="125"/>
      <c r="U613" s="125"/>
      <c r="V613" s="125"/>
      <c r="W613" s="125"/>
      <c r="X613" s="125"/>
      <c r="Y613" s="125"/>
      <c r="Z613" s="125"/>
    </row>
    <row r="614" spans="1:26" ht="15.75" customHeight="1">
      <c r="A614" s="125"/>
      <c r="B614" s="125"/>
      <c r="C614" s="125"/>
      <c r="D614" s="125"/>
      <c r="E614" s="125"/>
      <c r="F614" s="126"/>
      <c r="G614" s="125"/>
      <c r="H614" s="125"/>
      <c r="I614" s="125"/>
      <c r="J614" s="125"/>
      <c r="K614" s="125"/>
      <c r="L614" s="125"/>
      <c r="M614" s="125"/>
      <c r="N614" s="129"/>
      <c r="O614" s="125"/>
      <c r="P614" s="173"/>
      <c r="Q614" s="125"/>
      <c r="R614" s="125"/>
      <c r="S614" s="125"/>
      <c r="T614" s="125"/>
      <c r="U614" s="125"/>
      <c r="V614" s="125"/>
      <c r="W614" s="125"/>
      <c r="X614" s="125"/>
      <c r="Y614" s="125"/>
      <c r="Z614" s="125"/>
    </row>
    <row r="615" spans="1:26" ht="15.75" customHeight="1">
      <c r="A615" s="125"/>
      <c r="B615" s="125"/>
      <c r="C615" s="125"/>
      <c r="D615" s="125"/>
      <c r="E615" s="125"/>
      <c r="F615" s="126"/>
      <c r="G615" s="125"/>
      <c r="H615" s="125"/>
      <c r="I615" s="125"/>
      <c r="J615" s="125"/>
      <c r="K615" s="125"/>
      <c r="L615" s="125"/>
      <c r="M615" s="125"/>
      <c r="N615" s="129"/>
      <c r="O615" s="125"/>
      <c r="P615" s="173"/>
      <c r="Q615" s="125"/>
      <c r="R615" s="125"/>
      <c r="S615" s="125"/>
      <c r="T615" s="125"/>
      <c r="U615" s="125"/>
      <c r="V615" s="125"/>
      <c r="W615" s="125"/>
      <c r="X615" s="125"/>
      <c r="Y615" s="125"/>
      <c r="Z615" s="125"/>
    </row>
    <row r="616" spans="1:26" ht="15.75" customHeight="1">
      <c r="A616" s="125"/>
      <c r="B616" s="125"/>
      <c r="C616" s="125"/>
      <c r="D616" s="125"/>
      <c r="E616" s="125"/>
      <c r="F616" s="126"/>
      <c r="G616" s="125"/>
      <c r="H616" s="125"/>
      <c r="I616" s="125"/>
      <c r="J616" s="125"/>
      <c r="K616" s="125"/>
      <c r="L616" s="125"/>
      <c r="M616" s="125"/>
      <c r="N616" s="129"/>
      <c r="O616" s="125"/>
      <c r="P616" s="173"/>
      <c r="Q616" s="125"/>
      <c r="R616" s="125"/>
      <c r="S616" s="125"/>
      <c r="T616" s="125"/>
      <c r="U616" s="125"/>
      <c r="V616" s="125"/>
      <c r="W616" s="125"/>
      <c r="X616" s="125"/>
      <c r="Y616" s="125"/>
      <c r="Z616" s="125"/>
    </row>
    <row r="617" spans="1:26" ht="15.75" customHeight="1">
      <c r="A617" s="125"/>
      <c r="B617" s="125"/>
      <c r="C617" s="125"/>
      <c r="D617" s="125"/>
      <c r="E617" s="125"/>
      <c r="F617" s="126"/>
      <c r="G617" s="125"/>
      <c r="H617" s="125"/>
      <c r="I617" s="125"/>
      <c r="J617" s="125"/>
      <c r="K617" s="125"/>
      <c r="L617" s="125"/>
      <c r="M617" s="125"/>
      <c r="N617" s="129"/>
      <c r="O617" s="125"/>
      <c r="P617" s="173"/>
      <c r="Q617" s="125"/>
      <c r="R617" s="125"/>
      <c r="S617" s="125"/>
      <c r="T617" s="125"/>
      <c r="U617" s="125"/>
      <c r="V617" s="125"/>
      <c r="W617" s="125"/>
      <c r="X617" s="125"/>
      <c r="Y617" s="125"/>
      <c r="Z617" s="125"/>
    </row>
    <row r="618" spans="1:26" ht="15.75" customHeight="1">
      <c r="A618" s="125"/>
      <c r="B618" s="125"/>
      <c r="C618" s="125"/>
      <c r="D618" s="125"/>
      <c r="E618" s="125"/>
      <c r="F618" s="126"/>
      <c r="G618" s="125"/>
      <c r="H618" s="125"/>
      <c r="I618" s="125"/>
      <c r="J618" s="125"/>
      <c r="K618" s="125"/>
      <c r="L618" s="125"/>
      <c r="M618" s="125"/>
      <c r="N618" s="129"/>
      <c r="O618" s="125"/>
      <c r="P618" s="173"/>
      <c r="Q618" s="125"/>
      <c r="R618" s="125"/>
      <c r="S618" s="125"/>
      <c r="T618" s="125"/>
      <c r="U618" s="125"/>
      <c r="V618" s="125"/>
      <c r="W618" s="125"/>
      <c r="X618" s="125"/>
      <c r="Y618" s="125"/>
      <c r="Z618" s="125"/>
    </row>
    <row r="619" spans="1:26" ht="15.75" customHeight="1">
      <c r="A619" s="125"/>
      <c r="B619" s="125"/>
      <c r="C619" s="125"/>
      <c r="D619" s="125"/>
      <c r="E619" s="125"/>
      <c r="F619" s="126"/>
      <c r="G619" s="125"/>
      <c r="H619" s="125"/>
      <c r="I619" s="125"/>
      <c r="J619" s="125"/>
      <c r="K619" s="125"/>
      <c r="L619" s="125"/>
      <c r="M619" s="125"/>
      <c r="N619" s="129"/>
      <c r="O619" s="125"/>
      <c r="P619" s="173"/>
      <c r="Q619" s="125"/>
      <c r="R619" s="125"/>
      <c r="S619" s="125"/>
      <c r="T619" s="125"/>
      <c r="U619" s="125"/>
      <c r="V619" s="125"/>
      <c r="W619" s="125"/>
      <c r="X619" s="125"/>
      <c r="Y619" s="125"/>
      <c r="Z619" s="125"/>
    </row>
    <row r="620" spans="1:26" ht="15.75" customHeight="1">
      <c r="A620" s="125"/>
      <c r="B620" s="125"/>
      <c r="C620" s="125"/>
      <c r="D620" s="125"/>
      <c r="E620" s="125"/>
      <c r="F620" s="126"/>
      <c r="G620" s="125"/>
      <c r="H620" s="125"/>
      <c r="I620" s="125"/>
      <c r="J620" s="125"/>
      <c r="K620" s="125"/>
      <c r="L620" s="125"/>
      <c r="M620" s="125"/>
      <c r="N620" s="129"/>
      <c r="O620" s="125"/>
      <c r="P620" s="173"/>
      <c r="Q620" s="125"/>
      <c r="R620" s="125"/>
      <c r="S620" s="125"/>
      <c r="T620" s="125"/>
      <c r="U620" s="125"/>
      <c r="V620" s="125"/>
      <c r="W620" s="125"/>
      <c r="X620" s="125"/>
      <c r="Y620" s="125"/>
      <c r="Z620" s="125"/>
    </row>
    <row r="621" spans="1:26" ht="15.75" customHeight="1">
      <c r="A621" s="125"/>
      <c r="B621" s="125"/>
      <c r="C621" s="125"/>
      <c r="D621" s="125"/>
      <c r="E621" s="125"/>
      <c r="F621" s="126"/>
      <c r="G621" s="125"/>
      <c r="H621" s="125"/>
      <c r="I621" s="125"/>
      <c r="J621" s="125"/>
      <c r="K621" s="125"/>
      <c r="L621" s="125"/>
      <c r="M621" s="125"/>
      <c r="N621" s="129"/>
      <c r="O621" s="125"/>
      <c r="P621" s="173"/>
      <c r="Q621" s="125"/>
      <c r="R621" s="125"/>
      <c r="S621" s="125"/>
      <c r="T621" s="125"/>
      <c r="U621" s="125"/>
      <c r="V621" s="125"/>
      <c r="W621" s="125"/>
      <c r="X621" s="125"/>
      <c r="Y621" s="125"/>
      <c r="Z621" s="125"/>
    </row>
    <row r="622" spans="1:26" ht="15.75" customHeight="1">
      <c r="A622" s="125"/>
      <c r="B622" s="125"/>
      <c r="C622" s="125"/>
      <c r="D622" s="125"/>
      <c r="E622" s="125"/>
      <c r="F622" s="126"/>
      <c r="G622" s="125"/>
      <c r="H622" s="125"/>
      <c r="I622" s="125"/>
      <c r="J622" s="125"/>
      <c r="K622" s="125"/>
      <c r="L622" s="125"/>
      <c r="M622" s="125"/>
      <c r="N622" s="129"/>
      <c r="O622" s="125"/>
      <c r="P622" s="173"/>
      <c r="Q622" s="125"/>
      <c r="R622" s="125"/>
      <c r="S622" s="125"/>
      <c r="T622" s="125"/>
      <c r="U622" s="125"/>
      <c r="V622" s="125"/>
      <c r="W622" s="125"/>
      <c r="X622" s="125"/>
      <c r="Y622" s="125"/>
      <c r="Z622" s="125"/>
    </row>
    <row r="623" spans="1:26" ht="15.75" customHeight="1">
      <c r="A623" s="125"/>
      <c r="B623" s="125"/>
      <c r="C623" s="125"/>
      <c r="D623" s="125"/>
      <c r="E623" s="125"/>
      <c r="F623" s="126"/>
      <c r="G623" s="125"/>
      <c r="H623" s="125"/>
      <c r="I623" s="125"/>
      <c r="J623" s="125"/>
      <c r="K623" s="125"/>
      <c r="L623" s="125"/>
      <c r="M623" s="125"/>
      <c r="N623" s="129"/>
      <c r="O623" s="125"/>
      <c r="P623" s="173"/>
      <c r="Q623" s="125"/>
      <c r="R623" s="125"/>
      <c r="S623" s="125"/>
      <c r="T623" s="125"/>
      <c r="U623" s="125"/>
      <c r="V623" s="125"/>
      <c r="W623" s="125"/>
      <c r="X623" s="125"/>
      <c r="Y623" s="125"/>
      <c r="Z623" s="125"/>
    </row>
    <row r="624" spans="1:26" ht="15.75" customHeight="1">
      <c r="A624" s="125"/>
      <c r="B624" s="125"/>
      <c r="C624" s="125"/>
      <c r="D624" s="125"/>
      <c r="E624" s="125"/>
      <c r="F624" s="126"/>
      <c r="G624" s="125"/>
      <c r="H624" s="125"/>
      <c r="I624" s="125"/>
      <c r="J624" s="125"/>
      <c r="K624" s="125"/>
      <c r="L624" s="125"/>
      <c r="M624" s="125"/>
      <c r="N624" s="129"/>
      <c r="O624" s="125"/>
      <c r="P624" s="173"/>
      <c r="Q624" s="125"/>
      <c r="R624" s="125"/>
      <c r="S624" s="125"/>
      <c r="T624" s="125"/>
      <c r="U624" s="125"/>
      <c r="V624" s="125"/>
      <c r="W624" s="125"/>
      <c r="X624" s="125"/>
      <c r="Y624" s="125"/>
      <c r="Z624" s="125"/>
    </row>
    <row r="625" spans="1:26" ht="15.75" customHeight="1">
      <c r="A625" s="125"/>
      <c r="B625" s="125"/>
      <c r="C625" s="125"/>
      <c r="D625" s="125"/>
      <c r="E625" s="125"/>
      <c r="F625" s="126"/>
      <c r="G625" s="125"/>
      <c r="H625" s="125"/>
      <c r="I625" s="125"/>
      <c r="J625" s="125"/>
      <c r="K625" s="125"/>
      <c r="L625" s="125"/>
      <c r="M625" s="125"/>
      <c r="N625" s="129"/>
      <c r="O625" s="125"/>
      <c r="P625" s="173"/>
      <c r="Q625" s="125"/>
      <c r="R625" s="125"/>
      <c r="S625" s="125"/>
      <c r="T625" s="125"/>
      <c r="U625" s="125"/>
      <c r="V625" s="125"/>
      <c r="W625" s="125"/>
      <c r="X625" s="125"/>
      <c r="Y625" s="125"/>
      <c r="Z625" s="125"/>
    </row>
    <row r="626" spans="1:26" ht="15.75" customHeight="1">
      <c r="A626" s="125"/>
      <c r="B626" s="125"/>
      <c r="C626" s="125"/>
      <c r="D626" s="125"/>
      <c r="E626" s="125"/>
      <c r="F626" s="126"/>
      <c r="G626" s="125"/>
      <c r="H626" s="125"/>
      <c r="I626" s="125"/>
      <c r="J626" s="125"/>
      <c r="K626" s="125"/>
      <c r="L626" s="125"/>
      <c r="M626" s="125"/>
      <c r="N626" s="129"/>
      <c r="O626" s="125"/>
      <c r="P626" s="173"/>
      <c r="Q626" s="125"/>
      <c r="R626" s="125"/>
      <c r="S626" s="125"/>
      <c r="T626" s="125"/>
      <c r="U626" s="125"/>
      <c r="V626" s="125"/>
      <c r="W626" s="125"/>
      <c r="X626" s="125"/>
      <c r="Y626" s="125"/>
      <c r="Z626" s="125"/>
    </row>
    <row r="627" spans="1:26" ht="15.75" customHeight="1">
      <c r="A627" s="125"/>
      <c r="B627" s="125"/>
      <c r="C627" s="125"/>
      <c r="D627" s="125"/>
      <c r="E627" s="125"/>
      <c r="F627" s="126"/>
      <c r="G627" s="125"/>
      <c r="H627" s="125"/>
      <c r="I627" s="125"/>
      <c r="J627" s="125"/>
      <c r="K627" s="125"/>
      <c r="L627" s="125"/>
      <c r="M627" s="125"/>
      <c r="N627" s="129"/>
      <c r="O627" s="125"/>
      <c r="P627" s="173"/>
      <c r="Q627" s="125"/>
      <c r="R627" s="125"/>
      <c r="S627" s="125"/>
      <c r="T627" s="125"/>
      <c r="U627" s="125"/>
      <c r="V627" s="125"/>
      <c r="W627" s="125"/>
      <c r="X627" s="125"/>
      <c r="Y627" s="125"/>
      <c r="Z627" s="125"/>
    </row>
    <row r="628" spans="1:26" ht="15.75" customHeight="1">
      <c r="A628" s="125"/>
      <c r="B628" s="125"/>
      <c r="C628" s="125"/>
      <c r="D628" s="125"/>
      <c r="E628" s="125"/>
      <c r="F628" s="126"/>
      <c r="G628" s="125"/>
      <c r="H628" s="125"/>
      <c r="I628" s="125"/>
      <c r="J628" s="125"/>
      <c r="K628" s="125"/>
      <c r="L628" s="125"/>
      <c r="M628" s="125"/>
      <c r="N628" s="129"/>
      <c r="O628" s="125"/>
      <c r="P628" s="173"/>
      <c r="Q628" s="125"/>
      <c r="R628" s="125"/>
      <c r="S628" s="125"/>
      <c r="T628" s="125"/>
      <c r="U628" s="125"/>
      <c r="V628" s="125"/>
      <c r="W628" s="125"/>
      <c r="X628" s="125"/>
      <c r="Y628" s="125"/>
      <c r="Z628" s="125"/>
    </row>
    <row r="629" spans="1:26" ht="15.75" customHeight="1">
      <c r="A629" s="125"/>
      <c r="B629" s="125"/>
      <c r="C629" s="125"/>
      <c r="D629" s="125"/>
      <c r="E629" s="125"/>
      <c r="F629" s="126"/>
      <c r="G629" s="125"/>
      <c r="H629" s="125"/>
      <c r="I629" s="125"/>
      <c r="J629" s="125"/>
      <c r="K629" s="125"/>
      <c r="L629" s="125"/>
      <c r="M629" s="125"/>
      <c r="N629" s="129"/>
      <c r="O629" s="125"/>
      <c r="P629" s="173"/>
      <c r="Q629" s="125"/>
      <c r="R629" s="125"/>
      <c r="S629" s="125"/>
      <c r="T629" s="125"/>
      <c r="U629" s="125"/>
      <c r="V629" s="125"/>
      <c r="W629" s="125"/>
      <c r="X629" s="125"/>
      <c r="Y629" s="125"/>
      <c r="Z629" s="125"/>
    </row>
    <row r="630" spans="1:26" ht="15.75" customHeight="1">
      <c r="A630" s="125"/>
      <c r="B630" s="125"/>
      <c r="C630" s="125"/>
      <c r="D630" s="125"/>
      <c r="E630" s="125"/>
      <c r="F630" s="126"/>
      <c r="G630" s="125"/>
      <c r="H630" s="125"/>
      <c r="I630" s="125"/>
      <c r="J630" s="125"/>
      <c r="K630" s="125"/>
      <c r="L630" s="125"/>
      <c r="M630" s="125"/>
      <c r="N630" s="129"/>
      <c r="O630" s="125"/>
      <c r="P630" s="173"/>
      <c r="Q630" s="125"/>
      <c r="R630" s="125"/>
      <c r="S630" s="125"/>
      <c r="T630" s="125"/>
      <c r="U630" s="125"/>
      <c r="V630" s="125"/>
      <c r="W630" s="125"/>
      <c r="X630" s="125"/>
      <c r="Y630" s="125"/>
      <c r="Z630" s="125"/>
    </row>
    <row r="631" spans="1:26" ht="15.75" customHeight="1">
      <c r="A631" s="125"/>
      <c r="B631" s="125"/>
      <c r="C631" s="125"/>
      <c r="D631" s="125"/>
      <c r="E631" s="125"/>
      <c r="F631" s="126"/>
      <c r="G631" s="125"/>
      <c r="H631" s="125"/>
      <c r="I631" s="125"/>
      <c r="J631" s="125"/>
      <c r="K631" s="125"/>
      <c r="L631" s="125"/>
      <c r="M631" s="125"/>
      <c r="N631" s="129"/>
      <c r="O631" s="125"/>
      <c r="P631" s="173"/>
      <c r="Q631" s="125"/>
      <c r="R631" s="125"/>
      <c r="S631" s="125"/>
      <c r="T631" s="125"/>
      <c r="U631" s="125"/>
      <c r="V631" s="125"/>
      <c r="W631" s="125"/>
      <c r="X631" s="125"/>
      <c r="Y631" s="125"/>
      <c r="Z631" s="125"/>
    </row>
    <row r="632" spans="1:26" ht="15.75" customHeight="1">
      <c r="A632" s="125"/>
      <c r="B632" s="125"/>
      <c r="C632" s="125"/>
      <c r="D632" s="125"/>
      <c r="E632" s="125"/>
      <c r="F632" s="126"/>
      <c r="G632" s="125"/>
      <c r="H632" s="125"/>
      <c r="I632" s="125"/>
      <c r="J632" s="125"/>
      <c r="K632" s="125"/>
      <c r="L632" s="125"/>
      <c r="M632" s="125"/>
      <c r="N632" s="129"/>
      <c r="O632" s="125"/>
      <c r="P632" s="173"/>
      <c r="Q632" s="125"/>
      <c r="R632" s="125"/>
      <c r="S632" s="125"/>
      <c r="T632" s="125"/>
      <c r="U632" s="125"/>
      <c r="V632" s="125"/>
      <c r="W632" s="125"/>
      <c r="X632" s="125"/>
      <c r="Y632" s="125"/>
      <c r="Z632" s="125"/>
    </row>
    <row r="633" spans="1:26" ht="15.75" customHeight="1">
      <c r="A633" s="125"/>
      <c r="B633" s="125"/>
      <c r="C633" s="125"/>
      <c r="D633" s="125"/>
      <c r="E633" s="125"/>
      <c r="F633" s="126"/>
      <c r="G633" s="125"/>
      <c r="H633" s="125"/>
      <c r="I633" s="125"/>
      <c r="J633" s="125"/>
      <c r="K633" s="125"/>
      <c r="L633" s="125"/>
      <c r="M633" s="125"/>
      <c r="N633" s="129"/>
      <c r="O633" s="125"/>
      <c r="P633" s="173"/>
      <c r="Q633" s="125"/>
      <c r="R633" s="125"/>
      <c r="S633" s="125"/>
      <c r="T633" s="125"/>
      <c r="U633" s="125"/>
      <c r="V633" s="125"/>
      <c r="W633" s="125"/>
      <c r="X633" s="125"/>
      <c r="Y633" s="125"/>
      <c r="Z633" s="125"/>
    </row>
    <row r="634" spans="1:26" ht="15.75" customHeight="1">
      <c r="A634" s="125"/>
      <c r="B634" s="125"/>
      <c r="C634" s="125"/>
      <c r="D634" s="125"/>
      <c r="E634" s="125"/>
      <c r="F634" s="126"/>
      <c r="G634" s="125"/>
      <c r="H634" s="125"/>
      <c r="I634" s="125"/>
      <c r="J634" s="125"/>
      <c r="K634" s="125"/>
      <c r="L634" s="125"/>
      <c r="M634" s="125"/>
      <c r="N634" s="129"/>
      <c r="O634" s="125"/>
      <c r="P634" s="173"/>
      <c r="Q634" s="125"/>
      <c r="R634" s="125"/>
      <c r="S634" s="125"/>
      <c r="T634" s="125"/>
      <c r="U634" s="125"/>
      <c r="V634" s="125"/>
      <c r="W634" s="125"/>
      <c r="X634" s="125"/>
      <c r="Y634" s="125"/>
      <c r="Z634" s="125"/>
    </row>
    <row r="635" spans="1:26" ht="15.75" customHeight="1">
      <c r="A635" s="125"/>
      <c r="B635" s="125"/>
      <c r="C635" s="125"/>
      <c r="D635" s="125"/>
      <c r="E635" s="125"/>
      <c r="F635" s="126"/>
      <c r="G635" s="125"/>
      <c r="H635" s="125"/>
      <c r="I635" s="125"/>
      <c r="J635" s="125"/>
      <c r="K635" s="125"/>
      <c r="L635" s="125"/>
      <c r="M635" s="125"/>
      <c r="N635" s="129"/>
      <c r="O635" s="125"/>
      <c r="P635" s="173"/>
      <c r="Q635" s="125"/>
      <c r="R635" s="125"/>
      <c r="S635" s="125"/>
      <c r="T635" s="125"/>
      <c r="U635" s="125"/>
      <c r="V635" s="125"/>
      <c r="W635" s="125"/>
      <c r="X635" s="125"/>
      <c r="Y635" s="125"/>
      <c r="Z635" s="125"/>
    </row>
    <row r="636" spans="1:26" ht="15.75" customHeight="1">
      <c r="A636" s="125"/>
      <c r="B636" s="125"/>
      <c r="C636" s="125"/>
      <c r="D636" s="125"/>
      <c r="E636" s="125"/>
      <c r="F636" s="126"/>
      <c r="G636" s="125"/>
      <c r="H636" s="125"/>
      <c r="I636" s="125"/>
      <c r="J636" s="125"/>
      <c r="K636" s="125"/>
      <c r="L636" s="125"/>
      <c r="M636" s="125"/>
      <c r="N636" s="129"/>
      <c r="O636" s="125"/>
      <c r="P636" s="173"/>
      <c r="Q636" s="125"/>
      <c r="R636" s="125"/>
      <c r="S636" s="125"/>
      <c r="T636" s="125"/>
      <c r="U636" s="125"/>
      <c r="V636" s="125"/>
      <c r="W636" s="125"/>
      <c r="X636" s="125"/>
      <c r="Y636" s="125"/>
      <c r="Z636" s="125"/>
    </row>
    <row r="637" spans="1:26" ht="15.75" customHeight="1">
      <c r="A637" s="125"/>
      <c r="B637" s="125"/>
      <c r="C637" s="125"/>
      <c r="D637" s="125"/>
      <c r="E637" s="125"/>
      <c r="F637" s="126"/>
      <c r="G637" s="125"/>
      <c r="H637" s="125"/>
      <c r="I637" s="125"/>
      <c r="J637" s="125"/>
      <c r="K637" s="125"/>
      <c r="L637" s="125"/>
      <c r="M637" s="125"/>
      <c r="N637" s="129"/>
      <c r="O637" s="125"/>
      <c r="P637" s="173"/>
      <c r="Q637" s="125"/>
      <c r="R637" s="125"/>
      <c r="S637" s="125"/>
      <c r="T637" s="125"/>
      <c r="U637" s="125"/>
      <c r="V637" s="125"/>
      <c r="W637" s="125"/>
      <c r="X637" s="125"/>
      <c r="Y637" s="125"/>
      <c r="Z637" s="125"/>
    </row>
    <row r="638" spans="1:26" ht="15.75" customHeight="1">
      <c r="A638" s="125"/>
      <c r="B638" s="125"/>
      <c r="C638" s="125"/>
      <c r="D638" s="125"/>
      <c r="E638" s="125"/>
      <c r="F638" s="126"/>
      <c r="G638" s="125"/>
      <c r="H638" s="125"/>
      <c r="I638" s="125"/>
      <c r="J638" s="125"/>
      <c r="K638" s="125"/>
      <c r="L638" s="125"/>
      <c r="M638" s="125"/>
      <c r="N638" s="129"/>
      <c r="O638" s="125"/>
      <c r="P638" s="173"/>
      <c r="Q638" s="125"/>
      <c r="R638" s="125"/>
      <c r="S638" s="125"/>
      <c r="T638" s="125"/>
      <c r="U638" s="125"/>
      <c r="V638" s="125"/>
      <c r="W638" s="125"/>
      <c r="X638" s="125"/>
      <c r="Y638" s="125"/>
      <c r="Z638" s="125"/>
    </row>
    <row r="639" spans="1:26" ht="15.75" customHeight="1">
      <c r="A639" s="125"/>
      <c r="B639" s="125"/>
      <c r="C639" s="125"/>
      <c r="D639" s="125"/>
      <c r="E639" s="125"/>
      <c r="F639" s="126"/>
      <c r="G639" s="125"/>
      <c r="H639" s="125"/>
      <c r="I639" s="125"/>
      <c r="J639" s="125"/>
      <c r="K639" s="125"/>
      <c r="L639" s="125"/>
      <c r="M639" s="125"/>
      <c r="N639" s="129"/>
      <c r="O639" s="125"/>
      <c r="P639" s="173"/>
      <c r="Q639" s="125"/>
      <c r="R639" s="125"/>
      <c r="S639" s="125"/>
      <c r="T639" s="125"/>
      <c r="U639" s="125"/>
      <c r="V639" s="125"/>
      <c r="W639" s="125"/>
      <c r="X639" s="125"/>
      <c r="Y639" s="125"/>
      <c r="Z639" s="125"/>
    </row>
    <row r="640" spans="1:26" ht="15.75" customHeight="1">
      <c r="A640" s="125"/>
      <c r="B640" s="125"/>
      <c r="C640" s="125"/>
      <c r="D640" s="125"/>
      <c r="E640" s="125"/>
      <c r="F640" s="126"/>
      <c r="G640" s="125"/>
      <c r="H640" s="125"/>
      <c r="I640" s="125"/>
      <c r="J640" s="125"/>
      <c r="K640" s="125"/>
      <c r="L640" s="125"/>
      <c r="M640" s="125"/>
      <c r="N640" s="129"/>
      <c r="O640" s="125"/>
      <c r="P640" s="173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</row>
    <row r="641" spans="1:26" ht="15.75" customHeight="1">
      <c r="A641" s="125"/>
      <c r="B641" s="125"/>
      <c r="C641" s="125"/>
      <c r="D641" s="125"/>
      <c r="E641" s="125"/>
      <c r="F641" s="126"/>
      <c r="G641" s="125"/>
      <c r="H641" s="125"/>
      <c r="I641" s="125"/>
      <c r="J641" s="125"/>
      <c r="K641" s="125"/>
      <c r="L641" s="125"/>
      <c r="M641" s="125"/>
      <c r="N641" s="129"/>
      <c r="O641" s="125"/>
      <c r="P641" s="173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</row>
    <row r="642" spans="1:26" ht="15.75" customHeight="1">
      <c r="A642" s="125"/>
      <c r="B642" s="125"/>
      <c r="C642" s="125"/>
      <c r="D642" s="125"/>
      <c r="E642" s="125"/>
      <c r="F642" s="126"/>
      <c r="G642" s="125"/>
      <c r="H642" s="125"/>
      <c r="I642" s="125"/>
      <c r="J642" s="125"/>
      <c r="K642" s="125"/>
      <c r="L642" s="125"/>
      <c r="M642" s="125"/>
      <c r="N642" s="129"/>
      <c r="O642" s="125"/>
      <c r="P642" s="173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</row>
    <row r="643" spans="1:26" ht="15.75" customHeight="1">
      <c r="A643" s="125"/>
      <c r="B643" s="125"/>
      <c r="C643" s="125"/>
      <c r="D643" s="125"/>
      <c r="E643" s="125"/>
      <c r="F643" s="126"/>
      <c r="G643" s="125"/>
      <c r="H643" s="125"/>
      <c r="I643" s="125"/>
      <c r="J643" s="125"/>
      <c r="K643" s="125"/>
      <c r="L643" s="125"/>
      <c r="M643" s="125"/>
      <c r="N643" s="129"/>
      <c r="O643" s="125"/>
      <c r="P643" s="173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</row>
    <row r="644" spans="1:26" ht="15.75" customHeight="1">
      <c r="A644" s="125"/>
      <c r="B644" s="125"/>
      <c r="C644" s="125"/>
      <c r="D644" s="125"/>
      <c r="E644" s="125"/>
      <c r="F644" s="126"/>
      <c r="G644" s="125"/>
      <c r="H644" s="125"/>
      <c r="I644" s="125"/>
      <c r="J644" s="125"/>
      <c r="K644" s="125"/>
      <c r="L644" s="125"/>
      <c r="M644" s="125"/>
      <c r="N644" s="129"/>
      <c r="O644" s="125"/>
      <c r="P644" s="173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</row>
    <row r="645" spans="1:26" ht="15.75" customHeight="1">
      <c r="A645" s="125"/>
      <c r="B645" s="125"/>
      <c r="C645" s="125"/>
      <c r="D645" s="125"/>
      <c r="E645" s="125"/>
      <c r="F645" s="126"/>
      <c r="G645" s="125"/>
      <c r="H645" s="125"/>
      <c r="I645" s="125"/>
      <c r="J645" s="125"/>
      <c r="K645" s="125"/>
      <c r="L645" s="125"/>
      <c r="M645" s="125"/>
      <c r="N645" s="129"/>
      <c r="O645" s="125"/>
      <c r="P645" s="173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</row>
    <row r="646" spans="1:26" ht="15.75" customHeight="1">
      <c r="A646" s="125"/>
      <c r="B646" s="125"/>
      <c r="C646" s="125"/>
      <c r="D646" s="125"/>
      <c r="E646" s="125"/>
      <c r="F646" s="126"/>
      <c r="G646" s="125"/>
      <c r="H646" s="125"/>
      <c r="I646" s="125"/>
      <c r="J646" s="125"/>
      <c r="K646" s="125"/>
      <c r="L646" s="125"/>
      <c r="M646" s="125"/>
      <c r="N646" s="129"/>
      <c r="O646" s="125"/>
      <c r="P646" s="173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</row>
    <row r="647" spans="1:26" ht="15.75" customHeight="1">
      <c r="A647" s="125"/>
      <c r="B647" s="125"/>
      <c r="C647" s="125"/>
      <c r="D647" s="125"/>
      <c r="E647" s="125"/>
      <c r="F647" s="126"/>
      <c r="G647" s="125"/>
      <c r="H647" s="125"/>
      <c r="I647" s="125"/>
      <c r="J647" s="125"/>
      <c r="K647" s="125"/>
      <c r="L647" s="125"/>
      <c r="M647" s="125"/>
      <c r="N647" s="129"/>
      <c r="O647" s="125"/>
      <c r="P647" s="173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</row>
    <row r="648" spans="1:26" ht="15.75" customHeight="1">
      <c r="A648" s="125"/>
      <c r="B648" s="125"/>
      <c r="C648" s="125"/>
      <c r="D648" s="125"/>
      <c r="E648" s="125"/>
      <c r="F648" s="126"/>
      <c r="G648" s="125"/>
      <c r="H648" s="125"/>
      <c r="I648" s="125"/>
      <c r="J648" s="125"/>
      <c r="K648" s="125"/>
      <c r="L648" s="125"/>
      <c r="M648" s="125"/>
      <c r="N648" s="129"/>
      <c r="O648" s="125"/>
      <c r="P648" s="173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</row>
    <row r="649" spans="1:26" ht="15.75" customHeight="1">
      <c r="A649" s="125"/>
      <c r="B649" s="125"/>
      <c r="C649" s="125"/>
      <c r="D649" s="125"/>
      <c r="E649" s="125"/>
      <c r="F649" s="126"/>
      <c r="G649" s="125"/>
      <c r="H649" s="125"/>
      <c r="I649" s="125"/>
      <c r="J649" s="125"/>
      <c r="K649" s="125"/>
      <c r="L649" s="125"/>
      <c r="M649" s="125"/>
      <c r="N649" s="129"/>
      <c r="O649" s="125"/>
      <c r="P649" s="173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</row>
    <row r="650" spans="1:26" ht="15.75" customHeight="1">
      <c r="A650" s="125"/>
      <c r="B650" s="125"/>
      <c r="C650" s="125"/>
      <c r="D650" s="125"/>
      <c r="E650" s="125"/>
      <c r="F650" s="126"/>
      <c r="G650" s="125"/>
      <c r="H650" s="125"/>
      <c r="I650" s="125"/>
      <c r="J650" s="125"/>
      <c r="K650" s="125"/>
      <c r="L650" s="125"/>
      <c r="M650" s="125"/>
      <c r="N650" s="129"/>
      <c r="O650" s="125"/>
      <c r="P650" s="173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</row>
    <row r="651" spans="1:26" ht="15.75" customHeight="1">
      <c r="A651" s="125"/>
      <c r="B651" s="125"/>
      <c r="C651" s="125"/>
      <c r="D651" s="125"/>
      <c r="E651" s="125"/>
      <c r="F651" s="126"/>
      <c r="G651" s="125"/>
      <c r="H651" s="125"/>
      <c r="I651" s="125"/>
      <c r="J651" s="125"/>
      <c r="K651" s="125"/>
      <c r="L651" s="125"/>
      <c r="M651" s="125"/>
      <c r="N651" s="129"/>
      <c r="O651" s="125"/>
      <c r="P651" s="173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</row>
    <row r="652" spans="1:26" ht="15.75" customHeight="1">
      <c r="A652" s="125"/>
      <c r="B652" s="125"/>
      <c r="C652" s="125"/>
      <c r="D652" s="125"/>
      <c r="E652" s="125"/>
      <c r="F652" s="126"/>
      <c r="G652" s="125"/>
      <c r="H652" s="125"/>
      <c r="I652" s="125"/>
      <c r="J652" s="125"/>
      <c r="K652" s="125"/>
      <c r="L652" s="125"/>
      <c r="M652" s="125"/>
      <c r="N652" s="129"/>
      <c r="O652" s="125"/>
      <c r="P652" s="173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</row>
    <row r="653" spans="1:26" ht="15.75" customHeight="1">
      <c r="A653" s="125"/>
      <c r="B653" s="125"/>
      <c r="C653" s="125"/>
      <c r="D653" s="125"/>
      <c r="E653" s="125"/>
      <c r="F653" s="126"/>
      <c r="G653" s="125"/>
      <c r="H653" s="125"/>
      <c r="I653" s="125"/>
      <c r="J653" s="125"/>
      <c r="K653" s="125"/>
      <c r="L653" s="125"/>
      <c r="M653" s="125"/>
      <c r="N653" s="129"/>
      <c r="O653" s="125"/>
      <c r="P653" s="173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</row>
    <row r="654" spans="1:26" ht="15.75" customHeight="1">
      <c r="A654" s="125"/>
      <c r="B654" s="125"/>
      <c r="C654" s="125"/>
      <c r="D654" s="125"/>
      <c r="E654" s="125"/>
      <c r="F654" s="126"/>
      <c r="G654" s="125"/>
      <c r="H654" s="125"/>
      <c r="I654" s="125"/>
      <c r="J654" s="125"/>
      <c r="K654" s="125"/>
      <c r="L654" s="125"/>
      <c r="M654" s="125"/>
      <c r="N654" s="129"/>
      <c r="O654" s="125"/>
      <c r="P654" s="173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</row>
    <row r="655" spans="1:26" ht="15.75" customHeight="1">
      <c r="A655" s="125"/>
      <c r="B655" s="125"/>
      <c r="C655" s="125"/>
      <c r="D655" s="125"/>
      <c r="E655" s="125"/>
      <c r="F655" s="126"/>
      <c r="G655" s="125"/>
      <c r="H655" s="125"/>
      <c r="I655" s="125"/>
      <c r="J655" s="125"/>
      <c r="K655" s="125"/>
      <c r="L655" s="125"/>
      <c r="M655" s="125"/>
      <c r="N655" s="129"/>
      <c r="O655" s="125"/>
      <c r="P655" s="173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</row>
    <row r="656" spans="1:26" ht="15.75" customHeight="1">
      <c r="A656" s="125"/>
      <c r="B656" s="125"/>
      <c r="C656" s="125"/>
      <c r="D656" s="125"/>
      <c r="E656" s="125"/>
      <c r="F656" s="126"/>
      <c r="G656" s="125"/>
      <c r="H656" s="125"/>
      <c r="I656" s="125"/>
      <c r="J656" s="125"/>
      <c r="K656" s="125"/>
      <c r="L656" s="125"/>
      <c r="M656" s="125"/>
      <c r="N656" s="129"/>
      <c r="O656" s="125"/>
      <c r="P656" s="173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</row>
    <row r="657" spans="1:26" ht="15.75" customHeight="1">
      <c r="A657" s="125"/>
      <c r="B657" s="125"/>
      <c r="C657" s="125"/>
      <c r="D657" s="125"/>
      <c r="E657" s="125"/>
      <c r="F657" s="126"/>
      <c r="G657" s="125"/>
      <c r="H657" s="125"/>
      <c r="I657" s="125"/>
      <c r="J657" s="125"/>
      <c r="K657" s="125"/>
      <c r="L657" s="125"/>
      <c r="M657" s="125"/>
      <c r="N657" s="129"/>
      <c r="O657" s="125"/>
      <c r="P657" s="173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</row>
    <row r="658" spans="1:26" ht="15.75" customHeight="1">
      <c r="A658" s="125"/>
      <c r="B658" s="125"/>
      <c r="C658" s="125"/>
      <c r="D658" s="125"/>
      <c r="E658" s="125"/>
      <c r="F658" s="126"/>
      <c r="G658" s="125"/>
      <c r="H658" s="125"/>
      <c r="I658" s="125"/>
      <c r="J658" s="125"/>
      <c r="K658" s="125"/>
      <c r="L658" s="125"/>
      <c r="M658" s="125"/>
      <c r="N658" s="129"/>
      <c r="O658" s="125"/>
      <c r="P658" s="173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</row>
    <row r="659" spans="1:26" ht="15.75" customHeight="1">
      <c r="A659" s="125"/>
      <c r="B659" s="125"/>
      <c r="C659" s="125"/>
      <c r="D659" s="125"/>
      <c r="E659" s="125"/>
      <c r="F659" s="126"/>
      <c r="G659" s="125"/>
      <c r="H659" s="125"/>
      <c r="I659" s="125"/>
      <c r="J659" s="125"/>
      <c r="K659" s="125"/>
      <c r="L659" s="125"/>
      <c r="M659" s="125"/>
      <c r="N659" s="129"/>
      <c r="O659" s="125"/>
      <c r="P659" s="173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</row>
    <row r="660" spans="1:26" ht="15.75" customHeight="1">
      <c r="A660" s="125"/>
      <c r="B660" s="125"/>
      <c r="C660" s="125"/>
      <c r="D660" s="125"/>
      <c r="E660" s="125"/>
      <c r="F660" s="126"/>
      <c r="G660" s="125"/>
      <c r="H660" s="125"/>
      <c r="I660" s="125"/>
      <c r="J660" s="125"/>
      <c r="K660" s="125"/>
      <c r="L660" s="125"/>
      <c r="M660" s="125"/>
      <c r="N660" s="129"/>
      <c r="O660" s="125"/>
      <c r="P660" s="173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</row>
    <row r="661" spans="1:26" ht="15.75" customHeight="1">
      <c r="A661" s="125"/>
      <c r="B661" s="125"/>
      <c r="C661" s="125"/>
      <c r="D661" s="125"/>
      <c r="E661" s="125"/>
      <c r="F661" s="126"/>
      <c r="G661" s="125"/>
      <c r="H661" s="125"/>
      <c r="I661" s="125"/>
      <c r="J661" s="125"/>
      <c r="K661" s="125"/>
      <c r="L661" s="125"/>
      <c r="M661" s="125"/>
      <c r="N661" s="129"/>
      <c r="O661" s="125"/>
      <c r="P661" s="173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</row>
    <row r="662" spans="1:26" ht="15.75" customHeight="1">
      <c r="A662" s="125"/>
      <c r="B662" s="125"/>
      <c r="C662" s="125"/>
      <c r="D662" s="125"/>
      <c r="E662" s="125"/>
      <c r="F662" s="126"/>
      <c r="G662" s="125"/>
      <c r="H662" s="125"/>
      <c r="I662" s="125"/>
      <c r="J662" s="125"/>
      <c r="K662" s="125"/>
      <c r="L662" s="125"/>
      <c r="M662" s="125"/>
      <c r="N662" s="129"/>
      <c r="O662" s="125"/>
      <c r="P662" s="173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</row>
    <row r="663" spans="1:26" ht="15.75" customHeight="1">
      <c r="A663" s="125"/>
      <c r="B663" s="125"/>
      <c r="C663" s="125"/>
      <c r="D663" s="125"/>
      <c r="E663" s="125"/>
      <c r="F663" s="126"/>
      <c r="G663" s="125"/>
      <c r="H663" s="125"/>
      <c r="I663" s="125"/>
      <c r="J663" s="125"/>
      <c r="K663" s="125"/>
      <c r="L663" s="125"/>
      <c r="M663" s="125"/>
      <c r="N663" s="129"/>
      <c r="O663" s="125"/>
      <c r="P663" s="173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</row>
    <row r="664" spans="1:26" ht="15.75" customHeight="1">
      <c r="A664" s="125"/>
      <c r="B664" s="125"/>
      <c r="C664" s="125"/>
      <c r="D664" s="125"/>
      <c r="E664" s="125"/>
      <c r="F664" s="126"/>
      <c r="G664" s="125"/>
      <c r="H664" s="125"/>
      <c r="I664" s="125"/>
      <c r="J664" s="125"/>
      <c r="K664" s="125"/>
      <c r="L664" s="125"/>
      <c r="M664" s="125"/>
      <c r="N664" s="129"/>
      <c r="O664" s="125"/>
      <c r="P664" s="173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</row>
    <row r="665" spans="1:26" ht="15.75" customHeight="1">
      <c r="A665" s="125"/>
      <c r="B665" s="125"/>
      <c r="C665" s="125"/>
      <c r="D665" s="125"/>
      <c r="E665" s="125"/>
      <c r="F665" s="126"/>
      <c r="G665" s="125"/>
      <c r="H665" s="125"/>
      <c r="I665" s="125"/>
      <c r="J665" s="125"/>
      <c r="K665" s="125"/>
      <c r="L665" s="125"/>
      <c r="M665" s="125"/>
      <c r="N665" s="129"/>
      <c r="O665" s="125"/>
      <c r="P665" s="173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</row>
    <row r="666" spans="1:26" ht="15.75" customHeight="1">
      <c r="A666" s="125"/>
      <c r="B666" s="125"/>
      <c r="C666" s="125"/>
      <c r="D666" s="125"/>
      <c r="E666" s="125"/>
      <c r="F666" s="126"/>
      <c r="G666" s="125"/>
      <c r="H666" s="125"/>
      <c r="I666" s="125"/>
      <c r="J666" s="125"/>
      <c r="K666" s="125"/>
      <c r="L666" s="125"/>
      <c r="M666" s="125"/>
      <c r="N666" s="129"/>
      <c r="O666" s="125"/>
      <c r="P666" s="173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</row>
    <row r="667" spans="1:26" ht="15.75" customHeight="1">
      <c r="A667" s="125"/>
      <c r="B667" s="125"/>
      <c r="C667" s="125"/>
      <c r="D667" s="125"/>
      <c r="E667" s="125"/>
      <c r="F667" s="126"/>
      <c r="G667" s="125"/>
      <c r="H667" s="125"/>
      <c r="I667" s="125"/>
      <c r="J667" s="125"/>
      <c r="K667" s="125"/>
      <c r="L667" s="125"/>
      <c r="M667" s="125"/>
      <c r="N667" s="129"/>
      <c r="O667" s="125"/>
      <c r="P667" s="173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</row>
    <row r="668" spans="1:26" ht="15.75" customHeight="1">
      <c r="A668" s="125"/>
      <c r="B668" s="125"/>
      <c r="C668" s="125"/>
      <c r="D668" s="125"/>
      <c r="E668" s="125"/>
      <c r="F668" s="126"/>
      <c r="G668" s="125"/>
      <c r="H668" s="125"/>
      <c r="I668" s="125"/>
      <c r="J668" s="125"/>
      <c r="K668" s="125"/>
      <c r="L668" s="125"/>
      <c r="M668" s="125"/>
      <c r="N668" s="129"/>
      <c r="O668" s="125"/>
      <c r="P668" s="173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</row>
    <row r="669" spans="1:26" ht="15.75" customHeight="1">
      <c r="A669" s="125"/>
      <c r="B669" s="125"/>
      <c r="C669" s="125"/>
      <c r="D669" s="125"/>
      <c r="E669" s="125"/>
      <c r="F669" s="126"/>
      <c r="G669" s="125"/>
      <c r="H669" s="125"/>
      <c r="I669" s="125"/>
      <c r="J669" s="125"/>
      <c r="K669" s="125"/>
      <c r="L669" s="125"/>
      <c r="M669" s="125"/>
      <c r="N669" s="129"/>
      <c r="O669" s="125"/>
      <c r="P669" s="173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</row>
    <row r="670" spans="1:26" ht="15.75" customHeight="1">
      <c r="A670" s="125"/>
      <c r="B670" s="125"/>
      <c r="C670" s="125"/>
      <c r="D670" s="125"/>
      <c r="E670" s="125"/>
      <c r="F670" s="126"/>
      <c r="G670" s="125"/>
      <c r="H670" s="125"/>
      <c r="I670" s="125"/>
      <c r="J670" s="125"/>
      <c r="K670" s="125"/>
      <c r="L670" s="125"/>
      <c r="M670" s="125"/>
      <c r="N670" s="129"/>
      <c r="O670" s="125"/>
      <c r="P670" s="173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</row>
    <row r="671" spans="1:26" ht="15.75" customHeight="1">
      <c r="A671" s="125"/>
      <c r="B671" s="125"/>
      <c r="C671" s="125"/>
      <c r="D671" s="125"/>
      <c r="E671" s="125"/>
      <c r="F671" s="126"/>
      <c r="G671" s="125"/>
      <c r="H671" s="125"/>
      <c r="I671" s="125"/>
      <c r="J671" s="125"/>
      <c r="K671" s="125"/>
      <c r="L671" s="125"/>
      <c r="M671" s="125"/>
      <c r="N671" s="129"/>
      <c r="O671" s="125"/>
      <c r="P671" s="173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</row>
    <row r="672" spans="1:26" ht="15.75" customHeight="1">
      <c r="A672" s="125"/>
      <c r="B672" s="125"/>
      <c r="C672" s="125"/>
      <c r="D672" s="125"/>
      <c r="E672" s="125"/>
      <c r="F672" s="126"/>
      <c r="G672" s="125"/>
      <c r="H672" s="125"/>
      <c r="I672" s="125"/>
      <c r="J672" s="125"/>
      <c r="K672" s="125"/>
      <c r="L672" s="125"/>
      <c r="M672" s="125"/>
      <c r="N672" s="129"/>
      <c r="O672" s="125"/>
      <c r="P672" s="173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</row>
    <row r="673" spans="1:26" ht="15.75" customHeight="1">
      <c r="A673" s="125"/>
      <c r="B673" s="125"/>
      <c r="C673" s="125"/>
      <c r="D673" s="125"/>
      <c r="E673" s="125"/>
      <c r="F673" s="126"/>
      <c r="G673" s="125"/>
      <c r="H673" s="125"/>
      <c r="I673" s="125"/>
      <c r="J673" s="125"/>
      <c r="K673" s="125"/>
      <c r="L673" s="125"/>
      <c r="M673" s="125"/>
      <c r="N673" s="129"/>
      <c r="O673" s="125"/>
      <c r="P673" s="173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</row>
    <row r="674" spans="1:26" ht="15.75" customHeight="1">
      <c r="A674" s="125"/>
      <c r="B674" s="125"/>
      <c r="C674" s="125"/>
      <c r="D674" s="125"/>
      <c r="E674" s="125"/>
      <c r="F674" s="126"/>
      <c r="G674" s="125"/>
      <c r="H674" s="125"/>
      <c r="I674" s="125"/>
      <c r="J674" s="125"/>
      <c r="K674" s="125"/>
      <c r="L674" s="125"/>
      <c r="M674" s="125"/>
      <c r="N674" s="129"/>
      <c r="O674" s="125"/>
      <c r="P674" s="173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</row>
    <row r="675" spans="1:26" ht="15.75" customHeight="1">
      <c r="A675" s="125"/>
      <c r="B675" s="125"/>
      <c r="C675" s="125"/>
      <c r="D675" s="125"/>
      <c r="E675" s="125"/>
      <c r="F675" s="126"/>
      <c r="G675" s="125"/>
      <c r="H675" s="125"/>
      <c r="I675" s="125"/>
      <c r="J675" s="125"/>
      <c r="K675" s="125"/>
      <c r="L675" s="125"/>
      <c r="M675" s="125"/>
      <c r="N675" s="129"/>
      <c r="O675" s="125"/>
      <c r="P675" s="173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</row>
    <row r="676" spans="1:26" ht="15.75" customHeight="1">
      <c r="A676" s="125"/>
      <c r="B676" s="125"/>
      <c r="C676" s="125"/>
      <c r="D676" s="125"/>
      <c r="E676" s="125"/>
      <c r="F676" s="126"/>
      <c r="G676" s="125"/>
      <c r="H676" s="125"/>
      <c r="I676" s="125"/>
      <c r="J676" s="125"/>
      <c r="K676" s="125"/>
      <c r="L676" s="125"/>
      <c r="M676" s="125"/>
      <c r="N676" s="129"/>
      <c r="O676" s="125"/>
      <c r="P676" s="173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</row>
    <row r="677" spans="1:26" ht="15.75" customHeight="1">
      <c r="A677" s="125"/>
      <c r="B677" s="125"/>
      <c r="C677" s="125"/>
      <c r="D677" s="125"/>
      <c r="E677" s="125"/>
      <c r="F677" s="126"/>
      <c r="G677" s="125"/>
      <c r="H677" s="125"/>
      <c r="I677" s="125"/>
      <c r="J677" s="125"/>
      <c r="K677" s="125"/>
      <c r="L677" s="125"/>
      <c r="M677" s="125"/>
      <c r="N677" s="129"/>
      <c r="O677" s="125"/>
      <c r="P677" s="173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</row>
    <row r="678" spans="1:26" ht="15.75" customHeight="1">
      <c r="A678" s="125"/>
      <c r="B678" s="125"/>
      <c r="C678" s="125"/>
      <c r="D678" s="125"/>
      <c r="E678" s="125"/>
      <c r="F678" s="126"/>
      <c r="G678" s="125"/>
      <c r="H678" s="125"/>
      <c r="I678" s="125"/>
      <c r="J678" s="125"/>
      <c r="K678" s="125"/>
      <c r="L678" s="125"/>
      <c r="M678" s="125"/>
      <c r="N678" s="129"/>
      <c r="O678" s="125"/>
      <c r="P678" s="173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</row>
    <row r="679" spans="1:26" ht="15.75" customHeight="1">
      <c r="A679" s="125"/>
      <c r="B679" s="125"/>
      <c r="C679" s="125"/>
      <c r="D679" s="125"/>
      <c r="E679" s="125"/>
      <c r="F679" s="126"/>
      <c r="G679" s="125"/>
      <c r="H679" s="125"/>
      <c r="I679" s="125"/>
      <c r="J679" s="125"/>
      <c r="K679" s="125"/>
      <c r="L679" s="125"/>
      <c r="M679" s="125"/>
      <c r="N679" s="129"/>
      <c r="O679" s="125"/>
      <c r="P679" s="173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</row>
    <row r="680" spans="1:26" ht="15.75" customHeight="1">
      <c r="A680" s="125"/>
      <c r="B680" s="125"/>
      <c r="C680" s="125"/>
      <c r="D680" s="125"/>
      <c r="E680" s="125"/>
      <c r="F680" s="126"/>
      <c r="G680" s="125"/>
      <c r="H680" s="125"/>
      <c r="I680" s="125"/>
      <c r="J680" s="125"/>
      <c r="K680" s="125"/>
      <c r="L680" s="125"/>
      <c r="M680" s="125"/>
      <c r="N680" s="129"/>
      <c r="O680" s="125"/>
      <c r="P680" s="173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</row>
    <row r="681" spans="1:26" ht="15.75" customHeight="1">
      <c r="A681" s="125"/>
      <c r="B681" s="125"/>
      <c r="C681" s="125"/>
      <c r="D681" s="125"/>
      <c r="E681" s="125"/>
      <c r="F681" s="126"/>
      <c r="G681" s="125"/>
      <c r="H681" s="125"/>
      <c r="I681" s="125"/>
      <c r="J681" s="125"/>
      <c r="K681" s="125"/>
      <c r="L681" s="125"/>
      <c r="M681" s="125"/>
      <c r="N681" s="129"/>
      <c r="O681" s="125"/>
      <c r="P681" s="173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</row>
    <row r="682" spans="1:26" ht="15.75" customHeight="1">
      <c r="A682" s="125"/>
      <c r="B682" s="125"/>
      <c r="C682" s="125"/>
      <c r="D682" s="125"/>
      <c r="E682" s="125"/>
      <c r="F682" s="126"/>
      <c r="G682" s="125"/>
      <c r="H682" s="125"/>
      <c r="I682" s="125"/>
      <c r="J682" s="125"/>
      <c r="K682" s="125"/>
      <c r="L682" s="125"/>
      <c r="M682" s="125"/>
      <c r="N682" s="129"/>
      <c r="O682" s="125"/>
      <c r="P682" s="173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</row>
    <row r="683" spans="1:26" ht="15.75" customHeight="1">
      <c r="A683" s="125"/>
      <c r="B683" s="125"/>
      <c r="C683" s="125"/>
      <c r="D683" s="125"/>
      <c r="E683" s="125"/>
      <c r="F683" s="126"/>
      <c r="G683" s="125"/>
      <c r="H683" s="125"/>
      <c r="I683" s="125"/>
      <c r="J683" s="125"/>
      <c r="K683" s="125"/>
      <c r="L683" s="125"/>
      <c r="M683" s="125"/>
      <c r="N683" s="129"/>
      <c r="O683" s="125"/>
      <c r="P683" s="173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</row>
    <row r="684" spans="1:26" ht="15.75" customHeight="1">
      <c r="A684" s="125"/>
      <c r="B684" s="125"/>
      <c r="C684" s="125"/>
      <c r="D684" s="125"/>
      <c r="E684" s="125"/>
      <c r="F684" s="126"/>
      <c r="G684" s="125"/>
      <c r="H684" s="125"/>
      <c r="I684" s="125"/>
      <c r="J684" s="125"/>
      <c r="K684" s="125"/>
      <c r="L684" s="125"/>
      <c r="M684" s="125"/>
      <c r="N684" s="129"/>
      <c r="O684" s="125"/>
      <c r="P684" s="173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</row>
    <row r="685" spans="1:26" ht="15.75" customHeight="1">
      <c r="A685" s="125"/>
      <c r="B685" s="125"/>
      <c r="C685" s="125"/>
      <c r="D685" s="125"/>
      <c r="E685" s="125"/>
      <c r="F685" s="126"/>
      <c r="G685" s="125"/>
      <c r="H685" s="125"/>
      <c r="I685" s="125"/>
      <c r="J685" s="125"/>
      <c r="K685" s="125"/>
      <c r="L685" s="125"/>
      <c r="M685" s="125"/>
      <c r="N685" s="129"/>
      <c r="O685" s="125"/>
      <c r="P685" s="173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</row>
    <row r="686" spans="1:26" ht="15.75" customHeight="1">
      <c r="A686" s="125"/>
      <c r="B686" s="125"/>
      <c r="C686" s="125"/>
      <c r="D686" s="125"/>
      <c r="E686" s="125"/>
      <c r="F686" s="126"/>
      <c r="G686" s="125"/>
      <c r="H686" s="125"/>
      <c r="I686" s="125"/>
      <c r="J686" s="125"/>
      <c r="K686" s="125"/>
      <c r="L686" s="125"/>
      <c r="M686" s="125"/>
      <c r="N686" s="129"/>
      <c r="O686" s="125"/>
      <c r="P686" s="173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</row>
    <row r="687" spans="1:26" ht="15.75" customHeight="1">
      <c r="A687" s="125"/>
      <c r="B687" s="125"/>
      <c r="C687" s="125"/>
      <c r="D687" s="125"/>
      <c r="E687" s="125"/>
      <c r="F687" s="126"/>
      <c r="G687" s="125"/>
      <c r="H687" s="125"/>
      <c r="I687" s="125"/>
      <c r="J687" s="125"/>
      <c r="K687" s="125"/>
      <c r="L687" s="125"/>
      <c r="M687" s="125"/>
      <c r="N687" s="129"/>
      <c r="O687" s="125"/>
      <c r="P687" s="173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</row>
    <row r="688" spans="1:26" ht="15.75" customHeight="1">
      <c r="A688" s="125"/>
      <c r="B688" s="125"/>
      <c r="C688" s="125"/>
      <c r="D688" s="125"/>
      <c r="E688" s="125"/>
      <c r="F688" s="126"/>
      <c r="G688" s="125"/>
      <c r="H688" s="125"/>
      <c r="I688" s="125"/>
      <c r="J688" s="125"/>
      <c r="K688" s="125"/>
      <c r="L688" s="125"/>
      <c r="M688" s="125"/>
      <c r="N688" s="129"/>
      <c r="O688" s="125"/>
      <c r="P688" s="173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</row>
    <row r="689" spans="1:26" ht="15.75" customHeight="1">
      <c r="A689" s="125"/>
      <c r="B689" s="125"/>
      <c r="C689" s="125"/>
      <c r="D689" s="125"/>
      <c r="E689" s="125"/>
      <c r="F689" s="126"/>
      <c r="G689" s="125"/>
      <c r="H689" s="125"/>
      <c r="I689" s="125"/>
      <c r="J689" s="125"/>
      <c r="K689" s="125"/>
      <c r="L689" s="125"/>
      <c r="M689" s="125"/>
      <c r="N689" s="129"/>
      <c r="O689" s="125"/>
      <c r="P689" s="173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</row>
    <row r="690" spans="1:26" ht="15.75" customHeight="1">
      <c r="A690" s="125"/>
      <c r="B690" s="125"/>
      <c r="C690" s="125"/>
      <c r="D690" s="125"/>
      <c r="E690" s="125"/>
      <c r="F690" s="126"/>
      <c r="G690" s="125"/>
      <c r="H690" s="125"/>
      <c r="I690" s="125"/>
      <c r="J690" s="125"/>
      <c r="K690" s="125"/>
      <c r="L690" s="125"/>
      <c r="M690" s="125"/>
      <c r="N690" s="129"/>
      <c r="O690" s="125"/>
      <c r="P690" s="173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</row>
    <row r="691" spans="1:26" ht="15.75" customHeight="1">
      <c r="A691" s="125"/>
      <c r="B691" s="125"/>
      <c r="C691" s="125"/>
      <c r="D691" s="125"/>
      <c r="E691" s="125"/>
      <c r="F691" s="126"/>
      <c r="G691" s="125"/>
      <c r="H691" s="125"/>
      <c r="I691" s="125"/>
      <c r="J691" s="125"/>
      <c r="K691" s="125"/>
      <c r="L691" s="125"/>
      <c r="M691" s="125"/>
      <c r="N691" s="129"/>
      <c r="O691" s="125"/>
      <c r="P691" s="173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</row>
    <row r="692" spans="1:26" ht="15.75" customHeight="1">
      <c r="A692" s="125"/>
      <c r="B692" s="125"/>
      <c r="C692" s="125"/>
      <c r="D692" s="125"/>
      <c r="E692" s="125"/>
      <c r="F692" s="126"/>
      <c r="G692" s="125"/>
      <c r="H692" s="125"/>
      <c r="I692" s="125"/>
      <c r="J692" s="125"/>
      <c r="K692" s="125"/>
      <c r="L692" s="125"/>
      <c r="M692" s="125"/>
      <c r="N692" s="129"/>
      <c r="O692" s="125"/>
      <c r="P692" s="173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</row>
    <row r="693" spans="1:26" ht="15.75" customHeight="1">
      <c r="A693" s="125"/>
      <c r="B693" s="125"/>
      <c r="C693" s="125"/>
      <c r="D693" s="125"/>
      <c r="E693" s="125"/>
      <c r="F693" s="126"/>
      <c r="G693" s="125"/>
      <c r="H693" s="125"/>
      <c r="I693" s="125"/>
      <c r="J693" s="125"/>
      <c r="K693" s="125"/>
      <c r="L693" s="125"/>
      <c r="M693" s="125"/>
      <c r="N693" s="129"/>
      <c r="O693" s="125"/>
      <c r="P693" s="173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</row>
    <row r="694" spans="1:26" ht="15.75" customHeight="1">
      <c r="A694" s="125"/>
      <c r="B694" s="125"/>
      <c r="C694" s="125"/>
      <c r="D694" s="125"/>
      <c r="E694" s="125"/>
      <c r="F694" s="126"/>
      <c r="G694" s="125"/>
      <c r="H694" s="125"/>
      <c r="I694" s="125"/>
      <c r="J694" s="125"/>
      <c r="K694" s="125"/>
      <c r="L694" s="125"/>
      <c r="M694" s="125"/>
      <c r="N694" s="129"/>
      <c r="O694" s="125"/>
      <c r="P694" s="173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</row>
    <row r="695" spans="1:26" ht="15.75" customHeight="1">
      <c r="A695" s="125"/>
      <c r="B695" s="125"/>
      <c r="C695" s="125"/>
      <c r="D695" s="125"/>
      <c r="E695" s="125"/>
      <c r="F695" s="126"/>
      <c r="G695" s="125"/>
      <c r="H695" s="125"/>
      <c r="I695" s="125"/>
      <c r="J695" s="125"/>
      <c r="K695" s="125"/>
      <c r="L695" s="125"/>
      <c r="M695" s="125"/>
      <c r="N695" s="129"/>
      <c r="O695" s="125"/>
      <c r="P695" s="173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</row>
    <row r="696" spans="1:26" ht="15.75" customHeight="1">
      <c r="A696" s="125"/>
      <c r="B696" s="125"/>
      <c r="C696" s="125"/>
      <c r="D696" s="125"/>
      <c r="E696" s="125"/>
      <c r="F696" s="126"/>
      <c r="G696" s="125"/>
      <c r="H696" s="125"/>
      <c r="I696" s="125"/>
      <c r="J696" s="125"/>
      <c r="K696" s="125"/>
      <c r="L696" s="125"/>
      <c r="M696" s="125"/>
      <c r="N696" s="129"/>
      <c r="O696" s="125"/>
      <c r="P696" s="173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</row>
    <row r="697" spans="1:26" ht="15.75" customHeight="1">
      <c r="A697" s="125"/>
      <c r="B697" s="125"/>
      <c r="C697" s="125"/>
      <c r="D697" s="125"/>
      <c r="E697" s="125"/>
      <c r="F697" s="126"/>
      <c r="G697" s="125"/>
      <c r="H697" s="125"/>
      <c r="I697" s="125"/>
      <c r="J697" s="125"/>
      <c r="K697" s="125"/>
      <c r="L697" s="125"/>
      <c r="M697" s="125"/>
      <c r="N697" s="129"/>
      <c r="O697" s="125"/>
      <c r="P697" s="173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</row>
    <row r="698" spans="1:26" ht="15.75" customHeight="1">
      <c r="A698" s="125"/>
      <c r="B698" s="125"/>
      <c r="C698" s="125"/>
      <c r="D698" s="125"/>
      <c r="E698" s="125"/>
      <c r="F698" s="126"/>
      <c r="G698" s="125"/>
      <c r="H698" s="125"/>
      <c r="I698" s="125"/>
      <c r="J698" s="125"/>
      <c r="K698" s="125"/>
      <c r="L698" s="125"/>
      <c r="M698" s="125"/>
      <c r="N698" s="129"/>
      <c r="O698" s="125"/>
      <c r="P698" s="173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</row>
    <row r="699" spans="1:26" ht="15.75" customHeight="1">
      <c r="A699" s="125"/>
      <c r="B699" s="125"/>
      <c r="C699" s="125"/>
      <c r="D699" s="125"/>
      <c r="E699" s="125"/>
      <c r="F699" s="126"/>
      <c r="G699" s="125"/>
      <c r="H699" s="125"/>
      <c r="I699" s="125"/>
      <c r="J699" s="125"/>
      <c r="K699" s="125"/>
      <c r="L699" s="125"/>
      <c r="M699" s="125"/>
      <c r="N699" s="129"/>
      <c r="O699" s="125"/>
      <c r="P699" s="173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</row>
    <row r="700" spans="1:26" ht="15.75" customHeight="1">
      <c r="A700" s="125"/>
      <c r="B700" s="125"/>
      <c r="C700" s="125"/>
      <c r="D700" s="125"/>
      <c r="E700" s="125"/>
      <c r="F700" s="126"/>
      <c r="G700" s="125"/>
      <c r="H700" s="125"/>
      <c r="I700" s="125"/>
      <c r="J700" s="125"/>
      <c r="K700" s="125"/>
      <c r="L700" s="125"/>
      <c r="M700" s="125"/>
      <c r="N700" s="129"/>
      <c r="O700" s="125"/>
      <c r="P700" s="173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</row>
    <row r="701" spans="1:26" ht="15.75" customHeight="1">
      <c r="A701" s="125"/>
      <c r="B701" s="125"/>
      <c r="C701" s="125"/>
      <c r="D701" s="125"/>
      <c r="E701" s="125"/>
      <c r="F701" s="126"/>
      <c r="G701" s="125"/>
      <c r="H701" s="125"/>
      <c r="I701" s="125"/>
      <c r="J701" s="125"/>
      <c r="K701" s="125"/>
      <c r="L701" s="125"/>
      <c r="M701" s="125"/>
      <c r="N701" s="129"/>
      <c r="O701" s="125"/>
      <c r="P701" s="173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</row>
    <row r="702" spans="1:26" ht="15.75" customHeight="1">
      <c r="A702" s="125"/>
      <c r="B702" s="125"/>
      <c r="C702" s="125"/>
      <c r="D702" s="125"/>
      <c r="E702" s="125"/>
      <c r="F702" s="126"/>
      <c r="G702" s="125"/>
      <c r="H702" s="125"/>
      <c r="I702" s="125"/>
      <c r="J702" s="125"/>
      <c r="K702" s="125"/>
      <c r="L702" s="125"/>
      <c r="M702" s="125"/>
      <c r="N702" s="129"/>
      <c r="O702" s="125"/>
      <c r="P702" s="173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</row>
    <row r="703" spans="1:26" ht="15.75" customHeight="1">
      <c r="A703" s="125"/>
      <c r="B703" s="125"/>
      <c r="C703" s="125"/>
      <c r="D703" s="125"/>
      <c r="E703" s="125"/>
      <c r="F703" s="126"/>
      <c r="G703" s="125"/>
      <c r="H703" s="125"/>
      <c r="I703" s="125"/>
      <c r="J703" s="125"/>
      <c r="K703" s="125"/>
      <c r="L703" s="125"/>
      <c r="M703" s="125"/>
      <c r="N703" s="129"/>
      <c r="O703" s="125"/>
      <c r="P703" s="173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</row>
    <row r="704" spans="1:26" ht="15.75" customHeight="1">
      <c r="A704" s="125"/>
      <c r="B704" s="125"/>
      <c r="C704" s="125"/>
      <c r="D704" s="125"/>
      <c r="E704" s="125"/>
      <c r="F704" s="126"/>
      <c r="G704" s="125"/>
      <c r="H704" s="125"/>
      <c r="I704" s="125"/>
      <c r="J704" s="125"/>
      <c r="K704" s="125"/>
      <c r="L704" s="125"/>
      <c r="M704" s="125"/>
      <c r="N704" s="129"/>
      <c r="O704" s="125"/>
      <c r="P704" s="173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</row>
    <row r="705" spans="1:26" ht="15.75" customHeight="1">
      <c r="A705" s="125"/>
      <c r="B705" s="125"/>
      <c r="C705" s="125"/>
      <c r="D705" s="125"/>
      <c r="E705" s="125"/>
      <c r="F705" s="126"/>
      <c r="G705" s="125"/>
      <c r="H705" s="125"/>
      <c r="I705" s="125"/>
      <c r="J705" s="125"/>
      <c r="K705" s="125"/>
      <c r="L705" s="125"/>
      <c r="M705" s="125"/>
      <c r="N705" s="129"/>
      <c r="O705" s="125"/>
      <c r="P705" s="173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</row>
    <row r="706" spans="1:26" ht="15.75" customHeight="1">
      <c r="A706" s="125"/>
      <c r="B706" s="125"/>
      <c r="C706" s="125"/>
      <c r="D706" s="125"/>
      <c r="E706" s="125"/>
      <c r="F706" s="126"/>
      <c r="G706" s="125"/>
      <c r="H706" s="125"/>
      <c r="I706" s="125"/>
      <c r="J706" s="125"/>
      <c r="K706" s="125"/>
      <c r="L706" s="125"/>
      <c r="M706" s="125"/>
      <c r="N706" s="129"/>
      <c r="O706" s="125"/>
      <c r="P706" s="173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</row>
    <row r="707" spans="1:26" ht="15.75" customHeight="1">
      <c r="A707" s="125"/>
      <c r="B707" s="125"/>
      <c r="C707" s="125"/>
      <c r="D707" s="125"/>
      <c r="E707" s="125"/>
      <c r="F707" s="126"/>
      <c r="G707" s="125"/>
      <c r="H707" s="125"/>
      <c r="I707" s="125"/>
      <c r="J707" s="125"/>
      <c r="K707" s="125"/>
      <c r="L707" s="125"/>
      <c r="M707" s="125"/>
      <c r="N707" s="129"/>
      <c r="O707" s="125"/>
      <c r="P707" s="173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</row>
    <row r="708" spans="1:26" ht="15.75" customHeight="1">
      <c r="A708" s="125"/>
      <c r="B708" s="125"/>
      <c r="C708" s="125"/>
      <c r="D708" s="125"/>
      <c r="E708" s="125"/>
      <c r="F708" s="126"/>
      <c r="G708" s="125"/>
      <c r="H708" s="125"/>
      <c r="I708" s="125"/>
      <c r="J708" s="125"/>
      <c r="K708" s="125"/>
      <c r="L708" s="125"/>
      <c r="M708" s="125"/>
      <c r="N708" s="129"/>
      <c r="O708" s="125"/>
      <c r="P708" s="173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</row>
    <row r="709" spans="1:26" ht="15.75" customHeight="1">
      <c r="A709" s="125"/>
      <c r="B709" s="125"/>
      <c r="C709" s="125"/>
      <c r="D709" s="125"/>
      <c r="E709" s="125"/>
      <c r="F709" s="126"/>
      <c r="G709" s="125"/>
      <c r="H709" s="125"/>
      <c r="I709" s="125"/>
      <c r="J709" s="125"/>
      <c r="K709" s="125"/>
      <c r="L709" s="125"/>
      <c r="M709" s="125"/>
      <c r="N709" s="129"/>
      <c r="O709" s="125"/>
      <c r="P709" s="173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</row>
    <row r="710" spans="1:26" ht="15.75" customHeight="1">
      <c r="A710" s="125"/>
      <c r="B710" s="125"/>
      <c r="C710" s="125"/>
      <c r="D710" s="125"/>
      <c r="E710" s="125"/>
      <c r="F710" s="126"/>
      <c r="G710" s="125"/>
      <c r="H710" s="125"/>
      <c r="I710" s="125"/>
      <c r="J710" s="125"/>
      <c r="K710" s="125"/>
      <c r="L710" s="125"/>
      <c r="M710" s="125"/>
      <c r="N710" s="129"/>
      <c r="O710" s="125"/>
      <c r="P710" s="173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</row>
    <row r="711" spans="1:26" ht="15.75" customHeight="1">
      <c r="A711" s="125"/>
      <c r="B711" s="125"/>
      <c r="C711" s="125"/>
      <c r="D711" s="125"/>
      <c r="E711" s="125"/>
      <c r="F711" s="126"/>
      <c r="G711" s="125"/>
      <c r="H711" s="125"/>
      <c r="I711" s="125"/>
      <c r="J711" s="125"/>
      <c r="K711" s="125"/>
      <c r="L711" s="125"/>
      <c r="M711" s="125"/>
      <c r="N711" s="129"/>
      <c r="O711" s="125"/>
      <c r="P711" s="173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</row>
    <row r="712" spans="1:26" ht="15.75" customHeight="1">
      <c r="A712" s="125"/>
      <c r="B712" s="125"/>
      <c r="C712" s="125"/>
      <c r="D712" s="125"/>
      <c r="E712" s="125"/>
      <c r="F712" s="126"/>
      <c r="G712" s="125"/>
      <c r="H712" s="125"/>
      <c r="I712" s="125"/>
      <c r="J712" s="125"/>
      <c r="K712" s="125"/>
      <c r="L712" s="125"/>
      <c r="M712" s="125"/>
      <c r="N712" s="129"/>
      <c r="O712" s="125"/>
      <c r="P712" s="173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</row>
    <row r="713" spans="1:26" ht="15.75" customHeight="1">
      <c r="A713" s="125"/>
      <c r="B713" s="125"/>
      <c r="C713" s="125"/>
      <c r="D713" s="125"/>
      <c r="E713" s="125"/>
      <c r="F713" s="126"/>
      <c r="G713" s="125"/>
      <c r="H713" s="125"/>
      <c r="I713" s="125"/>
      <c r="J713" s="125"/>
      <c r="K713" s="125"/>
      <c r="L713" s="125"/>
      <c r="M713" s="125"/>
      <c r="N713" s="129"/>
      <c r="O713" s="125"/>
      <c r="P713" s="173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</row>
    <row r="714" spans="1:26" ht="15.75" customHeight="1">
      <c r="A714" s="125"/>
      <c r="B714" s="125"/>
      <c r="C714" s="125"/>
      <c r="D714" s="125"/>
      <c r="E714" s="125"/>
      <c r="F714" s="126"/>
      <c r="G714" s="125"/>
      <c r="H714" s="125"/>
      <c r="I714" s="125"/>
      <c r="J714" s="125"/>
      <c r="K714" s="125"/>
      <c r="L714" s="125"/>
      <c r="M714" s="125"/>
      <c r="N714" s="129"/>
      <c r="O714" s="125"/>
      <c r="P714" s="173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</row>
    <row r="715" spans="1:26" ht="15.75" customHeight="1">
      <c r="A715" s="125"/>
      <c r="B715" s="125"/>
      <c r="C715" s="125"/>
      <c r="D715" s="125"/>
      <c r="E715" s="125"/>
      <c r="F715" s="126"/>
      <c r="G715" s="125"/>
      <c r="H715" s="125"/>
      <c r="I715" s="125"/>
      <c r="J715" s="125"/>
      <c r="K715" s="125"/>
      <c r="L715" s="125"/>
      <c r="M715" s="125"/>
      <c r="N715" s="129"/>
      <c r="O715" s="125"/>
      <c r="P715" s="173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</row>
    <row r="716" spans="1:26" ht="15.75" customHeight="1">
      <c r="A716" s="125"/>
      <c r="B716" s="125"/>
      <c r="C716" s="125"/>
      <c r="D716" s="125"/>
      <c r="E716" s="125"/>
      <c r="F716" s="126"/>
      <c r="G716" s="125"/>
      <c r="H716" s="125"/>
      <c r="I716" s="125"/>
      <c r="J716" s="125"/>
      <c r="K716" s="125"/>
      <c r="L716" s="125"/>
      <c r="M716" s="125"/>
      <c r="N716" s="129"/>
      <c r="O716" s="125"/>
      <c r="P716" s="173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</row>
    <row r="717" spans="1:26" ht="15.75" customHeight="1">
      <c r="A717" s="125"/>
      <c r="B717" s="125"/>
      <c r="C717" s="125"/>
      <c r="D717" s="125"/>
      <c r="E717" s="125"/>
      <c r="F717" s="126"/>
      <c r="G717" s="125"/>
      <c r="H717" s="125"/>
      <c r="I717" s="125"/>
      <c r="J717" s="125"/>
      <c r="K717" s="125"/>
      <c r="L717" s="125"/>
      <c r="M717" s="125"/>
      <c r="N717" s="129"/>
      <c r="O717" s="125"/>
      <c r="P717" s="173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</row>
    <row r="718" spans="1:26" ht="15.75" customHeight="1">
      <c r="A718" s="125"/>
      <c r="B718" s="125"/>
      <c r="C718" s="125"/>
      <c r="D718" s="125"/>
      <c r="E718" s="125"/>
      <c r="F718" s="126"/>
      <c r="G718" s="125"/>
      <c r="H718" s="125"/>
      <c r="I718" s="125"/>
      <c r="J718" s="125"/>
      <c r="K718" s="125"/>
      <c r="L718" s="125"/>
      <c r="M718" s="125"/>
      <c r="N718" s="129"/>
      <c r="O718" s="125"/>
      <c r="P718" s="173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</row>
    <row r="719" spans="1:26" ht="15.75" customHeight="1">
      <c r="A719" s="125"/>
      <c r="B719" s="125"/>
      <c r="C719" s="125"/>
      <c r="D719" s="125"/>
      <c r="E719" s="125"/>
      <c r="F719" s="126"/>
      <c r="G719" s="125"/>
      <c r="H719" s="125"/>
      <c r="I719" s="125"/>
      <c r="J719" s="125"/>
      <c r="K719" s="125"/>
      <c r="L719" s="125"/>
      <c r="M719" s="125"/>
      <c r="N719" s="129"/>
      <c r="O719" s="125"/>
      <c r="P719" s="173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</row>
    <row r="720" spans="1:26" ht="15.75" customHeight="1">
      <c r="A720" s="125"/>
      <c r="B720" s="125"/>
      <c r="C720" s="125"/>
      <c r="D720" s="125"/>
      <c r="E720" s="125"/>
      <c r="F720" s="126"/>
      <c r="G720" s="125"/>
      <c r="H720" s="125"/>
      <c r="I720" s="125"/>
      <c r="J720" s="125"/>
      <c r="K720" s="125"/>
      <c r="L720" s="125"/>
      <c r="M720" s="125"/>
      <c r="N720" s="129"/>
      <c r="O720" s="125"/>
      <c r="P720" s="173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</row>
    <row r="721" spans="1:26" ht="15.75" customHeight="1">
      <c r="A721" s="125"/>
      <c r="B721" s="125"/>
      <c r="C721" s="125"/>
      <c r="D721" s="125"/>
      <c r="E721" s="125"/>
      <c r="F721" s="126"/>
      <c r="G721" s="125"/>
      <c r="H721" s="125"/>
      <c r="I721" s="125"/>
      <c r="J721" s="125"/>
      <c r="K721" s="125"/>
      <c r="L721" s="125"/>
      <c r="M721" s="125"/>
      <c r="N721" s="129"/>
      <c r="O721" s="125"/>
      <c r="P721" s="173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</row>
    <row r="722" spans="1:26" ht="15.75" customHeight="1">
      <c r="A722" s="125"/>
      <c r="B722" s="125"/>
      <c r="C722" s="125"/>
      <c r="D722" s="125"/>
      <c r="E722" s="125"/>
      <c r="F722" s="126"/>
      <c r="G722" s="125"/>
      <c r="H722" s="125"/>
      <c r="I722" s="125"/>
      <c r="J722" s="125"/>
      <c r="K722" s="125"/>
      <c r="L722" s="125"/>
      <c r="M722" s="125"/>
      <c r="N722" s="129"/>
      <c r="O722" s="125"/>
      <c r="P722" s="173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</row>
    <row r="723" spans="1:26" ht="15.75" customHeight="1">
      <c r="A723" s="125"/>
      <c r="B723" s="125"/>
      <c r="C723" s="125"/>
      <c r="D723" s="125"/>
      <c r="E723" s="125"/>
      <c r="F723" s="126"/>
      <c r="G723" s="125"/>
      <c r="H723" s="125"/>
      <c r="I723" s="125"/>
      <c r="J723" s="125"/>
      <c r="K723" s="125"/>
      <c r="L723" s="125"/>
      <c r="M723" s="125"/>
      <c r="N723" s="129"/>
      <c r="O723" s="125"/>
      <c r="P723" s="173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</row>
    <row r="724" spans="1:26" ht="15.75" customHeight="1">
      <c r="A724" s="125"/>
      <c r="B724" s="125"/>
      <c r="C724" s="125"/>
      <c r="D724" s="125"/>
      <c r="E724" s="125"/>
      <c r="F724" s="126"/>
      <c r="G724" s="125"/>
      <c r="H724" s="125"/>
      <c r="I724" s="125"/>
      <c r="J724" s="125"/>
      <c r="K724" s="125"/>
      <c r="L724" s="125"/>
      <c r="M724" s="125"/>
      <c r="N724" s="129"/>
      <c r="O724" s="125"/>
      <c r="P724" s="173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</row>
    <row r="725" spans="1:26" ht="15.75" customHeight="1">
      <c r="A725" s="125"/>
      <c r="B725" s="125"/>
      <c r="C725" s="125"/>
      <c r="D725" s="125"/>
      <c r="E725" s="125"/>
      <c r="F725" s="126"/>
      <c r="G725" s="125"/>
      <c r="H725" s="125"/>
      <c r="I725" s="125"/>
      <c r="J725" s="125"/>
      <c r="K725" s="125"/>
      <c r="L725" s="125"/>
      <c r="M725" s="125"/>
      <c r="N725" s="129"/>
      <c r="O725" s="125"/>
      <c r="P725" s="173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</row>
    <row r="726" spans="1:26" ht="15.75" customHeight="1">
      <c r="A726" s="125"/>
      <c r="B726" s="125"/>
      <c r="C726" s="125"/>
      <c r="D726" s="125"/>
      <c r="E726" s="125"/>
      <c r="F726" s="126"/>
      <c r="G726" s="125"/>
      <c r="H726" s="125"/>
      <c r="I726" s="125"/>
      <c r="J726" s="125"/>
      <c r="K726" s="125"/>
      <c r="L726" s="125"/>
      <c r="M726" s="125"/>
      <c r="N726" s="129"/>
      <c r="O726" s="125"/>
      <c r="P726" s="173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</row>
    <row r="727" spans="1:26" ht="15.75" customHeight="1">
      <c r="A727" s="125"/>
      <c r="B727" s="125"/>
      <c r="C727" s="125"/>
      <c r="D727" s="125"/>
      <c r="E727" s="125"/>
      <c r="F727" s="126"/>
      <c r="G727" s="125"/>
      <c r="H727" s="125"/>
      <c r="I727" s="125"/>
      <c r="J727" s="125"/>
      <c r="K727" s="125"/>
      <c r="L727" s="125"/>
      <c r="M727" s="125"/>
      <c r="N727" s="129"/>
      <c r="O727" s="125"/>
      <c r="P727" s="173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</row>
    <row r="728" spans="1:26" ht="15.75" customHeight="1">
      <c r="A728" s="125"/>
      <c r="B728" s="125"/>
      <c r="C728" s="125"/>
      <c r="D728" s="125"/>
      <c r="E728" s="125"/>
      <c r="F728" s="126"/>
      <c r="G728" s="125"/>
      <c r="H728" s="125"/>
      <c r="I728" s="125"/>
      <c r="J728" s="125"/>
      <c r="K728" s="125"/>
      <c r="L728" s="125"/>
      <c r="M728" s="125"/>
      <c r="N728" s="129"/>
      <c r="O728" s="125"/>
      <c r="P728" s="173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</row>
    <row r="729" spans="1:26" ht="15.75" customHeight="1">
      <c r="A729" s="125"/>
      <c r="B729" s="125"/>
      <c r="C729" s="125"/>
      <c r="D729" s="125"/>
      <c r="E729" s="125"/>
      <c r="F729" s="126"/>
      <c r="G729" s="125"/>
      <c r="H729" s="125"/>
      <c r="I729" s="125"/>
      <c r="J729" s="125"/>
      <c r="K729" s="125"/>
      <c r="L729" s="125"/>
      <c r="M729" s="125"/>
      <c r="N729" s="129"/>
      <c r="O729" s="125"/>
      <c r="P729" s="173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</row>
    <row r="730" spans="1:26" ht="15.75" customHeight="1">
      <c r="A730" s="125"/>
      <c r="B730" s="125"/>
      <c r="C730" s="125"/>
      <c r="D730" s="125"/>
      <c r="E730" s="125"/>
      <c r="F730" s="126"/>
      <c r="G730" s="125"/>
      <c r="H730" s="125"/>
      <c r="I730" s="125"/>
      <c r="J730" s="125"/>
      <c r="K730" s="125"/>
      <c r="L730" s="125"/>
      <c r="M730" s="125"/>
      <c r="N730" s="129"/>
      <c r="O730" s="125"/>
      <c r="P730" s="173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</row>
    <row r="731" spans="1:26" ht="15.75" customHeight="1">
      <c r="A731" s="125"/>
      <c r="B731" s="125"/>
      <c r="C731" s="125"/>
      <c r="D731" s="125"/>
      <c r="E731" s="125"/>
      <c r="F731" s="126"/>
      <c r="G731" s="125"/>
      <c r="H731" s="125"/>
      <c r="I731" s="125"/>
      <c r="J731" s="125"/>
      <c r="K731" s="125"/>
      <c r="L731" s="125"/>
      <c r="M731" s="125"/>
      <c r="N731" s="129"/>
      <c r="O731" s="125"/>
      <c r="P731" s="173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</row>
    <row r="732" spans="1:26" ht="15.75" customHeight="1">
      <c r="A732" s="125"/>
      <c r="B732" s="125"/>
      <c r="C732" s="125"/>
      <c r="D732" s="125"/>
      <c r="E732" s="125"/>
      <c r="F732" s="126"/>
      <c r="G732" s="125"/>
      <c r="H732" s="125"/>
      <c r="I732" s="125"/>
      <c r="J732" s="125"/>
      <c r="K732" s="125"/>
      <c r="L732" s="125"/>
      <c r="M732" s="125"/>
      <c r="N732" s="129"/>
      <c r="O732" s="125"/>
      <c r="P732" s="173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</row>
    <row r="733" spans="1:26" ht="15.75" customHeight="1">
      <c r="A733" s="125"/>
      <c r="B733" s="125"/>
      <c r="C733" s="125"/>
      <c r="D733" s="125"/>
      <c r="E733" s="125"/>
      <c r="F733" s="126"/>
      <c r="G733" s="125"/>
      <c r="H733" s="125"/>
      <c r="I733" s="125"/>
      <c r="J733" s="125"/>
      <c r="K733" s="125"/>
      <c r="L733" s="125"/>
      <c r="M733" s="125"/>
      <c r="N733" s="129"/>
      <c r="O733" s="125"/>
      <c r="P733" s="173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</row>
    <row r="734" spans="1:26" ht="15.75" customHeight="1">
      <c r="A734" s="125"/>
      <c r="B734" s="125"/>
      <c r="C734" s="125"/>
      <c r="D734" s="125"/>
      <c r="E734" s="125"/>
      <c r="F734" s="126"/>
      <c r="G734" s="125"/>
      <c r="H734" s="125"/>
      <c r="I734" s="125"/>
      <c r="J734" s="125"/>
      <c r="K734" s="125"/>
      <c r="L734" s="125"/>
      <c r="M734" s="125"/>
      <c r="N734" s="129"/>
      <c r="O734" s="125"/>
      <c r="P734" s="173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</row>
    <row r="735" spans="1:26" ht="15.75" customHeight="1">
      <c r="A735" s="125"/>
      <c r="B735" s="125"/>
      <c r="C735" s="125"/>
      <c r="D735" s="125"/>
      <c r="E735" s="125"/>
      <c r="F735" s="126"/>
      <c r="G735" s="125"/>
      <c r="H735" s="125"/>
      <c r="I735" s="125"/>
      <c r="J735" s="125"/>
      <c r="K735" s="125"/>
      <c r="L735" s="125"/>
      <c r="M735" s="125"/>
      <c r="N735" s="129"/>
      <c r="O735" s="125"/>
      <c r="P735" s="173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</row>
    <row r="736" spans="1:26" ht="15.75" customHeight="1">
      <c r="A736" s="125"/>
      <c r="B736" s="125"/>
      <c r="C736" s="125"/>
      <c r="D736" s="125"/>
      <c r="E736" s="125"/>
      <c r="F736" s="126"/>
      <c r="G736" s="125"/>
      <c r="H736" s="125"/>
      <c r="I736" s="125"/>
      <c r="J736" s="125"/>
      <c r="K736" s="125"/>
      <c r="L736" s="125"/>
      <c r="M736" s="125"/>
      <c r="N736" s="129"/>
      <c r="O736" s="125"/>
      <c r="P736" s="173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</row>
    <row r="737" spans="1:26" ht="15.75" customHeight="1">
      <c r="A737" s="125"/>
      <c r="B737" s="125"/>
      <c r="C737" s="125"/>
      <c r="D737" s="125"/>
      <c r="E737" s="125"/>
      <c r="F737" s="126"/>
      <c r="G737" s="125"/>
      <c r="H737" s="125"/>
      <c r="I737" s="125"/>
      <c r="J737" s="125"/>
      <c r="K737" s="125"/>
      <c r="L737" s="125"/>
      <c r="M737" s="125"/>
      <c r="N737" s="129"/>
      <c r="O737" s="125"/>
      <c r="P737" s="173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</row>
    <row r="738" spans="1:26" ht="15.75" customHeight="1">
      <c r="A738" s="125"/>
      <c r="B738" s="125"/>
      <c r="C738" s="125"/>
      <c r="D738" s="125"/>
      <c r="E738" s="125"/>
      <c r="F738" s="126"/>
      <c r="G738" s="125"/>
      <c r="H738" s="125"/>
      <c r="I738" s="125"/>
      <c r="J738" s="125"/>
      <c r="K738" s="125"/>
      <c r="L738" s="125"/>
      <c r="M738" s="125"/>
      <c r="N738" s="129"/>
      <c r="O738" s="125"/>
      <c r="P738" s="173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</row>
    <row r="739" spans="1:26" ht="15.75" customHeight="1">
      <c r="A739" s="125"/>
      <c r="B739" s="125"/>
      <c r="C739" s="125"/>
      <c r="D739" s="125"/>
      <c r="E739" s="125"/>
      <c r="F739" s="126"/>
      <c r="G739" s="125"/>
      <c r="H739" s="125"/>
      <c r="I739" s="125"/>
      <c r="J739" s="125"/>
      <c r="K739" s="125"/>
      <c r="L739" s="125"/>
      <c r="M739" s="125"/>
      <c r="N739" s="129"/>
      <c r="O739" s="125"/>
      <c r="P739" s="173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</row>
    <row r="740" spans="1:26" ht="15.75" customHeight="1">
      <c r="A740" s="125"/>
      <c r="B740" s="125"/>
      <c r="C740" s="125"/>
      <c r="D740" s="125"/>
      <c r="E740" s="125"/>
      <c r="F740" s="126"/>
      <c r="G740" s="125"/>
      <c r="H740" s="125"/>
      <c r="I740" s="125"/>
      <c r="J740" s="125"/>
      <c r="K740" s="125"/>
      <c r="L740" s="125"/>
      <c r="M740" s="125"/>
      <c r="N740" s="129"/>
      <c r="O740" s="125"/>
      <c r="P740" s="173"/>
      <c r="Q740" s="125"/>
      <c r="R740" s="125"/>
      <c r="S740" s="125"/>
      <c r="T740" s="125"/>
      <c r="U740" s="125"/>
      <c r="V740" s="125"/>
      <c r="W740" s="125"/>
      <c r="X740" s="125"/>
      <c r="Y740" s="125"/>
      <c r="Z740" s="125"/>
    </row>
    <row r="741" spans="1:26" ht="15.75" customHeight="1">
      <c r="A741" s="125"/>
      <c r="B741" s="125"/>
      <c r="C741" s="125"/>
      <c r="D741" s="125"/>
      <c r="E741" s="125"/>
      <c r="F741" s="126"/>
      <c r="G741" s="125"/>
      <c r="H741" s="125"/>
      <c r="I741" s="125"/>
      <c r="J741" s="125"/>
      <c r="K741" s="125"/>
      <c r="L741" s="125"/>
      <c r="M741" s="125"/>
      <c r="N741" s="129"/>
      <c r="O741" s="125"/>
      <c r="P741" s="173"/>
      <c r="Q741" s="125"/>
      <c r="R741" s="125"/>
      <c r="S741" s="125"/>
      <c r="T741" s="125"/>
      <c r="U741" s="125"/>
      <c r="V741" s="125"/>
      <c r="W741" s="125"/>
      <c r="X741" s="125"/>
      <c r="Y741" s="125"/>
      <c r="Z741" s="125"/>
    </row>
    <row r="742" spans="1:26" ht="15.75" customHeight="1">
      <c r="A742" s="125"/>
      <c r="B742" s="125"/>
      <c r="C742" s="125"/>
      <c r="D742" s="125"/>
      <c r="E742" s="125"/>
      <c r="F742" s="126"/>
      <c r="G742" s="125"/>
      <c r="H742" s="125"/>
      <c r="I742" s="125"/>
      <c r="J742" s="125"/>
      <c r="K742" s="125"/>
      <c r="L742" s="125"/>
      <c r="M742" s="125"/>
      <c r="N742" s="129"/>
      <c r="O742" s="125"/>
      <c r="P742" s="173"/>
      <c r="Q742" s="125"/>
      <c r="R742" s="125"/>
      <c r="S742" s="125"/>
      <c r="T742" s="125"/>
      <c r="U742" s="125"/>
      <c r="V742" s="125"/>
      <c r="W742" s="125"/>
      <c r="X742" s="125"/>
      <c r="Y742" s="125"/>
      <c r="Z742" s="125"/>
    </row>
    <row r="743" spans="1:26" ht="15.75" customHeight="1">
      <c r="A743" s="125"/>
      <c r="B743" s="125"/>
      <c r="C743" s="125"/>
      <c r="D743" s="125"/>
      <c r="E743" s="125"/>
      <c r="F743" s="126"/>
      <c r="G743" s="125"/>
      <c r="H743" s="125"/>
      <c r="I743" s="125"/>
      <c r="J743" s="125"/>
      <c r="K743" s="125"/>
      <c r="L743" s="125"/>
      <c r="M743" s="125"/>
      <c r="N743" s="129"/>
      <c r="O743" s="125"/>
      <c r="P743" s="173"/>
      <c r="Q743" s="125"/>
      <c r="R743" s="125"/>
      <c r="S743" s="125"/>
      <c r="T743" s="125"/>
      <c r="U743" s="125"/>
      <c r="V743" s="125"/>
      <c r="W743" s="125"/>
      <c r="X743" s="125"/>
      <c r="Y743" s="125"/>
      <c r="Z743" s="125"/>
    </row>
    <row r="744" spans="1:26" ht="15.75" customHeight="1">
      <c r="A744" s="125"/>
      <c r="B744" s="125"/>
      <c r="C744" s="125"/>
      <c r="D744" s="125"/>
      <c r="E744" s="125"/>
      <c r="F744" s="126"/>
      <c r="G744" s="125"/>
      <c r="H744" s="125"/>
      <c r="I744" s="125"/>
      <c r="J744" s="125"/>
      <c r="K744" s="125"/>
      <c r="L744" s="125"/>
      <c r="M744" s="125"/>
      <c r="N744" s="129"/>
      <c r="O744" s="125"/>
      <c r="P744" s="173"/>
      <c r="Q744" s="125"/>
      <c r="R744" s="125"/>
      <c r="S744" s="125"/>
      <c r="T744" s="125"/>
      <c r="U744" s="125"/>
      <c r="V744" s="125"/>
      <c r="W744" s="125"/>
      <c r="X744" s="125"/>
      <c r="Y744" s="125"/>
      <c r="Z744" s="125"/>
    </row>
    <row r="745" spans="1:26" ht="15.75" customHeight="1">
      <c r="A745" s="125"/>
      <c r="B745" s="125"/>
      <c r="C745" s="125"/>
      <c r="D745" s="125"/>
      <c r="E745" s="125"/>
      <c r="F745" s="126"/>
      <c r="G745" s="125"/>
      <c r="H745" s="125"/>
      <c r="I745" s="125"/>
      <c r="J745" s="125"/>
      <c r="K745" s="125"/>
      <c r="L745" s="125"/>
      <c r="M745" s="125"/>
      <c r="N745" s="129"/>
      <c r="O745" s="125"/>
      <c r="P745" s="173"/>
      <c r="Q745" s="125"/>
      <c r="R745" s="125"/>
      <c r="S745" s="125"/>
      <c r="T745" s="125"/>
      <c r="U745" s="125"/>
      <c r="V745" s="125"/>
      <c r="W745" s="125"/>
      <c r="X745" s="125"/>
      <c r="Y745" s="125"/>
      <c r="Z745" s="125"/>
    </row>
    <row r="746" spans="1:26" ht="15.75" customHeight="1">
      <c r="A746" s="125"/>
      <c r="B746" s="125"/>
      <c r="C746" s="125"/>
      <c r="D746" s="125"/>
      <c r="E746" s="125"/>
      <c r="F746" s="126"/>
      <c r="G746" s="125"/>
      <c r="H746" s="125"/>
      <c r="I746" s="125"/>
      <c r="J746" s="125"/>
      <c r="K746" s="125"/>
      <c r="L746" s="125"/>
      <c r="M746" s="125"/>
      <c r="N746" s="129"/>
      <c r="O746" s="125"/>
      <c r="P746" s="173"/>
      <c r="Q746" s="125"/>
      <c r="R746" s="125"/>
      <c r="S746" s="125"/>
      <c r="T746" s="125"/>
      <c r="U746" s="125"/>
      <c r="V746" s="125"/>
      <c r="W746" s="125"/>
      <c r="X746" s="125"/>
      <c r="Y746" s="125"/>
      <c r="Z746" s="125"/>
    </row>
    <row r="747" spans="1:26" ht="15.75" customHeight="1">
      <c r="A747" s="125"/>
      <c r="B747" s="125"/>
      <c r="C747" s="125"/>
      <c r="D747" s="125"/>
      <c r="E747" s="125"/>
      <c r="F747" s="126"/>
      <c r="G747" s="125"/>
      <c r="H747" s="125"/>
      <c r="I747" s="125"/>
      <c r="J747" s="125"/>
      <c r="K747" s="125"/>
      <c r="L747" s="125"/>
      <c r="M747" s="125"/>
      <c r="N747" s="129"/>
      <c r="O747" s="125"/>
      <c r="P747" s="173"/>
      <c r="Q747" s="125"/>
      <c r="R747" s="125"/>
      <c r="S747" s="125"/>
      <c r="T747" s="125"/>
      <c r="U747" s="125"/>
      <c r="V747" s="125"/>
      <c r="W747" s="125"/>
      <c r="X747" s="125"/>
      <c r="Y747" s="125"/>
      <c r="Z747" s="125"/>
    </row>
    <row r="748" spans="1:26" ht="15.75" customHeight="1">
      <c r="A748" s="125"/>
      <c r="B748" s="125"/>
      <c r="C748" s="125"/>
      <c r="D748" s="125"/>
      <c r="E748" s="125"/>
      <c r="F748" s="126"/>
      <c r="G748" s="125"/>
      <c r="H748" s="125"/>
      <c r="I748" s="125"/>
      <c r="J748" s="125"/>
      <c r="K748" s="125"/>
      <c r="L748" s="125"/>
      <c r="M748" s="125"/>
      <c r="N748" s="129"/>
      <c r="O748" s="125"/>
      <c r="P748" s="173"/>
      <c r="Q748" s="125"/>
      <c r="R748" s="125"/>
      <c r="S748" s="125"/>
      <c r="T748" s="125"/>
      <c r="U748" s="125"/>
      <c r="V748" s="125"/>
      <c r="W748" s="125"/>
      <c r="X748" s="125"/>
      <c r="Y748" s="125"/>
      <c r="Z748" s="125"/>
    </row>
    <row r="749" spans="1:26" ht="15.75" customHeight="1">
      <c r="A749" s="125"/>
      <c r="B749" s="125"/>
      <c r="C749" s="125"/>
      <c r="D749" s="125"/>
      <c r="E749" s="125"/>
      <c r="F749" s="126"/>
      <c r="G749" s="125"/>
      <c r="H749" s="125"/>
      <c r="I749" s="125"/>
      <c r="J749" s="125"/>
      <c r="K749" s="125"/>
      <c r="L749" s="125"/>
      <c r="M749" s="125"/>
      <c r="N749" s="129"/>
      <c r="O749" s="125"/>
      <c r="P749" s="173"/>
      <c r="Q749" s="125"/>
      <c r="R749" s="125"/>
      <c r="S749" s="125"/>
      <c r="T749" s="125"/>
      <c r="U749" s="125"/>
      <c r="V749" s="125"/>
      <c r="W749" s="125"/>
      <c r="X749" s="125"/>
      <c r="Y749" s="125"/>
      <c r="Z749" s="125"/>
    </row>
    <row r="750" spans="1:26" ht="15.75" customHeight="1">
      <c r="A750" s="125"/>
      <c r="B750" s="125"/>
      <c r="C750" s="125"/>
      <c r="D750" s="125"/>
      <c r="E750" s="125"/>
      <c r="F750" s="126"/>
      <c r="G750" s="125"/>
      <c r="H750" s="125"/>
      <c r="I750" s="125"/>
      <c r="J750" s="125"/>
      <c r="K750" s="125"/>
      <c r="L750" s="125"/>
      <c r="M750" s="125"/>
      <c r="N750" s="129"/>
      <c r="O750" s="125"/>
      <c r="P750" s="173"/>
      <c r="Q750" s="125"/>
      <c r="R750" s="125"/>
      <c r="S750" s="125"/>
      <c r="T750" s="125"/>
      <c r="U750" s="125"/>
      <c r="V750" s="125"/>
      <c r="W750" s="125"/>
      <c r="X750" s="125"/>
      <c r="Y750" s="125"/>
      <c r="Z750" s="125"/>
    </row>
    <row r="751" spans="1:26" ht="15.75" customHeight="1">
      <c r="A751" s="125"/>
      <c r="B751" s="125"/>
      <c r="C751" s="125"/>
      <c r="D751" s="125"/>
      <c r="E751" s="125"/>
      <c r="F751" s="126"/>
      <c r="G751" s="125"/>
      <c r="H751" s="125"/>
      <c r="I751" s="125"/>
      <c r="J751" s="125"/>
      <c r="K751" s="125"/>
      <c r="L751" s="125"/>
      <c r="M751" s="125"/>
      <c r="N751" s="129"/>
      <c r="O751" s="125"/>
      <c r="P751" s="173"/>
      <c r="Q751" s="125"/>
      <c r="R751" s="125"/>
      <c r="S751" s="125"/>
      <c r="T751" s="125"/>
      <c r="U751" s="125"/>
      <c r="V751" s="125"/>
      <c r="W751" s="125"/>
      <c r="X751" s="125"/>
      <c r="Y751" s="125"/>
      <c r="Z751" s="125"/>
    </row>
    <row r="752" spans="1:26" ht="15.75" customHeight="1">
      <c r="A752" s="125"/>
      <c r="B752" s="125"/>
      <c r="C752" s="125"/>
      <c r="D752" s="125"/>
      <c r="E752" s="125"/>
      <c r="F752" s="126"/>
      <c r="G752" s="125"/>
      <c r="H752" s="125"/>
      <c r="I752" s="125"/>
      <c r="J752" s="125"/>
      <c r="K752" s="125"/>
      <c r="L752" s="125"/>
      <c r="M752" s="125"/>
      <c r="N752" s="129"/>
      <c r="O752" s="125"/>
      <c r="P752" s="173"/>
      <c r="Q752" s="125"/>
      <c r="R752" s="125"/>
      <c r="S752" s="125"/>
      <c r="T752" s="125"/>
      <c r="U752" s="125"/>
      <c r="V752" s="125"/>
      <c r="W752" s="125"/>
      <c r="X752" s="125"/>
      <c r="Y752" s="125"/>
      <c r="Z752" s="125"/>
    </row>
    <row r="753" spans="1:26" ht="15.75" customHeight="1">
      <c r="A753" s="125"/>
      <c r="B753" s="125"/>
      <c r="C753" s="125"/>
      <c r="D753" s="125"/>
      <c r="E753" s="125"/>
      <c r="F753" s="126"/>
      <c r="G753" s="125"/>
      <c r="H753" s="125"/>
      <c r="I753" s="125"/>
      <c r="J753" s="125"/>
      <c r="K753" s="125"/>
      <c r="L753" s="125"/>
      <c r="M753" s="125"/>
      <c r="N753" s="129"/>
      <c r="O753" s="125"/>
      <c r="P753" s="173"/>
      <c r="Q753" s="125"/>
      <c r="R753" s="125"/>
      <c r="S753" s="125"/>
      <c r="T753" s="125"/>
      <c r="U753" s="125"/>
      <c r="V753" s="125"/>
      <c r="W753" s="125"/>
      <c r="X753" s="125"/>
      <c r="Y753" s="125"/>
      <c r="Z753" s="125"/>
    </row>
    <row r="754" spans="1:26" ht="15.75" customHeight="1">
      <c r="A754" s="125"/>
      <c r="B754" s="125"/>
      <c r="C754" s="125"/>
      <c r="D754" s="125"/>
      <c r="E754" s="125"/>
      <c r="F754" s="126"/>
      <c r="G754" s="125"/>
      <c r="H754" s="125"/>
      <c r="I754" s="125"/>
      <c r="J754" s="125"/>
      <c r="K754" s="125"/>
      <c r="L754" s="125"/>
      <c r="M754" s="125"/>
      <c r="N754" s="129"/>
      <c r="O754" s="125"/>
      <c r="P754" s="173"/>
      <c r="Q754" s="125"/>
      <c r="R754" s="125"/>
      <c r="S754" s="125"/>
      <c r="T754" s="125"/>
      <c r="U754" s="125"/>
      <c r="V754" s="125"/>
      <c r="W754" s="125"/>
      <c r="X754" s="125"/>
      <c r="Y754" s="125"/>
      <c r="Z754" s="125"/>
    </row>
    <row r="755" spans="1:26" ht="15.75" customHeight="1">
      <c r="A755" s="125"/>
      <c r="B755" s="125"/>
      <c r="C755" s="125"/>
      <c r="D755" s="125"/>
      <c r="E755" s="125"/>
      <c r="F755" s="126"/>
      <c r="G755" s="125"/>
      <c r="H755" s="125"/>
      <c r="I755" s="125"/>
      <c r="J755" s="125"/>
      <c r="K755" s="125"/>
      <c r="L755" s="125"/>
      <c r="M755" s="125"/>
      <c r="N755" s="129"/>
      <c r="O755" s="125"/>
      <c r="P755" s="173"/>
      <c r="Q755" s="125"/>
      <c r="R755" s="125"/>
      <c r="S755" s="125"/>
      <c r="T755" s="125"/>
      <c r="U755" s="125"/>
      <c r="V755" s="125"/>
      <c r="W755" s="125"/>
      <c r="X755" s="125"/>
      <c r="Y755" s="125"/>
      <c r="Z755" s="125"/>
    </row>
    <row r="756" spans="1:26" ht="15.75" customHeight="1">
      <c r="A756" s="125"/>
      <c r="B756" s="125"/>
      <c r="C756" s="125"/>
      <c r="D756" s="125"/>
      <c r="E756" s="125"/>
      <c r="F756" s="126"/>
      <c r="G756" s="125"/>
      <c r="H756" s="125"/>
      <c r="I756" s="125"/>
      <c r="J756" s="125"/>
      <c r="K756" s="125"/>
      <c r="L756" s="125"/>
      <c r="M756" s="125"/>
      <c r="N756" s="129"/>
      <c r="O756" s="125"/>
      <c r="P756" s="173"/>
      <c r="Q756" s="125"/>
      <c r="R756" s="125"/>
      <c r="S756" s="125"/>
      <c r="T756" s="125"/>
      <c r="U756" s="125"/>
      <c r="V756" s="125"/>
      <c r="W756" s="125"/>
      <c r="X756" s="125"/>
      <c r="Y756" s="125"/>
      <c r="Z756" s="125"/>
    </row>
    <row r="757" spans="1:26" ht="15.75" customHeight="1">
      <c r="A757" s="125"/>
      <c r="B757" s="125"/>
      <c r="C757" s="125"/>
      <c r="D757" s="125"/>
      <c r="E757" s="125"/>
      <c r="F757" s="126"/>
      <c r="G757" s="125"/>
      <c r="H757" s="125"/>
      <c r="I757" s="125"/>
      <c r="J757" s="125"/>
      <c r="K757" s="125"/>
      <c r="L757" s="125"/>
      <c r="M757" s="125"/>
      <c r="N757" s="129"/>
      <c r="O757" s="125"/>
      <c r="P757" s="173"/>
      <c r="Q757" s="125"/>
      <c r="R757" s="125"/>
      <c r="S757" s="125"/>
      <c r="T757" s="125"/>
      <c r="U757" s="125"/>
      <c r="V757" s="125"/>
      <c r="W757" s="125"/>
      <c r="X757" s="125"/>
      <c r="Y757" s="125"/>
      <c r="Z757" s="125"/>
    </row>
    <row r="758" spans="1:26" ht="15.75" customHeight="1">
      <c r="A758" s="125"/>
      <c r="B758" s="125"/>
      <c r="C758" s="125"/>
      <c r="D758" s="125"/>
      <c r="E758" s="125"/>
      <c r="F758" s="126"/>
      <c r="G758" s="125"/>
      <c r="H758" s="125"/>
      <c r="I758" s="125"/>
      <c r="J758" s="125"/>
      <c r="K758" s="125"/>
      <c r="L758" s="125"/>
      <c r="M758" s="125"/>
      <c r="N758" s="129"/>
      <c r="O758" s="125"/>
      <c r="P758" s="173"/>
      <c r="Q758" s="125"/>
      <c r="R758" s="125"/>
      <c r="S758" s="125"/>
      <c r="T758" s="125"/>
      <c r="U758" s="125"/>
      <c r="V758" s="125"/>
      <c r="W758" s="125"/>
      <c r="X758" s="125"/>
      <c r="Y758" s="125"/>
      <c r="Z758" s="125"/>
    </row>
    <row r="759" spans="1:26" ht="15.75" customHeight="1">
      <c r="A759" s="125"/>
      <c r="B759" s="125"/>
      <c r="C759" s="125"/>
      <c r="D759" s="125"/>
      <c r="E759" s="125"/>
      <c r="F759" s="126"/>
      <c r="G759" s="125"/>
      <c r="H759" s="125"/>
      <c r="I759" s="125"/>
      <c r="J759" s="125"/>
      <c r="K759" s="125"/>
      <c r="L759" s="125"/>
      <c r="M759" s="125"/>
      <c r="N759" s="129"/>
      <c r="O759" s="125"/>
      <c r="P759" s="173"/>
      <c r="Q759" s="125"/>
      <c r="R759" s="125"/>
      <c r="S759" s="125"/>
      <c r="T759" s="125"/>
      <c r="U759" s="125"/>
      <c r="V759" s="125"/>
      <c r="W759" s="125"/>
      <c r="X759" s="125"/>
      <c r="Y759" s="125"/>
      <c r="Z759" s="125"/>
    </row>
    <row r="760" spans="1:26" ht="15.75" customHeight="1">
      <c r="A760" s="125"/>
      <c r="B760" s="125"/>
      <c r="C760" s="125"/>
      <c r="D760" s="125"/>
      <c r="E760" s="125"/>
      <c r="F760" s="126"/>
      <c r="G760" s="125"/>
      <c r="H760" s="125"/>
      <c r="I760" s="125"/>
      <c r="J760" s="125"/>
      <c r="K760" s="125"/>
      <c r="L760" s="125"/>
      <c r="M760" s="125"/>
      <c r="N760" s="129"/>
      <c r="O760" s="125"/>
      <c r="P760" s="173"/>
      <c r="Q760" s="125"/>
      <c r="R760" s="125"/>
      <c r="S760" s="125"/>
      <c r="T760" s="125"/>
      <c r="U760" s="125"/>
      <c r="V760" s="125"/>
      <c r="W760" s="125"/>
      <c r="X760" s="125"/>
      <c r="Y760" s="125"/>
      <c r="Z760" s="125"/>
    </row>
    <row r="761" spans="1:26" ht="15.75" customHeight="1">
      <c r="A761" s="125"/>
      <c r="B761" s="125"/>
      <c r="C761" s="125"/>
      <c r="D761" s="125"/>
      <c r="E761" s="125"/>
      <c r="F761" s="126"/>
      <c r="G761" s="125"/>
      <c r="H761" s="125"/>
      <c r="I761" s="125"/>
      <c r="J761" s="125"/>
      <c r="K761" s="125"/>
      <c r="L761" s="125"/>
      <c r="M761" s="125"/>
      <c r="N761" s="129"/>
      <c r="O761" s="125"/>
      <c r="P761" s="173"/>
      <c r="Q761" s="125"/>
      <c r="R761" s="125"/>
      <c r="S761" s="125"/>
      <c r="T761" s="125"/>
      <c r="U761" s="125"/>
      <c r="V761" s="125"/>
      <c r="W761" s="125"/>
      <c r="X761" s="125"/>
      <c r="Y761" s="125"/>
      <c r="Z761" s="125"/>
    </row>
    <row r="762" spans="1:26" ht="15.75" customHeight="1">
      <c r="A762" s="125"/>
      <c r="B762" s="125"/>
      <c r="C762" s="125"/>
      <c r="D762" s="125"/>
      <c r="E762" s="125"/>
      <c r="F762" s="126"/>
      <c r="G762" s="125"/>
      <c r="H762" s="125"/>
      <c r="I762" s="125"/>
      <c r="J762" s="125"/>
      <c r="K762" s="125"/>
      <c r="L762" s="125"/>
      <c r="M762" s="125"/>
      <c r="N762" s="129"/>
      <c r="O762" s="125"/>
      <c r="P762" s="173"/>
      <c r="Q762" s="125"/>
      <c r="R762" s="125"/>
      <c r="S762" s="125"/>
      <c r="T762" s="125"/>
      <c r="U762" s="125"/>
      <c r="V762" s="125"/>
      <c r="W762" s="125"/>
      <c r="X762" s="125"/>
      <c r="Y762" s="125"/>
      <c r="Z762" s="125"/>
    </row>
    <row r="763" spans="1:26" ht="15.75" customHeight="1">
      <c r="A763" s="125"/>
      <c r="B763" s="125"/>
      <c r="C763" s="125"/>
      <c r="D763" s="125"/>
      <c r="E763" s="125"/>
      <c r="F763" s="126"/>
      <c r="G763" s="125"/>
      <c r="H763" s="125"/>
      <c r="I763" s="125"/>
      <c r="J763" s="125"/>
      <c r="K763" s="125"/>
      <c r="L763" s="125"/>
      <c r="M763" s="125"/>
      <c r="N763" s="129"/>
      <c r="O763" s="125"/>
      <c r="P763" s="173"/>
      <c r="Q763" s="125"/>
      <c r="R763" s="125"/>
      <c r="S763" s="125"/>
      <c r="T763" s="125"/>
      <c r="U763" s="125"/>
      <c r="V763" s="125"/>
      <c r="W763" s="125"/>
      <c r="X763" s="125"/>
      <c r="Y763" s="125"/>
      <c r="Z763" s="125"/>
    </row>
    <row r="764" spans="1:26" ht="15.75" customHeight="1">
      <c r="A764" s="125"/>
      <c r="B764" s="125"/>
      <c r="C764" s="125"/>
      <c r="D764" s="125"/>
      <c r="E764" s="125"/>
      <c r="F764" s="126"/>
      <c r="G764" s="125"/>
      <c r="H764" s="125"/>
      <c r="I764" s="125"/>
      <c r="J764" s="125"/>
      <c r="K764" s="125"/>
      <c r="L764" s="125"/>
      <c r="M764" s="125"/>
      <c r="N764" s="129"/>
      <c r="O764" s="125"/>
      <c r="P764" s="173"/>
      <c r="Q764" s="125"/>
      <c r="R764" s="125"/>
      <c r="S764" s="125"/>
      <c r="T764" s="125"/>
      <c r="U764" s="125"/>
      <c r="V764" s="125"/>
      <c r="W764" s="125"/>
      <c r="X764" s="125"/>
      <c r="Y764" s="125"/>
      <c r="Z764" s="125"/>
    </row>
    <row r="765" spans="1:26" ht="15.75" customHeight="1">
      <c r="A765" s="125"/>
      <c r="B765" s="125"/>
      <c r="C765" s="125"/>
      <c r="D765" s="125"/>
      <c r="E765" s="125"/>
      <c r="F765" s="126"/>
      <c r="G765" s="125"/>
      <c r="H765" s="125"/>
      <c r="I765" s="125"/>
      <c r="J765" s="125"/>
      <c r="K765" s="125"/>
      <c r="L765" s="125"/>
      <c r="M765" s="125"/>
      <c r="N765" s="129"/>
      <c r="O765" s="125"/>
      <c r="P765" s="173"/>
      <c r="Q765" s="125"/>
      <c r="R765" s="125"/>
      <c r="S765" s="125"/>
      <c r="T765" s="125"/>
      <c r="U765" s="125"/>
      <c r="V765" s="125"/>
      <c r="W765" s="125"/>
      <c r="X765" s="125"/>
      <c r="Y765" s="125"/>
      <c r="Z765" s="125"/>
    </row>
    <row r="766" spans="1:26" ht="15.75" customHeight="1">
      <c r="A766" s="125"/>
      <c r="B766" s="125"/>
      <c r="C766" s="125"/>
      <c r="D766" s="125"/>
      <c r="E766" s="125"/>
      <c r="F766" s="126"/>
      <c r="G766" s="125"/>
      <c r="H766" s="125"/>
      <c r="I766" s="125"/>
      <c r="J766" s="125"/>
      <c r="K766" s="125"/>
      <c r="L766" s="125"/>
      <c r="M766" s="125"/>
      <c r="N766" s="129"/>
      <c r="O766" s="125"/>
      <c r="P766" s="173"/>
      <c r="Q766" s="125"/>
      <c r="R766" s="125"/>
      <c r="S766" s="125"/>
      <c r="T766" s="125"/>
      <c r="U766" s="125"/>
      <c r="V766" s="125"/>
      <c r="W766" s="125"/>
      <c r="X766" s="125"/>
      <c r="Y766" s="125"/>
      <c r="Z766" s="125"/>
    </row>
    <row r="767" spans="1:26" ht="15.75" customHeight="1">
      <c r="A767" s="125"/>
      <c r="B767" s="125"/>
      <c r="C767" s="125"/>
      <c r="D767" s="125"/>
      <c r="E767" s="125"/>
      <c r="F767" s="126"/>
      <c r="G767" s="125"/>
      <c r="H767" s="125"/>
      <c r="I767" s="125"/>
      <c r="J767" s="125"/>
      <c r="K767" s="125"/>
      <c r="L767" s="125"/>
      <c r="M767" s="125"/>
      <c r="N767" s="129"/>
      <c r="O767" s="125"/>
      <c r="P767" s="173"/>
      <c r="Q767" s="125"/>
      <c r="R767" s="125"/>
      <c r="S767" s="125"/>
      <c r="T767" s="125"/>
      <c r="U767" s="125"/>
      <c r="V767" s="125"/>
      <c r="W767" s="125"/>
      <c r="X767" s="125"/>
      <c r="Y767" s="125"/>
      <c r="Z767" s="125"/>
    </row>
    <row r="768" spans="1:26" ht="15.75" customHeight="1">
      <c r="A768" s="125"/>
      <c r="B768" s="125"/>
      <c r="C768" s="125"/>
      <c r="D768" s="125"/>
      <c r="E768" s="125"/>
      <c r="F768" s="126"/>
      <c r="G768" s="125"/>
      <c r="H768" s="125"/>
      <c r="I768" s="125"/>
      <c r="J768" s="125"/>
      <c r="K768" s="125"/>
      <c r="L768" s="125"/>
      <c r="M768" s="125"/>
      <c r="N768" s="129"/>
      <c r="O768" s="125"/>
      <c r="P768" s="173"/>
      <c r="Q768" s="125"/>
      <c r="R768" s="125"/>
      <c r="S768" s="125"/>
      <c r="T768" s="125"/>
      <c r="U768" s="125"/>
      <c r="V768" s="125"/>
      <c r="W768" s="125"/>
      <c r="X768" s="125"/>
      <c r="Y768" s="125"/>
      <c r="Z768" s="125"/>
    </row>
    <row r="769" spans="1:26" ht="15.75" customHeight="1">
      <c r="A769" s="125"/>
      <c r="B769" s="125"/>
      <c r="C769" s="125"/>
      <c r="D769" s="125"/>
      <c r="E769" s="125"/>
      <c r="F769" s="126"/>
      <c r="G769" s="125"/>
      <c r="H769" s="125"/>
      <c r="I769" s="125"/>
      <c r="J769" s="125"/>
      <c r="K769" s="125"/>
      <c r="L769" s="125"/>
      <c r="M769" s="125"/>
      <c r="N769" s="129"/>
      <c r="O769" s="125"/>
      <c r="P769" s="173"/>
      <c r="Q769" s="125"/>
      <c r="R769" s="125"/>
      <c r="S769" s="125"/>
      <c r="T769" s="125"/>
      <c r="U769" s="125"/>
      <c r="V769" s="125"/>
      <c r="W769" s="125"/>
      <c r="X769" s="125"/>
      <c r="Y769" s="125"/>
      <c r="Z769" s="125"/>
    </row>
    <row r="770" spans="1:26" ht="15.75" customHeight="1">
      <c r="A770" s="125"/>
      <c r="B770" s="125"/>
      <c r="C770" s="125"/>
      <c r="D770" s="125"/>
      <c r="E770" s="125"/>
      <c r="F770" s="126"/>
      <c r="G770" s="125"/>
      <c r="H770" s="125"/>
      <c r="I770" s="125"/>
      <c r="J770" s="125"/>
      <c r="K770" s="125"/>
      <c r="L770" s="125"/>
      <c r="M770" s="125"/>
      <c r="N770" s="129"/>
      <c r="O770" s="125"/>
      <c r="P770" s="173"/>
      <c r="Q770" s="125"/>
      <c r="R770" s="125"/>
      <c r="S770" s="125"/>
      <c r="T770" s="125"/>
      <c r="U770" s="125"/>
      <c r="V770" s="125"/>
      <c r="W770" s="125"/>
      <c r="X770" s="125"/>
      <c r="Y770" s="125"/>
      <c r="Z770" s="125"/>
    </row>
    <row r="771" spans="1:26" ht="15.75" customHeight="1">
      <c r="A771" s="125"/>
      <c r="B771" s="125"/>
      <c r="C771" s="125"/>
      <c r="D771" s="125"/>
      <c r="E771" s="125"/>
      <c r="F771" s="126"/>
      <c r="G771" s="125"/>
      <c r="H771" s="125"/>
      <c r="I771" s="125"/>
      <c r="J771" s="125"/>
      <c r="K771" s="125"/>
      <c r="L771" s="125"/>
      <c r="M771" s="125"/>
      <c r="N771" s="129"/>
      <c r="O771" s="125"/>
      <c r="P771" s="173"/>
      <c r="Q771" s="125"/>
      <c r="R771" s="125"/>
      <c r="S771" s="125"/>
      <c r="T771" s="125"/>
      <c r="U771" s="125"/>
      <c r="V771" s="125"/>
      <c r="W771" s="125"/>
      <c r="X771" s="125"/>
      <c r="Y771" s="125"/>
      <c r="Z771" s="125"/>
    </row>
    <row r="772" spans="1:26" ht="15.75" customHeight="1">
      <c r="A772" s="125"/>
      <c r="B772" s="125"/>
      <c r="C772" s="125"/>
      <c r="D772" s="125"/>
      <c r="E772" s="125"/>
      <c r="F772" s="126"/>
      <c r="G772" s="125"/>
      <c r="H772" s="125"/>
      <c r="I772" s="125"/>
      <c r="J772" s="125"/>
      <c r="K772" s="125"/>
      <c r="L772" s="125"/>
      <c r="M772" s="125"/>
      <c r="N772" s="129"/>
      <c r="O772" s="125"/>
      <c r="P772" s="173"/>
      <c r="Q772" s="125"/>
      <c r="R772" s="125"/>
      <c r="S772" s="125"/>
      <c r="T772" s="125"/>
      <c r="U772" s="125"/>
      <c r="V772" s="125"/>
      <c r="W772" s="125"/>
      <c r="X772" s="125"/>
      <c r="Y772" s="125"/>
      <c r="Z772" s="125"/>
    </row>
    <row r="773" spans="1:26" ht="15.75" customHeight="1">
      <c r="A773" s="125"/>
      <c r="B773" s="125"/>
      <c r="C773" s="125"/>
      <c r="D773" s="125"/>
      <c r="E773" s="125"/>
      <c r="F773" s="126"/>
      <c r="G773" s="125"/>
      <c r="H773" s="125"/>
      <c r="I773" s="125"/>
      <c r="J773" s="125"/>
      <c r="K773" s="125"/>
      <c r="L773" s="125"/>
      <c r="M773" s="125"/>
      <c r="N773" s="129"/>
      <c r="O773" s="125"/>
      <c r="P773" s="173"/>
      <c r="Q773" s="125"/>
      <c r="R773" s="125"/>
      <c r="S773" s="125"/>
      <c r="T773" s="125"/>
      <c r="U773" s="125"/>
      <c r="V773" s="125"/>
      <c r="W773" s="125"/>
      <c r="X773" s="125"/>
      <c r="Y773" s="125"/>
      <c r="Z773" s="125"/>
    </row>
    <row r="774" spans="1:26" ht="15.75" customHeight="1">
      <c r="A774" s="125"/>
      <c r="B774" s="125"/>
      <c r="C774" s="125"/>
      <c r="D774" s="125"/>
      <c r="E774" s="125"/>
      <c r="F774" s="126"/>
      <c r="G774" s="125"/>
      <c r="H774" s="125"/>
      <c r="I774" s="125"/>
      <c r="J774" s="125"/>
      <c r="K774" s="125"/>
      <c r="L774" s="125"/>
      <c r="M774" s="125"/>
      <c r="N774" s="129"/>
      <c r="O774" s="125"/>
      <c r="P774" s="173"/>
      <c r="Q774" s="125"/>
      <c r="R774" s="125"/>
      <c r="S774" s="125"/>
      <c r="T774" s="125"/>
      <c r="U774" s="125"/>
      <c r="V774" s="125"/>
      <c r="W774" s="125"/>
      <c r="X774" s="125"/>
      <c r="Y774" s="125"/>
      <c r="Z774" s="125"/>
    </row>
    <row r="775" spans="1:26" ht="15.75" customHeight="1">
      <c r="A775" s="125"/>
      <c r="B775" s="125"/>
      <c r="C775" s="125"/>
      <c r="D775" s="125"/>
      <c r="E775" s="125"/>
      <c r="F775" s="126"/>
      <c r="G775" s="125"/>
      <c r="H775" s="125"/>
      <c r="I775" s="125"/>
      <c r="J775" s="125"/>
      <c r="K775" s="125"/>
      <c r="L775" s="125"/>
      <c r="M775" s="125"/>
      <c r="N775" s="129"/>
      <c r="O775" s="125"/>
      <c r="P775" s="173"/>
      <c r="Q775" s="125"/>
      <c r="R775" s="125"/>
      <c r="S775" s="125"/>
      <c r="T775" s="125"/>
      <c r="U775" s="125"/>
      <c r="V775" s="125"/>
      <c r="W775" s="125"/>
      <c r="X775" s="125"/>
      <c r="Y775" s="125"/>
      <c r="Z775" s="125"/>
    </row>
    <row r="776" spans="1:26" ht="15.75" customHeight="1">
      <c r="A776" s="125"/>
      <c r="B776" s="125"/>
      <c r="C776" s="125"/>
      <c r="D776" s="125"/>
      <c r="E776" s="125"/>
      <c r="F776" s="126"/>
      <c r="G776" s="125"/>
      <c r="H776" s="125"/>
      <c r="I776" s="125"/>
      <c r="J776" s="125"/>
      <c r="K776" s="125"/>
      <c r="L776" s="125"/>
      <c r="M776" s="125"/>
      <c r="N776" s="129"/>
      <c r="O776" s="125"/>
      <c r="P776" s="173"/>
      <c r="Q776" s="125"/>
      <c r="R776" s="125"/>
      <c r="S776" s="125"/>
      <c r="T776" s="125"/>
      <c r="U776" s="125"/>
      <c r="V776" s="125"/>
      <c r="W776" s="125"/>
      <c r="X776" s="125"/>
      <c r="Y776" s="125"/>
      <c r="Z776" s="125"/>
    </row>
    <row r="777" spans="1:26" ht="15.75" customHeight="1">
      <c r="A777" s="125"/>
      <c r="B777" s="125"/>
      <c r="C777" s="125"/>
      <c r="D777" s="125"/>
      <c r="E777" s="125"/>
      <c r="F777" s="126"/>
      <c r="G777" s="125"/>
      <c r="H777" s="125"/>
      <c r="I777" s="125"/>
      <c r="J777" s="125"/>
      <c r="K777" s="125"/>
      <c r="L777" s="125"/>
      <c r="M777" s="125"/>
      <c r="N777" s="129"/>
      <c r="O777" s="125"/>
      <c r="P777" s="173"/>
      <c r="Q777" s="125"/>
      <c r="R777" s="125"/>
      <c r="S777" s="125"/>
      <c r="T777" s="125"/>
      <c r="U777" s="125"/>
      <c r="V777" s="125"/>
      <c r="W777" s="125"/>
      <c r="X777" s="125"/>
      <c r="Y777" s="125"/>
      <c r="Z777" s="125"/>
    </row>
    <row r="778" spans="1:26" ht="15.75" customHeight="1">
      <c r="A778" s="125"/>
      <c r="B778" s="125"/>
      <c r="C778" s="125"/>
      <c r="D778" s="125"/>
      <c r="E778" s="125"/>
      <c r="F778" s="126"/>
      <c r="G778" s="125"/>
      <c r="H778" s="125"/>
      <c r="I778" s="125"/>
      <c r="J778" s="125"/>
      <c r="K778" s="125"/>
      <c r="L778" s="125"/>
      <c r="M778" s="125"/>
      <c r="N778" s="129"/>
      <c r="O778" s="125"/>
      <c r="P778" s="173"/>
      <c r="Q778" s="125"/>
      <c r="R778" s="125"/>
      <c r="S778" s="125"/>
      <c r="T778" s="125"/>
      <c r="U778" s="125"/>
      <c r="V778" s="125"/>
      <c r="W778" s="125"/>
      <c r="X778" s="125"/>
      <c r="Y778" s="125"/>
      <c r="Z778" s="125"/>
    </row>
    <row r="779" spans="1:26" ht="15.75" customHeight="1">
      <c r="A779" s="125"/>
      <c r="B779" s="125"/>
      <c r="C779" s="125"/>
      <c r="D779" s="125"/>
      <c r="E779" s="125"/>
      <c r="F779" s="126"/>
      <c r="G779" s="125"/>
      <c r="H779" s="125"/>
      <c r="I779" s="125"/>
      <c r="J779" s="125"/>
      <c r="K779" s="125"/>
      <c r="L779" s="125"/>
      <c r="M779" s="125"/>
      <c r="N779" s="129"/>
      <c r="O779" s="125"/>
      <c r="P779" s="173"/>
      <c r="Q779" s="125"/>
      <c r="R779" s="125"/>
      <c r="S779" s="125"/>
      <c r="T779" s="125"/>
      <c r="U779" s="125"/>
      <c r="V779" s="125"/>
      <c r="W779" s="125"/>
      <c r="X779" s="125"/>
      <c r="Y779" s="125"/>
      <c r="Z779" s="125"/>
    </row>
    <row r="780" spans="1:26" ht="15.75" customHeight="1">
      <c r="A780" s="125"/>
      <c r="B780" s="125"/>
      <c r="C780" s="125"/>
      <c r="D780" s="125"/>
      <c r="E780" s="125"/>
      <c r="F780" s="126"/>
      <c r="G780" s="125"/>
      <c r="H780" s="125"/>
      <c r="I780" s="125"/>
      <c r="J780" s="125"/>
      <c r="K780" s="125"/>
      <c r="L780" s="125"/>
      <c r="M780" s="125"/>
      <c r="N780" s="129"/>
      <c r="O780" s="125"/>
      <c r="P780" s="173"/>
      <c r="Q780" s="125"/>
      <c r="R780" s="125"/>
      <c r="S780" s="125"/>
      <c r="T780" s="125"/>
      <c r="U780" s="125"/>
      <c r="V780" s="125"/>
      <c r="W780" s="125"/>
      <c r="X780" s="125"/>
      <c r="Y780" s="125"/>
      <c r="Z780" s="125"/>
    </row>
    <row r="781" spans="1:26" ht="15.75" customHeight="1">
      <c r="A781" s="125"/>
      <c r="B781" s="125"/>
      <c r="C781" s="125"/>
      <c r="D781" s="125"/>
      <c r="E781" s="125"/>
      <c r="F781" s="126"/>
      <c r="G781" s="125"/>
      <c r="H781" s="125"/>
      <c r="I781" s="125"/>
      <c r="J781" s="125"/>
      <c r="K781" s="125"/>
      <c r="L781" s="125"/>
      <c r="M781" s="125"/>
      <c r="N781" s="129"/>
      <c r="O781" s="125"/>
      <c r="P781" s="173"/>
      <c r="Q781" s="125"/>
      <c r="R781" s="125"/>
      <c r="S781" s="125"/>
      <c r="T781" s="125"/>
      <c r="U781" s="125"/>
      <c r="V781" s="125"/>
      <c r="W781" s="125"/>
      <c r="X781" s="125"/>
      <c r="Y781" s="125"/>
      <c r="Z781" s="125"/>
    </row>
    <row r="782" spans="1:26" ht="15.75" customHeight="1">
      <c r="A782" s="125"/>
      <c r="B782" s="125"/>
      <c r="C782" s="125"/>
      <c r="D782" s="125"/>
      <c r="E782" s="125"/>
      <c r="F782" s="126"/>
      <c r="G782" s="125"/>
      <c r="H782" s="125"/>
      <c r="I782" s="125"/>
      <c r="J782" s="125"/>
      <c r="K782" s="125"/>
      <c r="L782" s="125"/>
      <c r="M782" s="125"/>
      <c r="N782" s="129"/>
      <c r="O782" s="125"/>
      <c r="P782" s="173"/>
      <c r="Q782" s="125"/>
      <c r="R782" s="125"/>
      <c r="S782" s="125"/>
      <c r="T782" s="125"/>
      <c r="U782" s="125"/>
      <c r="V782" s="125"/>
      <c r="W782" s="125"/>
      <c r="X782" s="125"/>
      <c r="Y782" s="125"/>
      <c r="Z782" s="125"/>
    </row>
    <row r="783" spans="1:26" ht="15.75" customHeight="1">
      <c r="A783" s="125"/>
      <c r="B783" s="125"/>
      <c r="C783" s="125"/>
      <c r="D783" s="125"/>
      <c r="E783" s="125"/>
      <c r="F783" s="126"/>
      <c r="G783" s="125"/>
      <c r="H783" s="125"/>
      <c r="I783" s="125"/>
      <c r="J783" s="125"/>
      <c r="K783" s="125"/>
      <c r="L783" s="125"/>
      <c r="M783" s="125"/>
      <c r="N783" s="129"/>
      <c r="O783" s="125"/>
      <c r="P783" s="173"/>
      <c r="Q783" s="125"/>
      <c r="R783" s="125"/>
      <c r="S783" s="125"/>
      <c r="T783" s="125"/>
      <c r="U783" s="125"/>
      <c r="V783" s="125"/>
      <c r="W783" s="125"/>
      <c r="X783" s="125"/>
      <c r="Y783" s="125"/>
      <c r="Z783" s="125"/>
    </row>
    <row r="784" spans="1:26" ht="15.75" customHeight="1">
      <c r="A784" s="125"/>
      <c r="B784" s="125"/>
      <c r="C784" s="125"/>
      <c r="D784" s="125"/>
      <c r="E784" s="125"/>
      <c r="F784" s="126"/>
      <c r="G784" s="125"/>
      <c r="H784" s="125"/>
      <c r="I784" s="125"/>
      <c r="J784" s="125"/>
      <c r="K784" s="125"/>
      <c r="L784" s="125"/>
      <c r="M784" s="125"/>
      <c r="N784" s="129"/>
      <c r="O784" s="125"/>
      <c r="P784" s="173"/>
      <c r="Q784" s="125"/>
      <c r="R784" s="125"/>
      <c r="S784" s="125"/>
      <c r="T784" s="125"/>
      <c r="U784" s="125"/>
      <c r="V784" s="125"/>
      <c r="W784" s="125"/>
      <c r="X784" s="125"/>
      <c r="Y784" s="125"/>
      <c r="Z784" s="125"/>
    </row>
    <row r="785" spans="1:26" ht="15.75" customHeight="1">
      <c r="A785" s="125"/>
      <c r="B785" s="125"/>
      <c r="C785" s="125"/>
      <c r="D785" s="125"/>
      <c r="E785" s="125"/>
      <c r="F785" s="126"/>
      <c r="G785" s="125"/>
      <c r="H785" s="125"/>
      <c r="I785" s="125"/>
      <c r="J785" s="125"/>
      <c r="K785" s="125"/>
      <c r="L785" s="125"/>
      <c r="M785" s="125"/>
      <c r="N785" s="129"/>
      <c r="O785" s="125"/>
      <c r="P785" s="173"/>
      <c r="Q785" s="125"/>
      <c r="R785" s="125"/>
      <c r="S785" s="125"/>
      <c r="T785" s="125"/>
      <c r="U785" s="125"/>
      <c r="V785" s="125"/>
      <c r="W785" s="125"/>
      <c r="X785" s="125"/>
      <c r="Y785" s="125"/>
      <c r="Z785" s="125"/>
    </row>
    <row r="786" spans="1:26" ht="15.75" customHeight="1">
      <c r="A786" s="125"/>
      <c r="B786" s="125"/>
      <c r="C786" s="125"/>
      <c r="D786" s="125"/>
      <c r="E786" s="125"/>
      <c r="F786" s="126"/>
      <c r="G786" s="125"/>
      <c r="H786" s="125"/>
      <c r="I786" s="125"/>
      <c r="J786" s="125"/>
      <c r="K786" s="125"/>
      <c r="L786" s="125"/>
      <c r="M786" s="125"/>
      <c r="N786" s="129"/>
      <c r="O786" s="125"/>
      <c r="P786" s="173"/>
      <c r="Q786" s="125"/>
      <c r="R786" s="125"/>
      <c r="S786" s="125"/>
      <c r="T786" s="125"/>
      <c r="U786" s="125"/>
      <c r="V786" s="125"/>
      <c r="W786" s="125"/>
      <c r="X786" s="125"/>
      <c r="Y786" s="125"/>
      <c r="Z786" s="125"/>
    </row>
    <row r="787" spans="1:26" ht="15.75" customHeight="1">
      <c r="A787" s="125"/>
      <c r="B787" s="125"/>
      <c r="C787" s="125"/>
      <c r="D787" s="125"/>
      <c r="E787" s="125"/>
      <c r="F787" s="126"/>
      <c r="G787" s="125"/>
      <c r="H787" s="125"/>
      <c r="I787" s="125"/>
      <c r="J787" s="125"/>
      <c r="K787" s="125"/>
      <c r="L787" s="125"/>
      <c r="M787" s="125"/>
      <c r="N787" s="129"/>
      <c r="O787" s="125"/>
      <c r="P787" s="173"/>
      <c r="Q787" s="125"/>
      <c r="R787" s="125"/>
      <c r="S787" s="125"/>
      <c r="T787" s="125"/>
      <c r="U787" s="125"/>
      <c r="V787" s="125"/>
      <c r="W787" s="125"/>
      <c r="X787" s="125"/>
      <c r="Y787" s="125"/>
      <c r="Z787" s="125"/>
    </row>
    <row r="788" spans="1:26" ht="15.75" customHeight="1">
      <c r="A788" s="125"/>
      <c r="B788" s="125"/>
      <c r="C788" s="125"/>
      <c r="D788" s="125"/>
      <c r="E788" s="125"/>
      <c r="F788" s="126"/>
      <c r="G788" s="125"/>
      <c r="H788" s="125"/>
      <c r="I788" s="125"/>
      <c r="J788" s="125"/>
      <c r="K788" s="125"/>
      <c r="L788" s="125"/>
      <c r="M788" s="125"/>
      <c r="N788" s="129"/>
      <c r="O788" s="125"/>
      <c r="P788" s="173"/>
      <c r="Q788" s="125"/>
      <c r="R788" s="125"/>
      <c r="S788" s="125"/>
      <c r="T788" s="125"/>
      <c r="U788" s="125"/>
      <c r="V788" s="125"/>
      <c r="W788" s="125"/>
      <c r="X788" s="125"/>
      <c r="Y788" s="125"/>
      <c r="Z788" s="125"/>
    </row>
    <row r="789" spans="1:26" ht="15.75" customHeight="1">
      <c r="A789" s="125"/>
      <c r="B789" s="125"/>
      <c r="C789" s="125"/>
      <c r="D789" s="125"/>
      <c r="E789" s="125"/>
      <c r="F789" s="126"/>
      <c r="G789" s="125"/>
      <c r="H789" s="125"/>
      <c r="I789" s="125"/>
      <c r="J789" s="125"/>
      <c r="K789" s="125"/>
      <c r="L789" s="125"/>
      <c r="M789" s="125"/>
      <c r="N789" s="129"/>
      <c r="O789" s="125"/>
      <c r="P789" s="173"/>
      <c r="Q789" s="125"/>
      <c r="R789" s="125"/>
      <c r="S789" s="125"/>
      <c r="T789" s="125"/>
      <c r="U789" s="125"/>
      <c r="V789" s="125"/>
      <c r="W789" s="125"/>
      <c r="X789" s="125"/>
      <c r="Y789" s="125"/>
      <c r="Z789" s="125"/>
    </row>
    <row r="790" spans="1:26" ht="15.75" customHeight="1">
      <c r="A790" s="125"/>
      <c r="B790" s="125"/>
      <c r="C790" s="125"/>
      <c r="D790" s="125"/>
      <c r="E790" s="125"/>
      <c r="F790" s="126"/>
      <c r="G790" s="125"/>
      <c r="H790" s="125"/>
      <c r="I790" s="125"/>
      <c r="J790" s="125"/>
      <c r="K790" s="125"/>
      <c r="L790" s="125"/>
      <c r="M790" s="125"/>
      <c r="N790" s="129"/>
      <c r="O790" s="125"/>
      <c r="P790" s="173"/>
      <c r="Q790" s="125"/>
      <c r="R790" s="125"/>
      <c r="S790" s="125"/>
      <c r="T790" s="125"/>
      <c r="U790" s="125"/>
      <c r="V790" s="125"/>
      <c r="W790" s="125"/>
      <c r="X790" s="125"/>
      <c r="Y790" s="125"/>
      <c r="Z790" s="125"/>
    </row>
    <row r="791" spans="1:26" ht="15.75" customHeight="1">
      <c r="A791" s="125"/>
      <c r="B791" s="125"/>
      <c r="C791" s="125"/>
      <c r="D791" s="125"/>
      <c r="E791" s="125"/>
      <c r="F791" s="126"/>
      <c r="G791" s="125"/>
      <c r="H791" s="125"/>
      <c r="I791" s="125"/>
      <c r="J791" s="125"/>
      <c r="K791" s="125"/>
      <c r="L791" s="125"/>
      <c r="M791" s="125"/>
      <c r="N791" s="129"/>
      <c r="O791" s="125"/>
      <c r="P791" s="173"/>
      <c r="Q791" s="125"/>
      <c r="R791" s="125"/>
      <c r="S791" s="125"/>
      <c r="T791" s="125"/>
      <c r="U791" s="125"/>
      <c r="V791" s="125"/>
      <c r="W791" s="125"/>
      <c r="X791" s="125"/>
      <c r="Y791" s="125"/>
      <c r="Z791" s="125"/>
    </row>
    <row r="792" spans="1:26" ht="15.75" customHeight="1">
      <c r="A792" s="125"/>
      <c r="B792" s="125"/>
      <c r="C792" s="125"/>
      <c r="D792" s="125"/>
      <c r="E792" s="125"/>
      <c r="F792" s="126"/>
      <c r="G792" s="125"/>
      <c r="H792" s="125"/>
      <c r="I792" s="125"/>
      <c r="J792" s="125"/>
      <c r="K792" s="125"/>
      <c r="L792" s="125"/>
      <c r="M792" s="125"/>
      <c r="N792" s="129"/>
      <c r="O792" s="125"/>
      <c r="P792" s="173"/>
      <c r="Q792" s="125"/>
      <c r="R792" s="125"/>
      <c r="S792" s="125"/>
      <c r="T792" s="125"/>
      <c r="U792" s="125"/>
      <c r="V792" s="125"/>
      <c r="W792" s="125"/>
      <c r="X792" s="125"/>
      <c r="Y792" s="125"/>
      <c r="Z792" s="125"/>
    </row>
    <row r="793" spans="1:26" ht="15.75" customHeight="1">
      <c r="A793" s="125"/>
      <c r="B793" s="125"/>
      <c r="C793" s="125"/>
      <c r="D793" s="125"/>
      <c r="E793" s="125"/>
      <c r="F793" s="126"/>
      <c r="G793" s="125"/>
      <c r="H793" s="125"/>
      <c r="I793" s="125"/>
      <c r="J793" s="125"/>
      <c r="K793" s="125"/>
      <c r="L793" s="125"/>
      <c r="M793" s="125"/>
      <c r="N793" s="129"/>
      <c r="O793" s="125"/>
      <c r="P793" s="173"/>
      <c r="Q793" s="125"/>
      <c r="R793" s="125"/>
      <c r="S793" s="125"/>
      <c r="T793" s="125"/>
      <c r="U793" s="125"/>
      <c r="V793" s="125"/>
      <c r="W793" s="125"/>
      <c r="X793" s="125"/>
      <c r="Y793" s="125"/>
      <c r="Z793" s="125"/>
    </row>
    <row r="794" spans="1:26" ht="15.75" customHeight="1">
      <c r="A794" s="125"/>
      <c r="B794" s="125"/>
      <c r="C794" s="125"/>
      <c r="D794" s="125"/>
      <c r="E794" s="125"/>
      <c r="F794" s="126"/>
      <c r="G794" s="125"/>
      <c r="H794" s="125"/>
      <c r="I794" s="125"/>
      <c r="J794" s="125"/>
      <c r="K794" s="125"/>
      <c r="L794" s="125"/>
      <c r="M794" s="125"/>
      <c r="N794" s="129"/>
      <c r="O794" s="125"/>
      <c r="P794" s="173"/>
      <c r="Q794" s="125"/>
      <c r="R794" s="125"/>
      <c r="S794" s="125"/>
      <c r="T794" s="125"/>
      <c r="U794" s="125"/>
      <c r="V794" s="125"/>
      <c r="W794" s="125"/>
      <c r="X794" s="125"/>
      <c r="Y794" s="125"/>
      <c r="Z794" s="125"/>
    </row>
    <row r="795" spans="1:26" ht="15.75" customHeight="1">
      <c r="A795" s="125"/>
      <c r="B795" s="125"/>
      <c r="C795" s="125"/>
      <c r="D795" s="125"/>
      <c r="E795" s="125"/>
      <c r="F795" s="126"/>
      <c r="G795" s="125"/>
      <c r="H795" s="125"/>
      <c r="I795" s="125"/>
      <c r="J795" s="125"/>
      <c r="K795" s="125"/>
      <c r="L795" s="125"/>
      <c r="M795" s="125"/>
      <c r="N795" s="129"/>
      <c r="O795" s="125"/>
      <c r="P795" s="173"/>
      <c r="Q795" s="125"/>
      <c r="R795" s="125"/>
      <c r="S795" s="125"/>
      <c r="T795" s="125"/>
      <c r="U795" s="125"/>
      <c r="V795" s="125"/>
      <c r="W795" s="125"/>
      <c r="X795" s="125"/>
      <c r="Y795" s="125"/>
      <c r="Z795" s="125"/>
    </row>
    <row r="796" spans="1:26" ht="15.75" customHeight="1">
      <c r="A796" s="125"/>
      <c r="B796" s="125"/>
      <c r="C796" s="125"/>
      <c r="D796" s="125"/>
      <c r="E796" s="125"/>
      <c r="F796" s="126"/>
      <c r="G796" s="125"/>
      <c r="H796" s="125"/>
      <c r="I796" s="125"/>
      <c r="J796" s="125"/>
      <c r="K796" s="125"/>
      <c r="L796" s="125"/>
      <c r="M796" s="125"/>
      <c r="N796" s="129"/>
      <c r="O796" s="125"/>
      <c r="P796" s="173"/>
      <c r="Q796" s="125"/>
      <c r="R796" s="125"/>
      <c r="S796" s="125"/>
      <c r="T796" s="125"/>
      <c r="U796" s="125"/>
      <c r="V796" s="125"/>
      <c r="W796" s="125"/>
      <c r="X796" s="125"/>
      <c r="Y796" s="125"/>
      <c r="Z796" s="125"/>
    </row>
    <row r="797" spans="1:26" ht="15.75" customHeight="1">
      <c r="A797" s="125"/>
      <c r="B797" s="125"/>
      <c r="C797" s="125"/>
      <c r="D797" s="125"/>
      <c r="E797" s="125"/>
      <c r="F797" s="126"/>
      <c r="G797" s="125"/>
      <c r="H797" s="125"/>
      <c r="I797" s="125"/>
      <c r="J797" s="125"/>
      <c r="K797" s="125"/>
      <c r="L797" s="125"/>
      <c r="M797" s="125"/>
      <c r="N797" s="129"/>
      <c r="O797" s="125"/>
      <c r="P797" s="173"/>
      <c r="Q797" s="125"/>
      <c r="R797" s="125"/>
      <c r="S797" s="125"/>
      <c r="T797" s="125"/>
      <c r="U797" s="125"/>
      <c r="V797" s="125"/>
      <c r="W797" s="125"/>
      <c r="X797" s="125"/>
      <c r="Y797" s="125"/>
      <c r="Z797" s="125"/>
    </row>
    <row r="798" spans="1:26" ht="15.75" customHeight="1">
      <c r="A798" s="125"/>
      <c r="B798" s="125"/>
      <c r="C798" s="125"/>
      <c r="D798" s="125"/>
      <c r="E798" s="125"/>
      <c r="F798" s="126"/>
      <c r="G798" s="125"/>
      <c r="H798" s="125"/>
      <c r="I798" s="125"/>
      <c r="J798" s="125"/>
      <c r="K798" s="125"/>
      <c r="L798" s="125"/>
      <c r="M798" s="125"/>
      <c r="N798" s="129"/>
      <c r="O798" s="125"/>
      <c r="P798" s="173"/>
      <c r="Q798" s="125"/>
      <c r="R798" s="125"/>
      <c r="S798" s="125"/>
      <c r="T798" s="125"/>
      <c r="U798" s="125"/>
      <c r="V798" s="125"/>
      <c r="W798" s="125"/>
      <c r="X798" s="125"/>
      <c r="Y798" s="125"/>
      <c r="Z798" s="125"/>
    </row>
    <row r="799" spans="1:26" ht="15.75" customHeight="1">
      <c r="A799" s="125"/>
      <c r="B799" s="125"/>
      <c r="C799" s="125"/>
      <c r="D799" s="125"/>
      <c r="E799" s="125"/>
      <c r="F799" s="126"/>
      <c r="G799" s="125"/>
      <c r="H799" s="125"/>
      <c r="I799" s="125"/>
      <c r="J799" s="125"/>
      <c r="K799" s="125"/>
      <c r="L799" s="125"/>
      <c r="M799" s="125"/>
      <c r="N799" s="129"/>
      <c r="O799" s="125"/>
      <c r="P799" s="173"/>
      <c r="Q799" s="125"/>
      <c r="R799" s="125"/>
      <c r="S799" s="125"/>
      <c r="T799" s="125"/>
      <c r="U799" s="125"/>
      <c r="V799" s="125"/>
      <c r="W799" s="125"/>
      <c r="X799" s="125"/>
      <c r="Y799" s="125"/>
      <c r="Z799" s="125"/>
    </row>
    <row r="800" spans="1:26" ht="15.75" customHeight="1">
      <c r="A800" s="125"/>
      <c r="B800" s="125"/>
      <c r="C800" s="125"/>
      <c r="D800" s="125"/>
      <c r="E800" s="125"/>
      <c r="F800" s="126"/>
      <c r="G800" s="125"/>
      <c r="H800" s="125"/>
      <c r="I800" s="125"/>
      <c r="J800" s="125"/>
      <c r="K800" s="125"/>
      <c r="L800" s="125"/>
      <c r="M800" s="125"/>
      <c r="N800" s="129"/>
      <c r="O800" s="125"/>
      <c r="P800" s="173"/>
      <c r="Q800" s="125"/>
      <c r="R800" s="125"/>
      <c r="S800" s="125"/>
      <c r="T800" s="125"/>
      <c r="U800" s="125"/>
      <c r="V800" s="125"/>
      <c r="W800" s="125"/>
      <c r="X800" s="125"/>
      <c r="Y800" s="125"/>
      <c r="Z800" s="125"/>
    </row>
    <row r="801" spans="1:26" ht="15.75" customHeight="1">
      <c r="A801" s="125"/>
      <c r="B801" s="125"/>
      <c r="C801" s="125"/>
      <c r="D801" s="125"/>
      <c r="E801" s="125"/>
      <c r="F801" s="126"/>
      <c r="G801" s="125"/>
      <c r="H801" s="125"/>
      <c r="I801" s="125"/>
      <c r="J801" s="125"/>
      <c r="K801" s="125"/>
      <c r="L801" s="125"/>
      <c r="M801" s="125"/>
      <c r="N801" s="129"/>
      <c r="O801" s="125"/>
      <c r="P801" s="173"/>
      <c r="Q801" s="125"/>
      <c r="R801" s="125"/>
      <c r="S801" s="125"/>
      <c r="T801" s="125"/>
      <c r="U801" s="125"/>
      <c r="V801" s="125"/>
      <c r="W801" s="125"/>
      <c r="X801" s="125"/>
      <c r="Y801" s="125"/>
      <c r="Z801" s="125"/>
    </row>
    <row r="802" spans="1:26" ht="15.75" customHeight="1">
      <c r="A802" s="125"/>
      <c r="B802" s="125"/>
      <c r="C802" s="125"/>
      <c r="D802" s="125"/>
      <c r="E802" s="125"/>
      <c r="F802" s="126"/>
      <c r="G802" s="125"/>
      <c r="H802" s="125"/>
      <c r="I802" s="125"/>
      <c r="J802" s="125"/>
      <c r="K802" s="125"/>
      <c r="L802" s="125"/>
      <c r="M802" s="125"/>
      <c r="N802" s="129"/>
      <c r="O802" s="125"/>
      <c r="P802" s="173"/>
      <c r="Q802" s="125"/>
      <c r="R802" s="125"/>
      <c r="S802" s="125"/>
      <c r="T802" s="125"/>
      <c r="U802" s="125"/>
      <c r="V802" s="125"/>
      <c r="W802" s="125"/>
      <c r="X802" s="125"/>
      <c r="Y802" s="125"/>
      <c r="Z802" s="125"/>
    </row>
    <row r="803" spans="1:26" ht="15.75" customHeight="1">
      <c r="A803" s="125"/>
      <c r="B803" s="125"/>
      <c r="C803" s="125"/>
      <c r="D803" s="125"/>
      <c r="E803" s="125"/>
      <c r="F803" s="126"/>
      <c r="G803" s="125"/>
      <c r="H803" s="125"/>
      <c r="I803" s="125"/>
      <c r="J803" s="125"/>
      <c r="K803" s="125"/>
      <c r="L803" s="125"/>
      <c r="M803" s="125"/>
      <c r="N803" s="129"/>
      <c r="O803" s="125"/>
      <c r="P803" s="173"/>
      <c r="Q803" s="125"/>
      <c r="R803" s="125"/>
      <c r="S803" s="125"/>
      <c r="T803" s="125"/>
      <c r="U803" s="125"/>
      <c r="V803" s="125"/>
      <c r="W803" s="125"/>
      <c r="X803" s="125"/>
      <c r="Y803" s="125"/>
      <c r="Z803" s="125"/>
    </row>
    <row r="804" spans="1:26" ht="15.75" customHeight="1">
      <c r="A804" s="125"/>
      <c r="B804" s="125"/>
      <c r="C804" s="125"/>
      <c r="D804" s="125"/>
      <c r="E804" s="125"/>
      <c r="F804" s="126"/>
      <c r="G804" s="125"/>
      <c r="H804" s="125"/>
      <c r="I804" s="125"/>
      <c r="J804" s="125"/>
      <c r="K804" s="125"/>
      <c r="L804" s="125"/>
      <c r="M804" s="125"/>
      <c r="N804" s="129"/>
      <c r="O804" s="125"/>
      <c r="P804" s="173"/>
      <c r="Q804" s="125"/>
      <c r="R804" s="125"/>
      <c r="S804" s="125"/>
      <c r="T804" s="125"/>
      <c r="U804" s="125"/>
      <c r="V804" s="125"/>
      <c r="W804" s="125"/>
      <c r="X804" s="125"/>
      <c r="Y804" s="125"/>
      <c r="Z804" s="125"/>
    </row>
    <row r="805" spans="1:26" ht="15.75" customHeight="1">
      <c r="A805" s="125"/>
      <c r="B805" s="125"/>
      <c r="C805" s="125"/>
      <c r="D805" s="125"/>
      <c r="E805" s="125"/>
      <c r="F805" s="126"/>
      <c r="G805" s="125"/>
      <c r="H805" s="125"/>
      <c r="I805" s="125"/>
      <c r="J805" s="125"/>
      <c r="K805" s="125"/>
      <c r="L805" s="125"/>
      <c r="M805" s="125"/>
      <c r="N805" s="129"/>
      <c r="O805" s="125"/>
      <c r="P805" s="173"/>
      <c r="Q805" s="125"/>
      <c r="R805" s="125"/>
      <c r="S805" s="125"/>
      <c r="T805" s="125"/>
      <c r="U805" s="125"/>
      <c r="V805" s="125"/>
      <c r="W805" s="125"/>
      <c r="X805" s="125"/>
      <c r="Y805" s="125"/>
      <c r="Z805" s="125"/>
    </row>
    <row r="806" spans="1:26" ht="15.75" customHeight="1">
      <c r="A806" s="125"/>
      <c r="B806" s="125"/>
      <c r="C806" s="125"/>
      <c r="D806" s="125"/>
      <c r="E806" s="125"/>
      <c r="F806" s="126"/>
      <c r="G806" s="125"/>
      <c r="H806" s="125"/>
      <c r="I806" s="125"/>
      <c r="J806" s="125"/>
      <c r="K806" s="125"/>
      <c r="L806" s="125"/>
      <c r="M806" s="125"/>
      <c r="N806" s="129"/>
      <c r="O806" s="125"/>
      <c r="P806" s="173"/>
      <c r="Q806" s="125"/>
      <c r="R806" s="125"/>
      <c r="S806" s="125"/>
      <c r="T806" s="125"/>
      <c r="U806" s="125"/>
      <c r="V806" s="125"/>
      <c r="W806" s="125"/>
      <c r="X806" s="125"/>
      <c r="Y806" s="125"/>
      <c r="Z806" s="125"/>
    </row>
    <row r="807" spans="1:26" ht="15.75" customHeight="1">
      <c r="A807" s="125"/>
      <c r="B807" s="125"/>
      <c r="C807" s="125"/>
      <c r="D807" s="125"/>
      <c r="E807" s="125"/>
      <c r="F807" s="126"/>
      <c r="G807" s="125"/>
      <c r="H807" s="125"/>
      <c r="I807" s="125"/>
      <c r="J807" s="125"/>
      <c r="K807" s="125"/>
      <c r="L807" s="125"/>
      <c r="M807" s="125"/>
      <c r="N807" s="129"/>
      <c r="O807" s="125"/>
      <c r="P807" s="173"/>
      <c r="Q807" s="125"/>
      <c r="R807" s="125"/>
      <c r="S807" s="125"/>
      <c r="T807" s="125"/>
      <c r="U807" s="125"/>
      <c r="V807" s="125"/>
      <c r="W807" s="125"/>
      <c r="X807" s="125"/>
      <c r="Y807" s="125"/>
      <c r="Z807" s="125"/>
    </row>
    <row r="808" spans="1:26" ht="15.75" customHeight="1">
      <c r="A808" s="125"/>
      <c r="B808" s="125"/>
      <c r="C808" s="125"/>
      <c r="D808" s="125"/>
      <c r="E808" s="125"/>
      <c r="F808" s="126"/>
      <c r="G808" s="125"/>
      <c r="H808" s="125"/>
      <c r="I808" s="125"/>
      <c r="J808" s="125"/>
      <c r="K808" s="125"/>
      <c r="L808" s="125"/>
      <c r="M808" s="125"/>
      <c r="N808" s="129"/>
      <c r="O808" s="125"/>
      <c r="P808" s="173"/>
      <c r="Q808" s="125"/>
      <c r="R808" s="125"/>
      <c r="S808" s="125"/>
      <c r="T808" s="125"/>
      <c r="U808" s="125"/>
      <c r="V808" s="125"/>
      <c r="W808" s="125"/>
      <c r="X808" s="125"/>
      <c r="Y808" s="125"/>
      <c r="Z808" s="125"/>
    </row>
    <row r="809" spans="1:26" ht="15.75" customHeight="1">
      <c r="A809" s="125"/>
      <c r="B809" s="125"/>
      <c r="C809" s="125"/>
      <c r="D809" s="125"/>
      <c r="E809" s="125"/>
      <c r="F809" s="126"/>
      <c r="G809" s="125"/>
      <c r="H809" s="125"/>
      <c r="I809" s="125"/>
      <c r="J809" s="125"/>
      <c r="K809" s="125"/>
      <c r="L809" s="125"/>
      <c r="M809" s="125"/>
      <c r="N809" s="129"/>
      <c r="O809" s="125"/>
      <c r="P809" s="173"/>
      <c r="Q809" s="125"/>
      <c r="R809" s="125"/>
      <c r="S809" s="125"/>
      <c r="T809" s="125"/>
      <c r="U809" s="125"/>
      <c r="V809" s="125"/>
      <c r="W809" s="125"/>
      <c r="X809" s="125"/>
      <c r="Y809" s="125"/>
      <c r="Z809" s="125"/>
    </row>
    <row r="810" spans="1:26" ht="15.75" customHeight="1">
      <c r="A810" s="125"/>
      <c r="B810" s="125"/>
      <c r="C810" s="125"/>
      <c r="D810" s="125"/>
      <c r="E810" s="125"/>
      <c r="F810" s="126"/>
      <c r="G810" s="125"/>
      <c r="H810" s="125"/>
      <c r="I810" s="125"/>
      <c r="J810" s="125"/>
      <c r="K810" s="125"/>
      <c r="L810" s="125"/>
      <c r="M810" s="125"/>
      <c r="N810" s="129"/>
      <c r="O810" s="125"/>
      <c r="P810" s="173"/>
      <c r="Q810" s="125"/>
      <c r="R810" s="125"/>
      <c r="S810" s="125"/>
      <c r="T810" s="125"/>
      <c r="U810" s="125"/>
      <c r="V810" s="125"/>
      <c r="W810" s="125"/>
      <c r="X810" s="125"/>
      <c r="Y810" s="125"/>
      <c r="Z810" s="125"/>
    </row>
    <row r="811" spans="1:26" ht="15.75" customHeight="1">
      <c r="A811" s="125"/>
      <c r="B811" s="125"/>
      <c r="C811" s="125"/>
      <c r="D811" s="125"/>
      <c r="E811" s="125"/>
      <c r="F811" s="126"/>
      <c r="G811" s="125"/>
      <c r="H811" s="125"/>
      <c r="I811" s="125"/>
      <c r="J811" s="125"/>
      <c r="K811" s="125"/>
      <c r="L811" s="125"/>
      <c r="M811" s="125"/>
      <c r="N811" s="129"/>
      <c r="O811" s="125"/>
      <c r="P811" s="173"/>
      <c r="Q811" s="125"/>
      <c r="R811" s="125"/>
      <c r="S811" s="125"/>
      <c r="T811" s="125"/>
      <c r="U811" s="125"/>
      <c r="V811" s="125"/>
      <c r="W811" s="125"/>
      <c r="X811" s="125"/>
      <c r="Y811" s="125"/>
      <c r="Z811" s="125"/>
    </row>
    <row r="812" spans="1:26" ht="15.75" customHeight="1">
      <c r="A812" s="125"/>
      <c r="B812" s="125"/>
      <c r="C812" s="125"/>
      <c r="D812" s="125"/>
      <c r="E812" s="125"/>
      <c r="F812" s="126"/>
      <c r="G812" s="125"/>
      <c r="H812" s="125"/>
      <c r="I812" s="125"/>
      <c r="J812" s="125"/>
      <c r="K812" s="125"/>
      <c r="L812" s="125"/>
      <c r="M812" s="125"/>
      <c r="N812" s="129"/>
      <c r="O812" s="125"/>
      <c r="P812" s="173"/>
      <c r="Q812" s="125"/>
      <c r="R812" s="125"/>
      <c r="S812" s="125"/>
      <c r="T812" s="125"/>
      <c r="U812" s="125"/>
      <c r="V812" s="125"/>
      <c r="W812" s="125"/>
      <c r="X812" s="125"/>
      <c r="Y812" s="125"/>
      <c r="Z812" s="125"/>
    </row>
    <row r="813" spans="1:26" ht="15.75" customHeight="1">
      <c r="A813" s="125"/>
      <c r="B813" s="125"/>
      <c r="C813" s="125"/>
      <c r="D813" s="125"/>
      <c r="E813" s="125"/>
      <c r="F813" s="126"/>
      <c r="G813" s="125"/>
      <c r="H813" s="125"/>
      <c r="I813" s="125"/>
      <c r="J813" s="125"/>
      <c r="K813" s="125"/>
      <c r="L813" s="125"/>
      <c r="M813" s="125"/>
      <c r="N813" s="129"/>
      <c r="O813" s="125"/>
      <c r="P813" s="173"/>
      <c r="Q813" s="125"/>
      <c r="R813" s="125"/>
      <c r="S813" s="125"/>
      <c r="T813" s="125"/>
      <c r="U813" s="125"/>
      <c r="V813" s="125"/>
      <c r="W813" s="125"/>
      <c r="X813" s="125"/>
      <c r="Y813" s="125"/>
      <c r="Z813" s="125"/>
    </row>
    <row r="814" spans="1:26" ht="15.75" customHeight="1">
      <c r="A814" s="125"/>
      <c r="B814" s="125"/>
      <c r="C814" s="125"/>
      <c r="D814" s="125"/>
      <c r="E814" s="125"/>
      <c r="F814" s="126"/>
      <c r="G814" s="125"/>
      <c r="H814" s="125"/>
      <c r="I814" s="125"/>
      <c r="J814" s="125"/>
      <c r="K814" s="125"/>
      <c r="L814" s="125"/>
      <c r="M814" s="125"/>
      <c r="N814" s="129"/>
      <c r="O814" s="125"/>
      <c r="P814" s="173"/>
      <c r="Q814" s="125"/>
      <c r="R814" s="125"/>
      <c r="S814" s="125"/>
      <c r="T814" s="125"/>
      <c r="U814" s="125"/>
      <c r="V814" s="125"/>
      <c r="W814" s="125"/>
      <c r="X814" s="125"/>
      <c r="Y814" s="125"/>
      <c r="Z814" s="125"/>
    </row>
    <row r="815" spans="1:26" ht="15.75" customHeight="1">
      <c r="A815" s="125"/>
      <c r="B815" s="125"/>
      <c r="C815" s="125"/>
      <c r="D815" s="125"/>
      <c r="E815" s="125"/>
      <c r="F815" s="126"/>
      <c r="G815" s="125"/>
      <c r="H815" s="125"/>
      <c r="I815" s="125"/>
      <c r="J815" s="125"/>
      <c r="K815" s="125"/>
      <c r="L815" s="125"/>
      <c r="M815" s="125"/>
      <c r="N815" s="129"/>
      <c r="O815" s="125"/>
      <c r="P815" s="173"/>
      <c r="Q815" s="125"/>
      <c r="R815" s="125"/>
      <c r="S815" s="125"/>
      <c r="T815" s="125"/>
      <c r="U815" s="125"/>
      <c r="V815" s="125"/>
      <c r="W815" s="125"/>
      <c r="X815" s="125"/>
      <c r="Y815" s="125"/>
      <c r="Z815" s="125"/>
    </row>
    <row r="816" spans="1:26" ht="15.75" customHeight="1">
      <c r="A816" s="125"/>
      <c r="B816" s="125"/>
      <c r="C816" s="125"/>
      <c r="D816" s="125"/>
      <c r="E816" s="125"/>
      <c r="F816" s="126"/>
      <c r="G816" s="125"/>
      <c r="H816" s="125"/>
      <c r="I816" s="125"/>
      <c r="J816" s="125"/>
      <c r="K816" s="125"/>
      <c r="L816" s="125"/>
      <c r="M816" s="125"/>
      <c r="N816" s="129"/>
      <c r="O816" s="125"/>
      <c r="P816" s="173"/>
      <c r="Q816" s="125"/>
      <c r="R816" s="125"/>
      <c r="S816" s="125"/>
      <c r="T816" s="125"/>
      <c r="U816" s="125"/>
      <c r="V816" s="125"/>
      <c r="W816" s="125"/>
      <c r="X816" s="125"/>
      <c r="Y816" s="125"/>
      <c r="Z816" s="125"/>
    </row>
    <row r="817" spans="1:26" ht="15.75" customHeight="1">
      <c r="A817" s="125"/>
      <c r="B817" s="125"/>
      <c r="C817" s="125"/>
      <c r="D817" s="125"/>
      <c r="E817" s="125"/>
      <c r="F817" s="126"/>
      <c r="G817" s="125"/>
      <c r="H817" s="125"/>
      <c r="I817" s="125"/>
      <c r="J817" s="125"/>
      <c r="K817" s="125"/>
      <c r="L817" s="125"/>
      <c r="M817" s="125"/>
      <c r="N817" s="129"/>
      <c r="O817" s="125"/>
      <c r="P817" s="173"/>
      <c r="Q817" s="125"/>
      <c r="R817" s="125"/>
      <c r="S817" s="125"/>
      <c r="T817" s="125"/>
      <c r="U817" s="125"/>
      <c r="V817" s="125"/>
      <c r="W817" s="125"/>
      <c r="X817" s="125"/>
      <c r="Y817" s="125"/>
      <c r="Z817" s="125"/>
    </row>
    <row r="818" spans="1:26" ht="15.75" customHeight="1">
      <c r="A818" s="125"/>
      <c r="B818" s="125"/>
      <c r="C818" s="125"/>
      <c r="D818" s="125"/>
      <c r="E818" s="125"/>
      <c r="F818" s="126"/>
      <c r="G818" s="125"/>
      <c r="H818" s="125"/>
      <c r="I818" s="125"/>
      <c r="J818" s="125"/>
      <c r="K818" s="125"/>
      <c r="L818" s="125"/>
      <c r="M818" s="125"/>
      <c r="N818" s="129"/>
      <c r="O818" s="125"/>
      <c r="P818" s="173"/>
      <c r="Q818" s="125"/>
      <c r="R818" s="125"/>
      <c r="S818" s="125"/>
      <c r="T818" s="125"/>
      <c r="U818" s="125"/>
      <c r="V818" s="125"/>
      <c r="W818" s="125"/>
      <c r="X818" s="125"/>
      <c r="Y818" s="125"/>
      <c r="Z818" s="125"/>
    </row>
    <row r="819" spans="1:26" ht="15.75" customHeight="1">
      <c r="A819" s="125"/>
      <c r="B819" s="125"/>
      <c r="C819" s="125"/>
      <c r="D819" s="125"/>
      <c r="E819" s="125"/>
      <c r="F819" s="126"/>
      <c r="G819" s="125"/>
      <c r="H819" s="125"/>
      <c r="I819" s="125"/>
      <c r="J819" s="125"/>
      <c r="K819" s="125"/>
      <c r="L819" s="125"/>
      <c r="M819" s="125"/>
      <c r="N819" s="129"/>
      <c r="O819" s="125"/>
      <c r="P819" s="173"/>
      <c r="Q819" s="125"/>
      <c r="R819" s="125"/>
      <c r="S819" s="125"/>
      <c r="T819" s="125"/>
      <c r="U819" s="125"/>
      <c r="V819" s="125"/>
      <c r="W819" s="125"/>
      <c r="X819" s="125"/>
      <c r="Y819" s="125"/>
      <c r="Z819" s="125"/>
    </row>
    <row r="820" spans="1:26" ht="15.75" customHeight="1">
      <c r="A820" s="125"/>
      <c r="B820" s="125"/>
      <c r="C820" s="125"/>
      <c r="D820" s="125"/>
      <c r="E820" s="125"/>
      <c r="F820" s="126"/>
      <c r="G820" s="125"/>
      <c r="H820" s="125"/>
      <c r="I820" s="125"/>
      <c r="J820" s="125"/>
      <c r="K820" s="125"/>
      <c r="L820" s="125"/>
      <c r="M820" s="125"/>
      <c r="N820" s="129"/>
      <c r="O820" s="125"/>
      <c r="P820" s="173"/>
      <c r="Q820" s="125"/>
      <c r="R820" s="125"/>
      <c r="S820" s="125"/>
      <c r="T820" s="125"/>
      <c r="U820" s="125"/>
      <c r="V820" s="125"/>
      <c r="W820" s="125"/>
      <c r="X820" s="125"/>
      <c r="Y820" s="125"/>
      <c r="Z820" s="125"/>
    </row>
    <row r="821" spans="1:26" ht="15.75" customHeight="1">
      <c r="A821" s="125"/>
      <c r="B821" s="125"/>
      <c r="C821" s="125"/>
      <c r="D821" s="125"/>
      <c r="E821" s="125"/>
      <c r="F821" s="126"/>
      <c r="G821" s="125"/>
      <c r="H821" s="125"/>
      <c r="I821" s="125"/>
      <c r="J821" s="125"/>
      <c r="K821" s="125"/>
      <c r="L821" s="125"/>
      <c r="M821" s="125"/>
      <c r="N821" s="129"/>
      <c r="O821" s="125"/>
      <c r="P821" s="173"/>
      <c r="Q821" s="125"/>
      <c r="R821" s="125"/>
      <c r="S821" s="125"/>
      <c r="T821" s="125"/>
      <c r="U821" s="125"/>
      <c r="V821" s="125"/>
      <c r="W821" s="125"/>
      <c r="X821" s="125"/>
      <c r="Y821" s="125"/>
      <c r="Z821" s="125"/>
    </row>
    <row r="822" spans="1:26" ht="15.75" customHeight="1">
      <c r="A822" s="125"/>
      <c r="B822" s="125"/>
      <c r="C822" s="125"/>
      <c r="D822" s="125"/>
      <c r="E822" s="125"/>
      <c r="F822" s="126"/>
      <c r="G822" s="125"/>
      <c r="H822" s="125"/>
      <c r="I822" s="125"/>
      <c r="J822" s="125"/>
      <c r="K822" s="125"/>
      <c r="L822" s="125"/>
      <c r="M822" s="125"/>
      <c r="N822" s="129"/>
      <c r="O822" s="125"/>
      <c r="P822" s="173"/>
      <c r="Q822" s="125"/>
      <c r="R822" s="125"/>
      <c r="S822" s="125"/>
      <c r="T822" s="125"/>
      <c r="U822" s="125"/>
      <c r="V822" s="125"/>
      <c r="W822" s="125"/>
      <c r="X822" s="125"/>
      <c r="Y822" s="125"/>
      <c r="Z822" s="125"/>
    </row>
    <row r="823" spans="1:26" ht="15.75" customHeight="1">
      <c r="A823" s="125"/>
      <c r="B823" s="125"/>
      <c r="C823" s="125"/>
      <c r="D823" s="125"/>
      <c r="E823" s="125"/>
      <c r="F823" s="126"/>
      <c r="G823" s="125"/>
      <c r="H823" s="125"/>
      <c r="I823" s="125"/>
      <c r="J823" s="125"/>
      <c r="K823" s="125"/>
      <c r="L823" s="125"/>
      <c r="M823" s="125"/>
      <c r="N823" s="129"/>
      <c r="O823" s="125"/>
      <c r="P823" s="173"/>
      <c r="Q823" s="125"/>
      <c r="R823" s="125"/>
      <c r="S823" s="125"/>
      <c r="T823" s="125"/>
      <c r="U823" s="125"/>
      <c r="V823" s="125"/>
      <c r="W823" s="125"/>
      <c r="X823" s="125"/>
      <c r="Y823" s="125"/>
      <c r="Z823" s="125"/>
    </row>
    <row r="824" spans="1:26" ht="15.75" customHeight="1">
      <c r="A824" s="125"/>
      <c r="B824" s="125"/>
      <c r="C824" s="125"/>
      <c r="D824" s="125"/>
      <c r="E824" s="125"/>
      <c r="F824" s="126"/>
      <c r="G824" s="125"/>
      <c r="H824" s="125"/>
      <c r="I824" s="125"/>
      <c r="J824" s="125"/>
      <c r="K824" s="125"/>
      <c r="L824" s="125"/>
      <c r="M824" s="125"/>
      <c r="N824" s="129"/>
      <c r="O824" s="125"/>
      <c r="P824" s="173"/>
      <c r="Q824" s="125"/>
      <c r="R824" s="125"/>
      <c r="S824" s="125"/>
      <c r="T824" s="125"/>
      <c r="U824" s="125"/>
      <c r="V824" s="125"/>
      <c r="W824" s="125"/>
      <c r="X824" s="125"/>
      <c r="Y824" s="125"/>
      <c r="Z824" s="125"/>
    </row>
    <row r="825" spans="1:26" ht="15.75" customHeight="1">
      <c r="A825" s="125"/>
      <c r="B825" s="125"/>
      <c r="C825" s="125"/>
      <c r="D825" s="125"/>
      <c r="E825" s="125"/>
      <c r="F825" s="126"/>
      <c r="G825" s="125"/>
      <c r="H825" s="125"/>
      <c r="I825" s="125"/>
      <c r="J825" s="125"/>
      <c r="K825" s="125"/>
      <c r="L825" s="125"/>
      <c r="M825" s="125"/>
      <c r="N825" s="129"/>
      <c r="O825" s="125"/>
      <c r="P825" s="173"/>
      <c r="Q825" s="125"/>
      <c r="R825" s="125"/>
      <c r="S825" s="125"/>
      <c r="T825" s="125"/>
      <c r="U825" s="125"/>
      <c r="V825" s="125"/>
      <c r="W825" s="125"/>
      <c r="X825" s="125"/>
      <c r="Y825" s="125"/>
      <c r="Z825" s="125"/>
    </row>
    <row r="826" spans="1:26" ht="15.75" customHeight="1">
      <c r="A826" s="125"/>
      <c r="B826" s="125"/>
      <c r="C826" s="125"/>
      <c r="D826" s="125"/>
      <c r="E826" s="125"/>
      <c r="F826" s="126"/>
      <c r="G826" s="125"/>
      <c r="H826" s="125"/>
      <c r="I826" s="125"/>
      <c r="J826" s="125"/>
      <c r="K826" s="125"/>
      <c r="L826" s="125"/>
      <c r="M826" s="125"/>
      <c r="N826" s="129"/>
      <c r="O826" s="125"/>
      <c r="P826" s="173"/>
      <c r="Q826" s="125"/>
      <c r="R826" s="125"/>
      <c r="S826" s="125"/>
      <c r="T826" s="125"/>
      <c r="U826" s="125"/>
      <c r="V826" s="125"/>
      <c r="W826" s="125"/>
      <c r="X826" s="125"/>
      <c r="Y826" s="125"/>
      <c r="Z826" s="125"/>
    </row>
    <row r="827" spans="1:26" ht="15.75" customHeight="1">
      <c r="A827" s="125"/>
      <c r="B827" s="125"/>
      <c r="C827" s="125"/>
      <c r="D827" s="125"/>
      <c r="E827" s="125"/>
      <c r="F827" s="126"/>
      <c r="G827" s="125"/>
      <c r="H827" s="125"/>
      <c r="I827" s="125"/>
      <c r="J827" s="125"/>
      <c r="K827" s="125"/>
      <c r="L827" s="125"/>
      <c r="M827" s="125"/>
      <c r="N827" s="129"/>
      <c r="O827" s="125"/>
      <c r="P827" s="173"/>
      <c r="Q827" s="125"/>
      <c r="R827" s="125"/>
      <c r="S827" s="125"/>
      <c r="T827" s="125"/>
      <c r="U827" s="125"/>
      <c r="V827" s="125"/>
      <c r="W827" s="125"/>
      <c r="X827" s="125"/>
      <c r="Y827" s="125"/>
      <c r="Z827" s="125"/>
    </row>
    <row r="828" spans="1:26" ht="15.75" customHeight="1">
      <c r="A828" s="125"/>
      <c r="B828" s="125"/>
      <c r="C828" s="125"/>
      <c r="D828" s="125"/>
      <c r="E828" s="125"/>
      <c r="F828" s="126"/>
      <c r="G828" s="125"/>
      <c r="H828" s="125"/>
      <c r="I828" s="125"/>
      <c r="J828" s="125"/>
      <c r="K828" s="125"/>
      <c r="L828" s="125"/>
      <c r="M828" s="125"/>
      <c r="N828" s="129"/>
      <c r="O828" s="125"/>
      <c r="P828" s="173"/>
      <c r="Q828" s="125"/>
      <c r="R828" s="125"/>
      <c r="S828" s="125"/>
      <c r="T828" s="125"/>
      <c r="U828" s="125"/>
      <c r="V828" s="125"/>
      <c r="W828" s="125"/>
      <c r="X828" s="125"/>
      <c r="Y828" s="125"/>
      <c r="Z828" s="125"/>
    </row>
    <row r="829" spans="1:26" ht="15.75" customHeight="1">
      <c r="A829" s="125"/>
      <c r="B829" s="125"/>
      <c r="C829" s="125"/>
      <c r="D829" s="125"/>
      <c r="E829" s="125"/>
      <c r="F829" s="126"/>
      <c r="G829" s="125"/>
      <c r="H829" s="125"/>
      <c r="I829" s="125"/>
      <c r="J829" s="125"/>
      <c r="K829" s="125"/>
      <c r="L829" s="125"/>
      <c r="M829" s="125"/>
      <c r="N829" s="129"/>
      <c r="O829" s="125"/>
      <c r="P829" s="173"/>
      <c r="Q829" s="125"/>
      <c r="R829" s="125"/>
      <c r="S829" s="125"/>
      <c r="T829" s="125"/>
      <c r="U829" s="125"/>
      <c r="V829" s="125"/>
      <c r="W829" s="125"/>
      <c r="X829" s="125"/>
      <c r="Y829" s="125"/>
      <c r="Z829" s="125"/>
    </row>
    <row r="830" spans="1:26" ht="15.75" customHeight="1">
      <c r="A830" s="125"/>
      <c r="B830" s="125"/>
      <c r="C830" s="125"/>
      <c r="D830" s="125"/>
      <c r="E830" s="125"/>
      <c r="F830" s="126"/>
      <c r="G830" s="125"/>
      <c r="H830" s="125"/>
      <c r="I830" s="125"/>
      <c r="J830" s="125"/>
      <c r="K830" s="125"/>
      <c r="L830" s="125"/>
      <c r="M830" s="125"/>
      <c r="N830" s="129"/>
      <c r="O830" s="125"/>
      <c r="P830" s="173"/>
      <c r="Q830" s="125"/>
      <c r="R830" s="125"/>
      <c r="S830" s="125"/>
      <c r="T830" s="125"/>
      <c r="U830" s="125"/>
      <c r="V830" s="125"/>
      <c r="W830" s="125"/>
      <c r="X830" s="125"/>
      <c r="Y830" s="125"/>
      <c r="Z830" s="125"/>
    </row>
    <row r="831" spans="1:26" ht="15.75" customHeight="1">
      <c r="A831" s="125"/>
      <c r="B831" s="125"/>
      <c r="C831" s="125"/>
      <c r="D831" s="125"/>
      <c r="E831" s="125"/>
      <c r="F831" s="126"/>
      <c r="G831" s="125"/>
      <c r="H831" s="125"/>
      <c r="I831" s="125"/>
      <c r="J831" s="125"/>
      <c r="K831" s="125"/>
      <c r="L831" s="125"/>
      <c r="M831" s="125"/>
      <c r="N831" s="129"/>
      <c r="O831" s="125"/>
      <c r="P831" s="173"/>
      <c r="Q831" s="125"/>
      <c r="R831" s="125"/>
      <c r="S831" s="125"/>
      <c r="T831" s="125"/>
      <c r="U831" s="125"/>
      <c r="V831" s="125"/>
      <c r="W831" s="125"/>
      <c r="X831" s="125"/>
      <c r="Y831" s="125"/>
      <c r="Z831" s="125"/>
    </row>
    <row r="832" spans="1:26" ht="15.75" customHeight="1">
      <c r="A832" s="125"/>
      <c r="B832" s="125"/>
      <c r="C832" s="125"/>
      <c r="D832" s="125"/>
      <c r="E832" s="125"/>
      <c r="F832" s="126"/>
      <c r="G832" s="125"/>
      <c r="H832" s="125"/>
      <c r="I832" s="125"/>
      <c r="J832" s="125"/>
      <c r="K832" s="125"/>
      <c r="L832" s="125"/>
      <c r="M832" s="125"/>
      <c r="N832" s="129"/>
      <c r="O832" s="125"/>
      <c r="P832" s="173"/>
      <c r="Q832" s="125"/>
      <c r="R832" s="125"/>
      <c r="S832" s="125"/>
      <c r="T832" s="125"/>
      <c r="U832" s="125"/>
      <c r="V832" s="125"/>
      <c r="W832" s="125"/>
      <c r="X832" s="125"/>
      <c r="Y832" s="125"/>
      <c r="Z832" s="125"/>
    </row>
    <row r="833" spans="1:26" ht="15.75" customHeight="1">
      <c r="A833" s="125"/>
      <c r="B833" s="125"/>
      <c r="C833" s="125"/>
      <c r="D833" s="125"/>
      <c r="E833" s="125"/>
      <c r="F833" s="126"/>
      <c r="G833" s="125"/>
      <c r="H833" s="125"/>
      <c r="I833" s="125"/>
      <c r="J833" s="125"/>
      <c r="K833" s="125"/>
      <c r="L833" s="125"/>
      <c r="M833" s="125"/>
      <c r="N833" s="129"/>
      <c r="O833" s="125"/>
      <c r="P833" s="173"/>
      <c r="Q833" s="125"/>
      <c r="R833" s="125"/>
      <c r="S833" s="125"/>
      <c r="T833" s="125"/>
      <c r="U833" s="125"/>
      <c r="V833" s="125"/>
      <c r="W833" s="125"/>
      <c r="X833" s="125"/>
      <c r="Y833" s="125"/>
      <c r="Z833" s="125"/>
    </row>
    <row r="834" spans="1:26" ht="15.75" customHeight="1">
      <c r="A834" s="125"/>
      <c r="B834" s="125"/>
      <c r="C834" s="125"/>
      <c r="D834" s="125"/>
      <c r="E834" s="125"/>
      <c r="F834" s="126"/>
      <c r="G834" s="125"/>
      <c r="H834" s="125"/>
      <c r="I834" s="125"/>
      <c r="J834" s="125"/>
      <c r="K834" s="125"/>
      <c r="L834" s="125"/>
      <c r="M834" s="125"/>
      <c r="N834" s="129"/>
      <c r="O834" s="125"/>
      <c r="P834" s="173"/>
      <c r="Q834" s="125"/>
      <c r="R834" s="125"/>
      <c r="S834" s="125"/>
      <c r="T834" s="125"/>
      <c r="U834" s="125"/>
      <c r="V834" s="125"/>
      <c r="W834" s="125"/>
      <c r="X834" s="125"/>
      <c r="Y834" s="125"/>
      <c r="Z834" s="125"/>
    </row>
    <row r="835" spans="1:26" ht="15.75" customHeight="1">
      <c r="A835" s="125"/>
      <c r="B835" s="125"/>
      <c r="C835" s="125"/>
      <c r="D835" s="125"/>
      <c r="E835" s="125"/>
      <c r="F835" s="126"/>
      <c r="G835" s="125"/>
      <c r="H835" s="125"/>
      <c r="I835" s="125"/>
      <c r="J835" s="125"/>
      <c r="K835" s="125"/>
      <c r="L835" s="125"/>
      <c r="M835" s="125"/>
      <c r="N835" s="129"/>
      <c r="O835" s="125"/>
      <c r="P835" s="173"/>
      <c r="Q835" s="125"/>
      <c r="R835" s="125"/>
      <c r="S835" s="125"/>
      <c r="T835" s="125"/>
      <c r="U835" s="125"/>
      <c r="V835" s="125"/>
      <c r="W835" s="125"/>
      <c r="X835" s="125"/>
      <c r="Y835" s="125"/>
      <c r="Z835" s="125"/>
    </row>
    <row r="836" spans="1:26" ht="15.75" customHeight="1">
      <c r="A836" s="125"/>
      <c r="B836" s="125"/>
      <c r="C836" s="125"/>
      <c r="D836" s="125"/>
      <c r="E836" s="125"/>
      <c r="F836" s="126"/>
      <c r="G836" s="125"/>
      <c r="H836" s="125"/>
      <c r="I836" s="125"/>
      <c r="J836" s="125"/>
      <c r="K836" s="125"/>
      <c r="L836" s="125"/>
      <c r="M836" s="125"/>
      <c r="N836" s="129"/>
      <c r="O836" s="125"/>
      <c r="P836" s="173"/>
      <c r="Q836" s="125"/>
      <c r="R836" s="125"/>
      <c r="S836" s="125"/>
      <c r="T836" s="125"/>
      <c r="U836" s="125"/>
      <c r="V836" s="125"/>
      <c r="W836" s="125"/>
      <c r="X836" s="125"/>
      <c r="Y836" s="125"/>
      <c r="Z836" s="125"/>
    </row>
    <row r="837" spans="1:26" ht="15.75" customHeight="1">
      <c r="A837" s="125"/>
      <c r="B837" s="125"/>
      <c r="C837" s="125"/>
      <c r="D837" s="125"/>
      <c r="E837" s="125"/>
      <c r="F837" s="126"/>
      <c r="G837" s="125"/>
      <c r="H837" s="125"/>
      <c r="I837" s="125"/>
      <c r="J837" s="125"/>
      <c r="K837" s="125"/>
      <c r="L837" s="125"/>
      <c r="M837" s="125"/>
      <c r="N837" s="129"/>
      <c r="O837" s="125"/>
      <c r="P837" s="173"/>
      <c r="Q837" s="125"/>
      <c r="R837" s="125"/>
      <c r="S837" s="125"/>
      <c r="T837" s="125"/>
      <c r="U837" s="125"/>
      <c r="V837" s="125"/>
      <c r="W837" s="125"/>
      <c r="X837" s="125"/>
      <c r="Y837" s="125"/>
      <c r="Z837" s="125"/>
    </row>
    <row r="838" spans="1:26" ht="15.75" customHeight="1">
      <c r="A838" s="125"/>
      <c r="B838" s="125"/>
      <c r="C838" s="125"/>
      <c r="D838" s="125"/>
      <c r="E838" s="125"/>
      <c r="F838" s="126"/>
      <c r="G838" s="125"/>
      <c r="H838" s="125"/>
      <c r="I838" s="125"/>
      <c r="J838" s="125"/>
      <c r="K838" s="125"/>
      <c r="L838" s="125"/>
      <c r="M838" s="125"/>
      <c r="N838" s="129"/>
      <c r="O838" s="125"/>
      <c r="P838" s="173"/>
      <c r="Q838" s="125"/>
      <c r="R838" s="125"/>
      <c r="S838" s="125"/>
      <c r="T838" s="125"/>
      <c r="U838" s="125"/>
      <c r="V838" s="125"/>
      <c r="W838" s="125"/>
      <c r="X838" s="125"/>
      <c r="Y838" s="125"/>
      <c r="Z838" s="125"/>
    </row>
    <row r="839" spans="1:26" ht="15.75" customHeight="1">
      <c r="A839" s="125"/>
      <c r="B839" s="125"/>
      <c r="C839" s="125"/>
      <c r="D839" s="125"/>
      <c r="E839" s="125"/>
      <c r="F839" s="126"/>
      <c r="G839" s="125"/>
      <c r="H839" s="125"/>
      <c r="I839" s="125"/>
      <c r="J839" s="125"/>
      <c r="K839" s="125"/>
      <c r="L839" s="125"/>
      <c r="M839" s="125"/>
      <c r="N839" s="129"/>
      <c r="O839" s="125"/>
      <c r="P839" s="173"/>
      <c r="Q839" s="125"/>
      <c r="R839" s="125"/>
      <c r="S839" s="125"/>
      <c r="T839" s="125"/>
      <c r="U839" s="125"/>
      <c r="V839" s="125"/>
      <c r="W839" s="125"/>
      <c r="X839" s="125"/>
      <c r="Y839" s="125"/>
      <c r="Z839" s="125"/>
    </row>
    <row r="840" spans="1:26" ht="15.75" customHeight="1">
      <c r="A840" s="125"/>
      <c r="B840" s="125"/>
      <c r="C840" s="125"/>
      <c r="D840" s="125"/>
      <c r="E840" s="125"/>
      <c r="F840" s="126"/>
      <c r="G840" s="125"/>
      <c r="H840" s="125"/>
      <c r="I840" s="125"/>
      <c r="J840" s="125"/>
      <c r="K840" s="125"/>
      <c r="L840" s="125"/>
      <c r="M840" s="125"/>
      <c r="N840" s="129"/>
      <c r="O840" s="125"/>
      <c r="P840" s="173"/>
      <c r="Q840" s="125"/>
      <c r="R840" s="125"/>
      <c r="S840" s="125"/>
      <c r="T840" s="125"/>
      <c r="U840" s="125"/>
      <c r="V840" s="125"/>
      <c r="W840" s="125"/>
      <c r="X840" s="125"/>
      <c r="Y840" s="125"/>
      <c r="Z840" s="125"/>
    </row>
    <row r="841" spans="1:26" ht="15.75" customHeight="1">
      <c r="A841" s="125"/>
      <c r="B841" s="125"/>
      <c r="C841" s="125"/>
      <c r="D841" s="125"/>
      <c r="E841" s="125"/>
      <c r="F841" s="126"/>
      <c r="G841" s="125"/>
      <c r="H841" s="125"/>
      <c r="I841" s="125"/>
      <c r="J841" s="125"/>
      <c r="K841" s="125"/>
      <c r="L841" s="125"/>
      <c r="M841" s="125"/>
      <c r="N841" s="129"/>
      <c r="O841" s="125"/>
      <c r="P841" s="173"/>
      <c r="Q841" s="125"/>
      <c r="R841" s="125"/>
      <c r="S841" s="125"/>
      <c r="T841" s="125"/>
      <c r="U841" s="125"/>
      <c r="V841" s="125"/>
      <c r="W841" s="125"/>
      <c r="X841" s="125"/>
      <c r="Y841" s="125"/>
      <c r="Z841" s="125"/>
    </row>
    <row r="842" spans="1:26" ht="15.75" customHeight="1">
      <c r="A842" s="125"/>
      <c r="B842" s="125"/>
      <c r="C842" s="125"/>
      <c r="D842" s="125"/>
      <c r="E842" s="125"/>
      <c r="F842" s="126"/>
      <c r="G842" s="125"/>
      <c r="H842" s="125"/>
      <c r="I842" s="125"/>
      <c r="J842" s="125"/>
      <c r="K842" s="125"/>
      <c r="L842" s="125"/>
      <c r="M842" s="125"/>
      <c r="N842" s="129"/>
      <c r="O842" s="125"/>
      <c r="P842" s="173"/>
      <c r="Q842" s="125"/>
      <c r="R842" s="125"/>
      <c r="S842" s="125"/>
      <c r="T842" s="125"/>
      <c r="U842" s="125"/>
      <c r="V842" s="125"/>
      <c r="W842" s="125"/>
      <c r="X842" s="125"/>
      <c r="Y842" s="125"/>
      <c r="Z842" s="125"/>
    </row>
    <row r="843" spans="1:26" ht="15.75" customHeight="1">
      <c r="A843" s="125"/>
      <c r="B843" s="125"/>
      <c r="C843" s="125"/>
      <c r="D843" s="125"/>
      <c r="E843" s="125"/>
      <c r="F843" s="126"/>
      <c r="G843" s="125"/>
      <c r="H843" s="125"/>
      <c r="I843" s="125"/>
      <c r="J843" s="125"/>
      <c r="K843" s="125"/>
      <c r="L843" s="125"/>
      <c r="M843" s="125"/>
      <c r="N843" s="129"/>
      <c r="O843" s="125"/>
      <c r="P843" s="173"/>
      <c r="Q843" s="125"/>
      <c r="R843" s="125"/>
      <c r="S843" s="125"/>
      <c r="T843" s="125"/>
      <c r="U843" s="125"/>
      <c r="V843" s="125"/>
      <c r="W843" s="125"/>
      <c r="X843" s="125"/>
      <c r="Y843" s="125"/>
      <c r="Z843" s="125"/>
    </row>
    <row r="844" spans="1:26" ht="15.75" customHeight="1">
      <c r="A844" s="125"/>
      <c r="B844" s="125"/>
      <c r="C844" s="125"/>
      <c r="D844" s="125"/>
      <c r="E844" s="125"/>
      <c r="F844" s="126"/>
      <c r="G844" s="125"/>
      <c r="H844" s="125"/>
      <c r="I844" s="125"/>
      <c r="J844" s="125"/>
      <c r="K844" s="125"/>
      <c r="L844" s="125"/>
      <c r="M844" s="125"/>
      <c r="N844" s="129"/>
      <c r="O844" s="125"/>
      <c r="P844" s="173"/>
      <c r="Q844" s="125"/>
      <c r="R844" s="125"/>
      <c r="S844" s="125"/>
      <c r="T844" s="125"/>
      <c r="U844" s="125"/>
      <c r="V844" s="125"/>
      <c r="W844" s="125"/>
      <c r="X844" s="125"/>
      <c r="Y844" s="125"/>
      <c r="Z844" s="125"/>
    </row>
    <row r="845" spans="1:26" ht="15.75" customHeight="1">
      <c r="A845" s="125"/>
      <c r="B845" s="125"/>
      <c r="C845" s="125"/>
      <c r="D845" s="125"/>
      <c r="E845" s="125"/>
      <c r="F845" s="126"/>
      <c r="G845" s="125"/>
      <c r="H845" s="125"/>
      <c r="I845" s="125"/>
      <c r="J845" s="125"/>
      <c r="K845" s="125"/>
      <c r="L845" s="125"/>
      <c r="M845" s="125"/>
      <c r="N845" s="129"/>
      <c r="O845" s="125"/>
      <c r="P845" s="173"/>
      <c r="Q845" s="125"/>
      <c r="R845" s="125"/>
      <c r="S845" s="125"/>
      <c r="T845" s="125"/>
      <c r="U845" s="125"/>
      <c r="V845" s="125"/>
      <c r="W845" s="125"/>
      <c r="X845" s="125"/>
      <c r="Y845" s="125"/>
      <c r="Z845" s="125"/>
    </row>
    <row r="846" spans="1:26" ht="15.75" customHeight="1">
      <c r="A846" s="125"/>
      <c r="B846" s="125"/>
      <c r="C846" s="125"/>
      <c r="D846" s="125"/>
      <c r="E846" s="125"/>
      <c r="F846" s="126"/>
      <c r="G846" s="125"/>
      <c r="H846" s="125"/>
      <c r="I846" s="125"/>
      <c r="J846" s="125"/>
      <c r="K846" s="125"/>
      <c r="L846" s="125"/>
      <c r="M846" s="125"/>
      <c r="N846" s="129"/>
      <c r="O846" s="125"/>
      <c r="P846" s="173"/>
      <c r="Q846" s="125"/>
      <c r="R846" s="125"/>
      <c r="S846" s="125"/>
      <c r="T846" s="125"/>
      <c r="U846" s="125"/>
      <c r="V846" s="125"/>
      <c r="W846" s="125"/>
      <c r="X846" s="125"/>
      <c r="Y846" s="125"/>
      <c r="Z846" s="125"/>
    </row>
    <row r="847" spans="1:26" ht="15.75" customHeight="1">
      <c r="A847" s="125"/>
      <c r="B847" s="125"/>
      <c r="C847" s="125"/>
      <c r="D847" s="125"/>
      <c r="E847" s="125"/>
      <c r="F847" s="126"/>
      <c r="G847" s="125"/>
      <c r="H847" s="125"/>
      <c r="I847" s="125"/>
      <c r="J847" s="125"/>
      <c r="K847" s="125"/>
      <c r="L847" s="125"/>
      <c r="M847" s="125"/>
      <c r="N847" s="129"/>
      <c r="O847" s="125"/>
      <c r="P847" s="173"/>
      <c r="Q847" s="125"/>
      <c r="R847" s="125"/>
      <c r="S847" s="125"/>
      <c r="T847" s="125"/>
      <c r="U847" s="125"/>
      <c r="V847" s="125"/>
      <c r="W847" s="125"/>
      <c r="X847" s="125"/>
      <c r="Y847" s="125"/>
      <c r="Z847" s="125"/>
    </row>
    <row r="848" spans="1:26" ht="15.75" customHeight="1">
      <c r="A848" s="125"/>
      <c r="B848" s="125"/>
      <c r="C848" s="125"/>
      <c r="D848" s="125"/>
      <c r="E848" s="125"/>
      <c r="F848" s="126"/>
      <c r="G848" s="125"/>
      <c r="H848" s="125"/>
      <c r="I848" s="125"/>
      <c r="J848" s="125"/>
      <c r="K848" s="125"/>
      <c r="L848" s="125"/>
      <c r="M848" s="125"/>
      <c r="N848" s="129"/>
      <c r="O848" s="125"/>
      <c r="P848" s="173"/>
      <c r="Q848" s="125"/>
      <c r="R848" s="125"/>
      <c r="S848" s="125"/>
      <c r="T848" s="125"/>
      <c r="U848" s="125"/>
      <c r="V848" s="125"/>
      <c r="W848" s="125"/>
      <c r="X848" s="125"/>
      <c r="Y848" s="125"/>
      <c r="Z848" s="125"/>
    </row>
    <row r="849" spans="1:26" ht="15.75" customHeight="1">
      <c r="A849" s="125"/>
      <c r="B849" s="125"/>
      <c r="C849" s="125"/>
      <c r="D849" s="125"/>
      <c r="E849" s="125"/>
      <c r="F849" s="126"/>
      <c r="G849" s="125"/>
      <c r="H849" s="125"/>
      <c r="I849" s="125"/>
      <c r="J849" s="125"/>
      <c r="K849" s="125"/>
      <c r="L849" s="125"/>
      <c r="M849" s="125"/>
      <c r="N849" s="129"/>
      <c r="O849" s="125"/>
      <c r="P849" s="173"/>
      <c r="Q849" s="125"/>
      <c r="R849" s="125"/>
      <c r="S849" s="125"/>
      <c r="T849" s="125"/>
      <c r="U849" s="125"/>
      <c r="V849" s="125"/>
      <c r="W849" s="125"/>
      <c r="X849" s="125"/>
      <c r="Y849" s="125"/>
      <c r="Z849" s="125"/>
    </row>
    <row r="850" spans="1:26" ht="15.75" customHeight="1">
      <c r="A850" s="125"/>
      <c r="B850" s="125"/>
      <c r="C850" s="125"/>
      <c r="D850" s="125"/>
      <c r="E850" s="125"/>
      <c r="F850" s="126"/>
      <c r="G850" s="125"/>
      <c r="H850" s="125"/>
      <c r="I850" s="125"/>
      <c r="J850" s="125"/>
      <c r="K850" s="125"/>
      <c r="L850" s="125"/>
      <c r="M850" s="125"/>
      <c r="N850" s="129"/>
      <c r="O850" s="125"/>
      <c r="P850" s="173"/>
      <c r="Q850" s="125"/>
      <c r="R850" s="125"/>
      <c r="S850" s="125"/>
      <c r="T850" s="125"/>
      <c r="U850" s="125"/>
      <c r="V850" s="125"/>
      <c r="W850" s="125"/>
      <c r="X850" s="125"/>
      <c r="Y850" s="125"/>
      <c r="Z850" s="125"/>
    </row>
    <row r="851" spans="1:26" ht="15.75" customHeight="1">
      <c r="A851" s="125"/>
      <c r="B851" s="125"/>
      <c r="C851" s="125"/>
      <c r="D851" s="125"/>
      <c r="E851" s="125"/>
      <c r="F851" s="126"/>
      <c r="G851" s="125"/>
      <c r="H851" s="125"/>
      <c r="I851" s="125"/>
      <c r="J851" s="125"/>
      <c r="K851" s="125"/>
      <c r="L851" s="125"/>
      <c r="M851" s="125"/>
      <c r="N851" s="129"/>
      <c r="O851" s="125"/>
      <c r="P851" s="173"/>
      <c r="Q851" s="125"/>
      <c r="R851" s="125"/>
      <c r="S851" s="125"/>
      <c r="T851" s="125"/>
      <c r="U851" s="125"/>
      <c r="V851" s="125"/>
      <c r="W851" s="125"/>
      <c r="X851" s="125"/>
      <c r="Y851" s="125"/>
      <c r="Z851" s="125"/>
    </row>
    <row r="852" spans="1:26" ht="15.75" customHeight="1">
      <c r="A852" s="125"/>
      <c r="B852" s="125"/>
      <c r="C852" s="125"/>
      <c r="D852" s="125"/>
      <c r="E852" s="125"/>
      <c r="F852" s="126"/>
      <c r="G852" s="125"/>
      <c r="H852" s="125"/>
      <c r="I852" s="125"/>
      <c r="J852" s="125"/>
      <c r="K852" s="125"/>
      <c r="L852" s="125"/>
      <c r="M852" s="125"/>
      <c r="N852" s="129"/>
      <c r="O852" s="125"/>
      <c r="P852" s="173"/>
      <c r="Q852" s="125"/>
      <c r="R852" s="125"/>
      <c r="S852" s="125"/>
      <c r="T852" s="125"/>
      <c r="U852" s="125"/>
      <c r="V852" s="125"/>
      <c r="W852" s="125"/>
      <c r="X852" s="125"/>
      <c r="Y852" s="125"/>
      <c r="Z852" s="125"/>
    </row>
    <row r="853" spans="1:26" ht="15.75" customHeight="1">
      <c r="A853" s="125"/>
      <c r="B853" s="125"/>
      <c r="C853" s="125"/>
      <c r="D853" s="125"/>
      <c r="E853" s="125"/>
      <c r="F853" s="126"/>
      <c r="G853" s="125"/>
      <c r="H853" s="125"/>
      <c r="I853" s="125"/>
      <c r="J853" s="125"/>
      <c r="K853" s="125"/>
      <c r="L853" s="125"/>
      <c r="M853" s="125"/>
      <c r="N853" s="129"/>
      <c r="O853" s="125"/>
      <c r="P853" s="173"/>
      <c r="Q853" s="125"/>
      <c r="R853" s="125"/>
      <c r="S853" s="125"/>
      <c r="T853" s="125"/>
      <c r="U853" s="125"/>
      <c r="V853" s="125"/>
      <c r="W853" s="125"/>
      <c r="X853" s="125"/>
      <c r="Y853" s="125"/>
      <c r="Z853" s="125"/>
    </row>
    <row r="854" spans="1:26" ht="15.75" customHeight="1">
      <c r="A854" s="125"/>
      <c r="B854" s="125"/>
      <c r="C854" s="125"/>
      <c r="D854" s="125"/>
      <c r="E854" s="125"/>
      <c r="F854" s="126"/>
      <c r="G854" s="125"/>
      <c r="H854" s="125"/>
      <c r="I854" s="125"/>
      <c r="J854" s="125"/>
      <c r="K854" s="125"/>
      <c r="L854" s="125"/>
      <c r="M854" s="125"/>
      <c r="N854" s="129"/>
      <c r="O854" s="125"/>
      <c r="P854" s="173"/>
      <c r="Q854" s="125"/>
      <c r="R854" s="125"/>
      <c r="S854" s="125"/>
      <c r="T854" s="125"/>
      <c r="U854" s="125"/>
      <c r="V854" s="125"/>
      <c r="W854" s="125"/>
      <c r="X854" s="125"/>
      <c r="Y854" s="125"/>
      <c r="Z854" s="125"/>
    </row>
    <row r="855" spans="1:26" ht="15.75" customHeight="1">
      <c r="A855" s="125"/>
      <c r="B855" s="125"/>
      <c r="C855" s="125"/>
      <c r="D855" s="125"/>
      <c r="E855" s="125"/>
      <c r="F855" s="126"/>
      <c r="G855" s="125"/>
      <c r="H855" s="125"/>
      <c r="I855" s="125"/>
      <c r="J855" s="125"/>
      <c r="K855" s="125"/>
      <c r="L855" s="125"/>
      <c r="M855" s="125"/>
      <c r="N855" s="129"/>
      <c r="O855" s="125"/>
      <c r="P855" s="173"/>
      <c r="Q855" s="125"/>
      <c r="R855" s="125"/>
      <c r="S855" s="125"/>
      <c r="T855" s="125"/>
      <c r="U855" s="125"/>
      <c r="V855" s="125"/>
      <c r="W855" s="125"/>
      <c r="X855" s="125"/>
      <c r="Y855" s="125"/>
      <c r="Z855" s="125"/>
    </row>
    <row r="856" spans="1:26" ht="15.75" customHeight="1">
      <c r="A856" s="125"/>
      <c r="B856" s="125"/>
      <c r="C856" s="125"/>
      <c r="D856" s="125"/>
      <c r="E856" s="125"/>
      <c r="F856" s="126"/>
      <c r="G856" s="125"/>
      <c r="H856" s="125"/>
      <c r="I856" s="125"/>
      <c r="J856" s="125"/>
      <c r="K856" s="125"/>
      <c r="L856" s="125"/>
      <c r="M856" s="125"/>
      <c r="N856" s="129"/>
      <c r="O856" s="125"/>
      <c r="P856" s="173"/>
      <c r="Q856" s="125"/>
      <c r="R856" s="125"/>
      <c r="S856" s="125"/>
      <c r="T856" s="125"/>
      <c r="U856" s="125"/>
      <c r="V856" s="125"/>
      <c r="W856" s="125"/>
      <c r="X856" s="125"/>
      <c r="Y856" s="125"/>
      <c r="Z856" s="125"/>
    </row>
    <row r="857" spans="1:26" ht="15.75" customHeight="1">
      <c r="A857" s="125"/>
      <c r="B857" s="125"/>
      <c r="C857" s="125"/>
      <c r="D857" s="125"/>
      <c r="E857" s="125"/>
      <c r="F857" s="126"/>
      <c r="G857" s="125"/>
      <c r="H857" s="125"/>
      <c r="I857" s="125"/>
      <c r="J857" s="125"/>
      <c r="K857" s="125"/>
      <c r="L857" s="125"/>
      <c r="M857" s="125"/>
      <c r="N857" s="129"/>
      <c r="O857" s="125"/>
      <c r="P857" s="173"/>
      <c r="Q857" s="125"/>
      <c r="R857" s="125"/>
      <c r="S857" s="125"/>
      <c r="T857" s="125"/>
      <c r="U857" s="125"/>
      <c r="V857" s="125"/>
      <c r="W857" s="125"/>
      <c r="X857" s="125"/>
      <c r="Y857" s="125"/>
      <c r="Z857" s="125"/>
    </row>
    <row r="858" spans="1:26" ht="15.75" customHeight="1">
      <c r="A858" s="125"/>
      <c r="B858" s="125"/>
      <c r="C858" s="125"/>
      <c r="D858" s="125"/>
      <c r="E858" s="125"/>
      <c r="F858" s="126"/>
      <c r="G858" s="125"/>
      <c r="H858" s="125"/>
      <c r="I858" s="125"/>
      <c r="J858" s="125"/>
      <c r="K858" s="125"/>
      <c r="L858" s="125"/>
      <c r="M858" s="125"/>
      <c r="N858" s="129"/>
      <c r="O858" s="125"/>
      <c r="P858" s="173"/>
      <c r="Q858" s="125"/>
      <c r="R858" s="125"/>
      <c r="S858" s="125"/>
      <c r="T858" s="125"/>
      <c r="U858" s="125"/>
      <c r="V858" s="125"/>
      <c r="W858" s="125"/>
      <c r="X858" s="125"/>
      <c r="Y858" s="125"/>
      <c r="Z858" s="125"/>
    </row>
    <row r="859" spans="1:26" ht="15.75" customHeight="1">
      <c r="A859" s="125"/>
      <c r="B859" s="125"/>
      <c r="C859" s="125"/>
      <c r="D859" s="125"/>
      <c r="E859" s="125"/>
      <c r="F859" s="126"/>
      <c r="G859" s="125"/>
      <c r="H859" s="125"/>
      <c r="I859" s="125"/>
      <c r="J859" s="125"/>
      <c r="K859" s="125"/>
      <c r="L859" s="125"/>
      <c r="M859" s="125"/>
      <c r="N859" s="129"/>
      <c r="O859" s="125"/>
      <c r="P859" s="173"/>
      <c r="Q859" s="125"/>
      <c r="R859" s="125"/>
      <c r="S859" s="125"/>
      <c r="T859" s="125"/>
      <c r="U859" s="125"/>
      <c r="V859" s="125"/>
      <c r="W859" s="125"/>
      <c r="X859" s="125"/>
      <c r="Y859" s="125"/>
      <c r="Z859" s="125"/>
    </row>
    <row r="860" spans="1:26" ht="15.75" customHeight="1">
      <c r="A860" s="125"/>
      <c r="B860" s="125"/>
      <c r="C860" s="125"/>
      <c r="D860" s="125"/>
      <c r="E860" s="125"/>
      <c r="F860" s="126"/>
      <c r="G860" s="125"/>
      <c r="H860" s="125"/>
      <c r="I860" s="125"/>
      <c r="J860" s="125"/>
      <c r="K860" s="125"/>
      <c r="L860" s="125"/>
      <c r="M860" s="125"/>
      <c r="N860" s="129"/>
      <c r="O860" s="125"/>
      <c r="P860" s="173"/>
      <c r="Q860" s="125"/>
      <c r="R860" s="125"/>
      <c r="S860" s="125"/>
      <c r="T860" s="125"/>
      <c r="U860" s="125"/>
      <c r="V860" s="125"/>
      <c r="W860" s="125"/>
      <c r="X860" s="125"/>
      <c r="Y860" s="125"/>
      <c r="Z860" s="125"/>
    </row>
    <row r="861" spans="1:26" ht="15.75" customHeight="1">
      <c r="A861" s="125"/>
      <c r="B861" s="125"/>
      <c r="C861" s="125"/>
      <c r="D861" s="125"/>
      <c r="E861" s="125"/>
      <c r="F861" s="126"/>
      <c r="G861" s="125"/>
      <c r="H861" s="125"/>
      <c r="I861" s="125"/>
      <c r="J861" s="125"/>
      <c r="K861" s="125"/>
      <c r="L861" s="125"/>
      <c r="M861" s="125"/>
      <c r="N861" s="129"/>
      <c r="O861" s="125"/>
      <c r="P861" s="173"/>
      <c r="Q861" s="125"/>
      <c r="R861" s="125"/>
      <c r="S861" s="125"/>
      <c r="T861" s="125"/>
      <c r="U861" s="125"/>
      <c r="V861" s="125"/>
      <c r="W861" s="125"/>
      <c r="X861" s="125"/>
      <c r="Y861" s="125"/>
      <c r="Z861" s="125"/>
    </row>
    <row r="862" spans="1:26" ht="15.75" customHeight="1">
      <c r="A862" s="125"/>
      <c r="B862" s="125"/>
      <c r="C862" s="125"/>
      <c r="D862" s="125"/>
      <c r="E862" s="125"/>
      <c r="F862" s="126"/>
      <c r="G862" s="125"/>
      <c r="H862" s="125"/>
      <c r="I862" s="125"/>
      <c r="J862" s="125"/>
      <c r="K862" s="125"/>
      <c r="L862" s="125"/>
      <c r="M862" s="125"/>
      <c r="N862" s="129"/>
      <c r="O862" s="125"/>
      <c r="P862" s="173"/>
      <c r="Q862" s="125"/>
      <c r="R862" s="125"/>
      <c r="S862" s="125"/>
      <c r="T862" s="125"/>
      <c r="U862" s="125"/>
      <c r="V862" s="125"/>
      <c r="W862" s="125"/>
      <c r="X862" s="125"/>
      <c r="Y862" s="125"/>
      <c r="Z862" s="125"/>
    </row>
    <row r="863" spans="1:26" ht="15.75" customHeight="1">
      <c r="A863" s="125"/>
      <c r="B863" s="125"/>
      <c r="C863" s="125"/>
      <c r="D863" s="125"/>
      <c r="E863" s="125"/>
      <c r="F863" s="126"/>
      <c r="G863" s="125"/>
      <c r="H863" s="125"/>
      <c r="I863" s="125"/>
      <c r="J863" s="125"/>
      <c r="K863" s="125"/>
      <c r="L863" s="125"/>
      <c r="M863" s="125"/>
      <c r="N863" s="129"/>
      <c r="O863" s="125"/>
      <c r="P863" s="173"/>
      <c r="Q863" s="125"/>
      <c r="R863" s="125"/>
      <c r="S863" s="125"/>
      <c r="T863" s="125"/>
      <c r="U863" s="125"/>
      <c r="V863" s="125"/>
      <c r="W863" s="125"/>
      <c r="X863" s="125"/>
      <c r="Y863" s="125"/>
      <c r="Z863" s="125"/>
    </row>
    <row r="864" spans="1:26" ht="15.75" customHeight="1">
      <c r="A864" s="125"/>
      <c r="B864" s="125"/>
      <c r="C864" s="125"/>
      <c r="D864" s="125"/>
      <c r="E864" s="125"/>
      <c r="F864" s="126"/>
      <c r="G864" s="125"/>
      <c r="H864" s="125"/>
      <c r="I864" s="125"/>
      <c r="J864" s="125"/>
      <c r="K864" s="125"/>
      <c r="L864" s="125"/>
      <c r="M864" s="125"/>
      <c r="N864" s="129"/>
      <c r="O864" s="125"/>
      <c r="P864" s="173"/>
      <c r="Q864" s="125"/>
      <c r="R864" s="125"/>
      <c r="S864" s="125"/>
      <c r="T864" s="125"/>
      <c r="U864" s="125"/>
      <c r="V864" s="125"/>
      <c r="W864" s="125"/>
      <c r="X864" s="125"/>
      <c r="Y864" s="125"/>
      <c r="Z864" s="125"/>
    </row>
    <row r="865" spans="1:26" ht="15.75" customHeight="1">
      <c r="A865" s="125"/>
      <c r="B865" s="125"/>
      <c r="C865" s="125"/>
      <c r="D865" s="125"/>
      <c r="E865" s="125"/>
      <c r="F865" s="126"/>
      <c r="G865" s="125"/>
      <c r="H865" s="125"/>
      <c r="I865" s="125"/>
      <c r="J865" s="125"/>
      <c r="K865" s="125"/>
      <c r="L865" s="125"/>
      <c r="M865" s="125"/>
      <c r="N865" s="129"/>
      <c r="O865" s="125"/>
      <c r="P865" s="173"/>
      <c r="Q865" s="125"/>
      <c r="R865" s="125"/>
      <c r="S865" s="125"/>
      <c r="T865" s="125"/>
      <c r="U865" s="125"/>
      <c r="V865" s="125"/>
      <c r="W865" s="125"/>
      <c r="X865" s="125"/>
      <c r="Y865" s="125"/>
      <c r="Z865" s="125"/>
    </row>
    <row r="866" spans="1:26" ht="15.75" customHeight="1">
      <c r="A866" s="125"/>
      <c r="B866" s="125"/>
      <c r="C866" s="125"/>
      <c r="D866" s="125"/>
      <c r="E866" s="125"/>
      <c r="F866" s="126"/>
      <c r="G866" s="125"/>
      <c r="H866" s="125"/>
      <c r="I866" s="125"/>
      <c r="J866" s="125"/>
      <c r="K866" s="125"/>
      <c r="L866" s="125"/>
      <c r="M866" s="125"/>
      <c r="N866" s="129"/>
      <c r="O866" s="125"/>
      <c r="P866" s="173"/>
      <c r="Q866" s="125"/>
      <c r="R866" s="125"/>
      <c r="S866" s="125"/>
      <c r="T866" s="125"/>
      <c r="U866" s="125"/>
      <c r="V866" s="125"/>
      <c r="W866" s="125"/>
      <c r="X866" s="125"/>
      <c r="Y866" s="125"/>
      <c r="Z866" s="125"/>
    </row>
    <row r="867" spans="1:26" ht="15.75" customHeight="1">
      <c r="A867" s="125"/>
      <c r="B867" s="125"/>
      <c r="C867" s="125"/>
      <c r="D867" s="125"/>
      <c r="E867" s="125"/>
      <c r="F867" s="126"/>
      <c r="G867" s="125"/>
      <c r="H867" s="125"/>
      <c r="I867" s="125"/>
      <c r="J867" s="125"/>
      <c r="K867" s="125"/>
      <c r="L867" s="125"/>
      <c r="M867" s="125"/>
      <c r="N867" s="129"/>
      <c r="O867" s="125"/>
      <c r="P867" s="173"/>
      <c r="Q867" s="125"/>
      <c r="R867" s="125"/>
      <c r="S867" s="125"/>
      <c r="T867" s="125"/>
      <c r="U867" s="125"/>
      <c r="V867" s="125"/>
      <c r="W867" s="125"/>
      <c r="X867" s="125"/>
      <c r="Y867" s="125"/>
      <c r="Z867" s="125"/>
    </row>
    <row r="868" spans="1:26" ht="15.75" customHeight="1">
      <c r="A868" s="125"/>
      <c r="B868" s="125"/>
      <c r="C868" s="125"/>
      <c r="D868" s="125"/>
      <c r="E868" s="125"/>
      <c r="F868" s="126"/>
      <c r="G868" s="125"/>
      <c r="H868" s="125"/>
      <c r="I868" s="125"/>
      <c r="J868" s="125"/>
      <c r="K868" s="125"/>
      <c r="L868" s="125"/>
      <c r="M868" s="125"/>
      <c r="N868" s="129"/>
      <c r="O868" s="125"/>
      <c r="P868" s="173"/>
      <c r="Q868" s="125"/>
      <c r="R868" s="125"/>
      <c r="S868" s="125"/>
      <c r="T868" s="125"/>
      <c r="U868" s="125"/>
      <c r="V868" s="125"/>
      <c r="W868" s="125"/>
      <c r="X868" s="125"/>
      <c r="Y868" s="125"/>
      <c r="Z868" s="125"/>
    </row>
    <row r="869" spans="1:26" ht="15.75" customHeight="1">
      <c r="A869" s="125"/>
      <c r="B869" s="125"/>
      <c r="C869" s="125"/>
      <c r="D869" s="125"/>
      <c r="E869" s="125"/>
      <c r="F869" s="126"/>
      <c r="G869" s="125"/>
      <c r="H869" s="125"/>
      <c r="I869" s="125"/>
      <c r="J869" s="125"/>
      <c r="K869" s="125"/>
      <c r="L869" s="125"/>
      <c r="M869" s="125"/>
      <c r="N869" s="129"/>
      <c r="O869" s="125"/>
      <c r="P869" s="173"/>
      <c r="Q869" s="125"/>
      <c r="R869" s="125"/>
      <c r="S869" s="125"/>
      <c r="T869" s="125"/>
      <c r="U869" s="125"/>
      <c r="V869" s="125"/>
      <c r="W869" s="125"/>
      <c r="X869" s="125"/>
      <c r="Y869" s="125"/>
      <c r="Z869" s="125"/>
    </row>
    <row r="870" spans="1:26" ht="15.75" customHeight="1">
      <c r="A870" s="125"/>
      <c r="B870" s="125"/>
      <c r="C870" s="125"/>
      <c r="D870" s="125"/>
      <c r="E870" s="125"/>
      <c r="F870" s="126"/>
      <c r="G870" s="125"/>
      <c r="H870" s="125"/>
      <c r="I870" s="125"/>
      <c r="J870" s="125"/>
      <c r="K870" s="125"/>
      <c r="L870" s="125"/>
      <c r="M870" s="125"/>
      <c r="N870" s="129"/>
      <c r="O870" s="125"/>
      <c r="P870" s="173"/>
      <c r="Q870" s="125"/>
      <c r="R870" s="125"/>
      <c r="S870" s="125"/>
      <c r="T870" s="125"/>
      <c r="U870" s="125"/>
      <c r="V870" s="125"/>
      <c r="W870" s="125"/>
      <c r="X870" s="125"/>
      <c r="Y870" s="125"/>
      <c r="Z870" s="125"/>
    </row>
    <row r="871" spans="1:26" ht="15.75" customHeight="1">
      <c r="A871" s="125"/>
      <c r="B871" s="125"/>
      <c r="C871" s="125"/>
      <c r="D871" s="125"/>
      <c r="E871" s="125"/>
      <c r="F871" s="126"/>
      <c r="G871" s="125"/>
      <c r="H871" s="125"/>
      <c r="I871" s="125"/>
      <c r="J871" s="125"/>
      <c r="K871" s="125"/>
      <c r="L871" s="125"/>
      <c r="M871" s="125"/>
      <c r="N871" s="129"/>
      <c r="O871" s="125"/>
      <c r="P871" s="173"/>
      <c r="Q871" s="125"/>
      <c r="R871" s="125"/>
      <c r="S871" s="125"/>
      <c r="T871" s="125"/>
      <c r="U871" s="125"/>
      <c r="V871" s="125"/>
      <c r="W871" s="125"/>
      <c r="X871" s="125"/>
      <c r="Y871" s="125"/>
      <c r="Z871" s="125"/>
    </row>
    <row r="872" spans="1:26" ht="15.75" customHeight="1">
      <c r="A872" s="125"/>
      <c r="B872" s="125"/>
      <c r="C872" s="125"/>
      <c r="D872" s="125"/>
      <c r="E872" s="125"/>
      <c r="F872" s="126"/>
      <c r="G872" s="125"/>
      <c r="H872" s="125"/>
      <c r="I872" s="125"/>
      <c r="J872" s="125"/>
      <c r="K872" s="125"/>
      <c r="L872" s="125"/>
      <c r="M872" s="125"/>
      <c r="N872" s="129"/>
      <c r="O872" s="125"/>
      <c r="P872" s="173"/>
      <c r="Q872" s="125"/>
      <c r="R872" s="125"/>
      <c r="S872" s="125"/>
      <c r="T872" s="125"/>
      <c r="U872" s="125"/>
      <c r="V872" s="125"/>
      <c r="W872" s="125"/>
      <c r="X872" s="125"/>
      <c r="Y872" s="125"/>
      <c r="Z872" s="125"/>
    </row>
    <row r="873" spans="1:26" ht="15.75" customHeight="1">
      <c r="A873" s="125"/>
      <c r="B873" s="125"/>
      <c r="C873" s="125"/>
      <c r="D873" s="125"/>
      <c r="E873" s="125"/>
      <c r="F873" s="126"/>
      <c r="G873" s="125"/>
      <c r="H873" s="125"/>
      <c r="I873" s="125"/>
      <c r="J873" s="125"/>
      <c r="K873" s="125"/>
      <c r="L873" s="125"/>
      <c r="M873" s="125"/>
      <c r="N873" s="129"/>
      <c r="O873" s="125"/>
      <c r="P873" s="173"/>
      <c r="Q873" s="125"/>
      <c r="R873" s="125"/>
      <c r="S873" s="125"/>
      <c r="T873" s="125"/>
      <c r="U873" s="125"/>
      <c r="V873" s="125"/>
      <c r="W873" s="125"/>
      <c r="X873" s="125"/>
      <c r="Y873" s="125"/>
      <c r="Z873" s="125"/>
    </row>
    <row r="874" spans="1:26" ht="15.75" customHeight="1">
      <c r="A874" s="125"/>
      <c r="B874" s="125"/>
      <c r="C874" s="125"/>
      <c r="D874" s="125"/>
      <c r="E874" s="125"/>
      <c r="F874" s="126"/>
      <c r="G874" s="125"/>
      <c r="H874" s="125"/>
      <c r="I874" s="125"/>
      <c r="J874" s="125"/>
      <c r="K874" s="125"/>
      <c r="L874" s="125"/>
      <c r="M874" s="125"/>
      <c r="N874" s="129"/>
      <c r="O874" s="125"/>
      <c r="P874" s="173"/>
      <c r="Q874" s="125"/>
      <c r="R874" s="125"/>
      <c r="S874" s="125"/>
      <c r="T874" s="125"/>
      <c r="U874" s="125"/>
      <c r="V874" s="125"/>
      <c r="W874" s="125"/>
      <c r="X874" s="125"/>
      <c r="Y874" s="125"/>
      <c r="Z874" s="125"/>
    </row>
    <row r="875" spans="1:26" ht="15.75" customHeight="1">
      <c r="A875" s="125"/>
      <c r="B875" s="125"/>
      <c r="C875" s="125"/>
      <c r="D875" s="125"/>
      <c r="E875" s="125"/>
      <c r="F875" s="126"/>
      <c r="G875" s="125"/>
      <c r="H875" s="125"/>
      <c r="I875" s="125"/>
      <c r="J875" s="125"/>
      <c r="K875" s="125"/>
      <c r="L875" s="125"/>
      <c r="M875" s="125"/>
      <c r="N875" s="129"/>
      <c r="O875" s="125"/>
      <c r="P875" s="173"/>
      <c r="Q875" s="125"/>
      <c r="R875" s="125"/>
      <c r="S875" s="125"/>
      <c r="T875" s="125"/>
      <c r="U875" s="125"/>
      <c r="V875" s="125"/>
      <c r="W875" s="125"/>
      <c r="X875" s="125"/>
      <c r="Y875" s="125"/>
      <c r="Z875" s="125"/>
    </row>
    <row r="876" spans="1:26" ht="15.75" customHeight="1">
      <c r="A876" s="125"/>
      <c r="B876" s="125"/>
      <c r="C876" s="125"/>
      <c r="D876" s="125"/>
      <c r="E876" s="125"/>
      <c r="F876" s="126"/>
      <c r="G876" s="125"/>
      <c r="H876" s="125"/>
      <c r="I876" s="125"/>
      <c r="J876" s="125"/>
      <c r="K876" s="125"/>
      <c r="L876" s="125"/>
      <c r="M876" s="125"/>
      <c r="N876" s="129"/>
      <c r="O876" s="125"/>
      <c r="P876" s="173"/>
      <c r="Q876" s="125"/>
      <c r="R876" s="125"/>
      <c r="S876" s="125"/>
      <c r="T876" s="125"/>
      <c r="U876" s="125"/>
      <c r="V876" s="125"/>
      <c r="W876" s="125"/>
      <c r="X876" s="125"/>
      <c r="Y876" s="125"/>
      <c r="Z876" s="125"/>
    </row>
    <row r="877" spans="1:26" ht="15.75" customHeight="1">
      <c r="A877" s="125"/>
      <c r="B877" s="125"/>
      <c r="C877" s="125"/>
      <c r="D877" s="125"/>
      <c r="E877" s="125"/>
      <c r="F877" s="126"/>
      <c r="G877" s="125"/>
      <c r="H877" s="125"/>
      <c r="I877" s="125"/>
      <c r="J877" s="125"/>
      <c r="K877" s="125"/>
      <c r="L877" s="125"/>
      <c r="M877" s="125"/>
      <c r="N877" s="129"/>
      <c r="O877" s="125"/>
      <c r="P877" s="173"/>
      <c r="Q877" s="125"/>
      <c r="R877" s="125"/>
      <c r="S877" s="125"/>
      <c r="T877" s="125"/>
      <c r="U877" s="125"/>
      <c r="V877" s="125"/>
      <c r="W877" s="125"/>
      <c r="X877" s="125"/>
      <c r="Y877" s="125"/>
      <c r="Z877" s="125"/>
    </row>
    <row r="878" spans="1:26" ht="15.75" customHeight="1">
      <c r="A878" s="125"/>
      <c r="B878" s="125"/>
      <c r="C878" s="125"/>
      <c r="D878" s="125"/>
      <c r="E878" s="125"/>
      <c r="F878" s="126"/>
      <c r="G878" s="125"/>
      <c r="H878" s="125"/>
      <c r="I878" s="125"/>
      <c r="J878" s="125"/>
      <c r="K878" s="125"/>
      <c r="L878" s="125"/>
      <c r="M878" s="125"/>
      <c r="N878" s="129"/>
      <c r="O878" s="125"/>
      <c r="P878" s="173"/>
      <c r="Q878" s="125"/>
      <c r="R878" s="125"/>
      <c r="S878" s="125"/>
      <c r="T878" s="125"/>
      <c r="U878" s="125"/>
      <c r="V878" s="125"/>
      <c r="W878" s="125"/>
      <c r="X878" s="125"/>
      <c r="Y878" s="125"/>
      <c r="Z878" s="125"/>
    </row>
    <row r="879" spans="1:26" ht="15.75" customHeight="1">
      <c r="A879" s="125"/>
      <c r="B879" s="125"/>
      <c r="C879" s="125"/>
      <c r="D879" s="125"/>
      <c r="E879" s="125"/>
      <c r="F879" s="126"/>
      <c r="G879" s="125"/>
      <c r="H879" s="125"/>
      <c r="I879" s="125"/>
      <c r="J879" s="125"/>
      <c r="K879" s="125"/>
      <c r="L879" s="125"/>
      <c r="M879" s="125"/>
      <c r="N879" s="129"/>
      <c r="O879" s="125"/>
      <c r="P879" s="173"/>
      <c r="Q879" s="125"/>
      <c r="R879" s="125"/>
      <c r="S879" s="125"/>
      <c r="T879" s="125"/>
      <c r="U879" s="125"/>
      <c r="V879" s="125"/>
      <c r="W879" s="125"/>
      <c r="X879" s="125"/>
      <c r="Y879" s="125"/>
      <c r="Z879" s="125"/>
    </row>
    <row r="880" spans="1:26" ht="15.75" customHeight="1">
      <c r="A880" s="125"/>
      <c r="B880" s="125"/>
      <c r="C880" s="125"/>
      <c r="D880" s="125"/>
      <c r="E880" s="125"/>
      <c r="F880" s="126"/>
      <c r="G880" s="125"/>
      <c r="H880" s="125"/>
      <c r="I880" s="125"/>
      <c r="J880" s="125"/>
      <c r="K880" s="125"/>
      <c r="L880" s="125"/>
      <c r="M880" s="125"/>
      <c r="N880" s="129"/>
      <c r="O880" s="125"/>
      <c r="P880" s="173"/>
      <c r="Q880" s="125"/>
      <c r="R880" s="125"/>
      <c r="S880" s="125"/>
      <c r="T880" s="125"/>
      <c r="U880" s="125"/>
      <c r="V880" s="125"/>
      <c r="W880" s="125"/>
      <c r="X880" s="125"/>
      <c r="Y880" s="125"/>
      <c r="Z880" s="125"/>
    </row>
    <row r="881" spans="1:26" ht="15.75" customHeight="1">
      <c r="A881" s="125"/>
      <c r="B881" s="125"/>
      <c r="C881" s="125"/>
      <c r="D881" s="125"/>
      <c r="E881" s="125"/>
      <c r="F881" s="126"/>
      <c r="G881" s="125"/>
      <c r="H881" s="125"/>
      <c r="I881" s="125"/>
      <c r="J881" s="125"/>
      <c r="K881" s="125"/>
      <c r="L881" s="125"/>
      <c r="M881" s="125"/>
      <c r="N881" s="129"/>
      <c r="O881" s="125"/>
      <c r="P881" s="173"/>
      <c r="Q881" s="125"/>
      <c r="R881" s="125"/>
      <c r="S881" s="125"/>
      <c r="T881" s="125"/>
      <c r="U881" s="125"/>
      <c r="V881" s="125"/>
      <c r="W881" s="125"/>
      <c r="X881" s="125"/>
      <c r="Y881" s="125"/>
      <c r="Z881" s="125"/>
    </row>
    <row r="882" spans="1:26" ht="15.75" customHeight="1">
      <c r="A882" s="125"/>
      <c r="B882" s="125"/>
      <c r="C882" s="125"/>
      <c r="D882" s="125"/>
      <c r="E882" s="125"/>
      <c r="F882" s="126"/>
      <c r="G882" s="125"/>
      <c r="H882" s="125"/>
      <c r="I882" s="125"/>
      <c r="J882" s="125"/>
      <c r="K882" s="125"/>
      <c r="L882" s="125"/>
      <c r="M882" s="125"/>
      <c r="N882" s="129"/>
      <c r="O882" s="125"/>
      <c r="P882" s="173"/>
      <c r="Q882" s="125"/>
      <c r="R882" s="125"/>
      <c r="S882" s="125"/>
      <c r="T882" s="125"/>
      <c r="U882" s="125"/>
      <c r="V882" s="125"/>
      <c r="W882" s="125"/>
      <c r="X882" s="125"/>
      <c r="Y882" s="125"/>
      <c r="Z882" s="125"/>
    </row>
    <row r="883" spans="1:26" ht="15.75" customHeight="1">
      <c r="A883" s="125"/>
      <c r="B883" s="125"/>
      <c r="C883" s="125"/>
      <c r="D883" s="125"/>
      <c r="E883" s="125"/>
      <c r="F883" s="126"/>
      <c r="G883" s="125"/>
      <c r="H883" s="125"/>
      <c r="I883" s="125"/>
      <c r="J883" s="125"/>
      <c r="K883" s="125"/>
      <c r="L883" s="125"/>
      <c r="M883" s="125"/>
      <c r="N883" s="129"/>
      <c r="O883" s="125"/>
      <c r="P883" s="173"/>
      <c r="Q883" s="125"/>
      <c r="R883" s="125"/>
      <c r="S883" s="125"/>
      <c r="T883" s="125"/>
      <c r="U883" s="125"/>
      <c r="V883" s="125"/>
      <c r="W883" s="125"/>
      <c r="X883" s="125"/>
      <c r="Y883" s="125"/>
      <c r="Z883" s="125"/>
    </row>
    <row r="884" spans="1:26" ht="15.75" customHeight="1">
      <c r="A884" s="125"/>
      <c r="B884" s="125"/>
      <c r="C884" s="125"/>
      <c r="D884" s="125"/>
      <c r="E884" s="125"/>
      <c r="F884" s="126"/>
      <c r="G884" s="125"/>
      <c r="H884" s="125"/>
      <c r="I884" s="125"/>
      <c r="J884" s="125"/>
      <c r="K884" s="125"/>
      <c r="L884" s="125"/>
      <c r="M884" s="125"/>
      <c r="N884" s="129"/>
      <c r="O884" s="125"/>
      <c r="P884" s="173"/>
      <c r="Q884" s="125"/>
      <c r="R884" s="125"/>
      <c r="S884" s="125"/>
      <c r="T884" s="125"/>
      <c r="U884" s="125"/>
      <c r="V884" s="125"/>
      <c r="W884" s="125"/>
      <c r="X884" s="125"/>
      <c r="Y884" s="125"/>
      <c r="Z884" s="125"/>
    </row>
    <row r="885" spans="1:26" ht="15.75" customHeight="1">
      <c r="A885" s="125"/>
      <c r="B885" s="125"/>
      <c r="C885" s="125"/>
      <c r="D885" s="125"/>
      <c r="E885" s="125"/>
      <c r="F885" s="126"/>
      <c r="G885" s="125"/>
      <c r="H885" s="125"/>
      <c r="I885" s="125"/>
      <c r="J885" s="125"/>
      <c r="K885" s="125"/>
      <c r="L885" s="125"/>
      <c r="M885" s="125"/>
      <c r="N885" s="129"/>
      <c r="O885" s="125"/>
      <c r="P885" s="173"/>
      <c r="Q885" s="125"/>
      <c r="R885" s="125"/>
      <c r="S885" s="125"/>
      <c r="T885" s="125"/>
      <c r="U885" s="125"/>
      <c r="V885" s="125"/>
      <c r="W885" s="125"/>
      <c r="X885" s="125"/>
      <c r="Y885" s="125"/>
      <c r="Z885" s="125"/>
    </row>
    <row r="886" spans="1:26" ht="15.75" customHeight="1">
      <c r="A886" s="125"/>
      <c r="B886" s="125"/>
      <c r="C886" s="125"/>
      <c r="D886" s="125"/>
      <c r="E886" s="125"/>
      <c r="F886" s="126"/>
      <c r="G886" s="125"/>
      <c r="H886" s="125"/>
      <c r="I886" s="125"/>
      <c r="J886" s="125"/>
      <c r="K886" s="125"/>
      <c r="L886" s="125"/>
      <c r="M886" s="125"/>
      <c r="N886" s="129"/>
      <c r="O886" s="125"/>
      <c r="P886" s="173"/>
      <c r="Q886" s="125"/>
      <c r="R886" s="125"/>
      <c r="S886" s="125"/>
      <c r="T886" s="125"/>
      <c r="U886" s="125"/>
      <c r="V886" s="125"/>
      <c r="W886" s="125"/>
      <c r="X886" s="125"/>
      <c r="Y886" s="125"/>
      <c r="Z886" s="125"/>
    </row>
    <row r="887" spans="1:26" ht="15.75" customHeight="1">
      <c r="A887" s="125"/>
      <c r="B887" s="125"/>
      <c r="C887" s="125"/>
      <c r="D887" s="125"/>
      <c r="E887" s="125"/>
      <c r="F887" s="126"/>
      <c r="G887" s="125"/>
      <c r="H887" s="125"/>
      <c r="I887" s="125"/>
      <c r="J887" s="125"/>
      <c r="K887" s="125"/>
      <c r="L887" s="125"/>
      <c r="M887" s="125"/>
      <c r="N887" s="129"/>
      <c r="O887" s="125"/>
      <c r="P887" s="173"/>
      <c r="Q887" s="125"/>
      <c r="R887" s="125"/>
      <c r="S887" s="125"/>
      <c r="T887" s="125"/>
      <c r="U887" s="125"/>
      <c r="V887" s="125"/>
      <c r="W887" s="125"/>
      <c r="X887" s="125"/>
      <c r="Y887" s="125"/>
      <c r="Z887" s="125"/>
    </row>
    <row r="888" spans="1:26" ht="15.75" customHeight="1">
      <c r="A888" s="125"/>
      <c r="B888" s="125"/>
      <c r="C888" s="125"/>
      <c r="D888" s="125"/>
      <c r="E888" s="125"/>
      <c r="F888" s="126"/>
      <c r="G888" s="125"/>
      <c r="H888" s="125"/>
      <c r="I888" s="125"/>
      <c r="J888" s="125"/>
      <c r="K888" s="125"/>
      <c r="L888" s="125"/>
      <c r="M888" s="125"/>
      <c r="N888" s="129"/>
      <c r="O888" s="125"/>
      <c r="P888" s="173"/>
      <c r="Q888" s="125"/>
      <c r="R888" s="125"/>
      <c r="S888" s="125"/>
      <c r="T888" s="125"/>
      <c r="U888" s="125"/>
      <c r="V888" s="125"/>
      <c r="W888" s="125"/>
      <c r="X888" s="125"/>
      <c r="Y888" s="125"/>
      <c r="Z888" s="125"/>
    </row>
    <row r="889" spans="1:26" ht="15.75" customHeight="1">
      <c r="A889" s="125"/>
      <c r="B889" s="125"/>
      <c r="C889" s="125"/>
      <c r="D889" s="125"/>
      <c r="E889" s="125"/>
      <c r="F889" s="126"/>
      <c r="G889" s="125"/>
      <c r="H889" s="125"/>
      <c r="I889" s="125"/>
      <c r="J889" s="125"/>
      <c r="K889" s="125"/>
      <c r="L889" s="125"/>
      <c r="M889" s="125"/>
      <c r="N889" s="129"/>
      <c r="O889" s="125"/>
      <c r="P889" s="173"/>
      <c r="Q889" s="125"/>
      <c r="R889" s="125"/>
      <c r="S889" s="125"/>
      <c r="T889" s="125"/>
      <c r="U889" s="125"/>
      <c r="V889" s="125"/>
      <c r="W889" s="125"/>
      <c r="X889" s="125"/>
      <c r="Y889" s="125"/>
      <c r="Z889" s="125"/>
    </row>
    <row r="890" spans="1:26" ht="15.75" customHeight="1">
      <c r="A890" s="125"/>
      <c r="B890" s="125"/>
      <c r="C890" s="125"/>
      <c r="D890" s="125"/>
      <c r="E890" s="125"/>
      <c r="F890" s="126"/>
      <c r="G890" s="125"/>
      <c r="H890" s="125"/>
      <c r="I890" s="125"/>
      <c r="J890" s="125"/>
      <c r="K890" s="125"/>
      <c r="L890" s="125"/>
      <c r="M890" s="125"/>
      <c r="N890" s="129"/>
      <c r="O890" s="125"/>
      <c r="P890" s="173"/>
      <c r="Q890" s="125"/>
      <c r="R890" s="125"/>
      <c r="S890" s="125"/>
      <c r="T890" s="125"/>
      <c r="U890" s="125"/>
      <c r="V890" s="125"/>
      <c r="W890" s="125"/>
      <c r="X890" s="125"/>
      <c r="Y890" s="125"/>
      <c r="Z890" s="125"/>
    </row>
    <row r="891" spans="1:26" ht="15.75" customHeight="1">
      <c r="A891" s="125"/>
      <c r="B891" s="125"/>
      <c r="C891" s="125"/>
      <c r="D891" s="125"/>
      <c r="E891" s="125"/>
      <c r="F891" s="126"/>
      <c r="G891" s="125"/>
      <c r="H891" s="125"/>
      <c r="I891" s="125"/>
      <c r="J891" s="125"/>
      <c r="K891" s="125"/>
      <c r="L891" s="125"/>
      <c r="M891" s="125"/>
      <c r="N891" s="129"/>
      <c r="O891" s="125"/>
      <c r="P891" s="173"/>
      <c r="Q891" s="125"/>
      <c r="R891" s="125"/>
      <c r="S891" s="125"/>
      <c r="T891" s="125"/>
      <c r="U891" s="125"/>
      <c r="V891" s="125"/>
      <c r="W891" s="125"/>
      <c r="X891" s="125"/>
      <c r="Y891" s="125"/>
      <c r="Z891" s="125"/>
    </row>
    <row r="892" spans="1:26" ht="15.75" customHeight="1">
      <c r="A892" s="125"/>
      <c r="B892" s="125"/>
      <c r="C892" s="125"/>
      <c r="D892" s="125"/>
      <c r="E892" s="125"/>
      <c r="F892" s="126"/>
      <c r="G892" s="125"/>
      <c r="H892" s="125"/>
      <c r="I892" s="125"/>
      <c r="J892" s="125"/>
      <c r="K892" s="125"/>
      <c r="L892" s="125"/>
      <c r="M892" s="125"/>
      <c r="N892" s="129"/>
      <c r="O892" s="125"/>
      <c r="P892" s="173"/>
      <c r="Q892" s="125"/>
      <c r="R892" s="125"/>
      <c r="S892" s="125"/>
      <c r="T892" s="125"/>
      <c r="U892" s="125"/>
      <c r="V892" s="125"/>
      <c r="W892" s="125"/>
      <c r="X892" s="125"/>
      <c r="Y892" s="125"/>
      <c r="Z892" s="125"/>
    </row>
    <row r="893" spans="1:26" ht="15.75" customHeight="1">
      <c r="A893" s="125"/>
      <c r="B893" s="125"/>
      <c r="C893" s="125"/>
      <c r="D893" s="125"/>
      <c r="E893" s="125"/>
      <c r="F893" s="126"/>
      <c r="G893" s="125"/>
      <c r="H893" s="125"/>
      <c r="I893" s="125"/>
      <c r="J893" s="125"/>
      <c r="K893" s="125"/>
      <c r="L893" s="125"/>
      <c r="M893" s="125"/>
      <c r="N893" s="129"/>
      <c r="O893" s="125"/>
      <c r="P893" s="173"/>
      <c r="Q893" s="125"/>
      <c r="R893" s="125"/>
      <c r="S893" s="125"/>
      <c r="T893" s="125"/>
      <c r="U893" s="125"/>
      <c r="V893" s="125"/>
      <c r="W893" s="125"/>
      <c r="X893" s="125"/>
      <c r="Y893" s="125"/>
      <c r="Z893" s="125"/>
    </row>
    <row r="894" spans="1:26" ht="15.75" customHeight="1">
      <c r="A894" s="125"/>
      <c r="B894" s="125"/>
      <c r="C894" s="125"/>
      <c r="D894" s="125"/>
      <c r="E894" s="125"/>
      <c r="F894" s="126"/>
      <c r="G894" s="125"/>
      <c r="H894" s="125"/>
      <c r="I894" s="125"/>
      <c r="J894" s="125"/>
      <c r="K894" s="125"/>
      <c r="L894" s="125"/>
      <c r="M894" s="125"/>
      <c r="N894" s="129"/>
      <c r="O894" s="125"/>
      <c r="P894" s="173"/>
      <c r="Q894" s="125"/>
      <c r="R894" s="125"/>
      <c r="S894" s="125"/>
      <c r="T894" s="125"/>
      <c r="U894" s="125"/>
      <c r="V894" s="125"/>
      <c r="W894" s="125"/>
      <c r="X894" s="125"/>
      <c r="Y894" s="125"/>
      <c r="Z894" s="125"/>
    </row>
    <row r="895" spans="1:26" ht="15.75" customHeight="1">
      <c r="A895" s="125"/>
      <c r="B895" s="125"/>
      <c r="C895" s="125"/>
      <c r="D895" s="125"/>
      <c r="E895" s="125"/>
      <c r="F895" s="126"/>
      <c r="G895" s="125"/>
      <c r="H895" s="125"/>
      <c r="I895" s="125"/>
      <c r="J895" s="125"/>
      <c r="K895" s="125"/>
      <c r="L895" s="125"/>
      <c r="M895" s="125"/>
      <c r="N895" s="129"/>
      <c r="O895" s="125"/>
      <c r="P895" s="173"/>
      <c r="Q895" s="125"/>
      <c r="R895" s="125"/>
      <c r="S895" s="125"/>
      <c r="T895" s="125"/>
      <c r="U895" s="125"/>
      <c r="V895" s="125"/>
      <c r="W895" s="125"/>
      <c r="X895" s="125"/>
      <c r="Y895" s="125"/>
      <c r="Z895" s="125"/>
    </row>
    <row r="896" spans="1:26" ht="15.75" customHeight="1">
      <c r="A896" s="125"/>
      <c r="B896" s="125"/>
      <c r="C896" s="125"/>
      <c r="D896" s="125"/>
      <c r="E896" s="125"/>
      <c r="F896" s="126"/>
      <c r="G896" s="125"/>
      <c r="H896" s="125"/>
      <c r="I896" s="125"/>
      <c r="J896" s="125"/>
      <c r="K896" s="125"/>
      <c r="L896" s="125"/>
      <c r="M896" s="125"/>
      <c r="N896" s="129"/>
      <c r="O896" s="125"/>
      <c r="P896" s="173"/>
      <c r="Q896" s="125"/>
      <c r="R896" s="125"/>
      <c r="S896" s="125"/>
      <c r="T896" s="125"/>
      <c r="U896" s="125"/>
      <c r="V896" s="125"/>
      <c r="W896" s="125"/>
      <c r="X896" s="125"/>
      <c r="Y896" s="125"/>
      <c r="Z896" s="125"/>
    </row>
    <row r="897" spans="1:26" ht="15.75" customHeight="1">
      <c r="A897" s="125"/>
      <c r="B897" s="125"/>
      <c r="C897" s="125"/>
      <c r="D897" s="125"/>
      <c r="E897" s="125"/>
      <c r="F897" s="126"/>
      <c r="G897" s="125"/>
      <c r="H897" s="125"/>
      <c r="I897" s="125"/>
      <c r="J897" s="125"/>
      <c r="K897" s="125"/>
      <c r="L897" s="125"/>
      <c r="M897" s="125"/>
      <c r="N897" s="129"/>
      <c r="O897" s="125"/>
      <c r="P897" s="173"/>
      <c r="Q897" s="125"/>
      <c r="R897" s="125"/>
      <c r="S897" s="125"/>
      <c r="T897" s="125"/>
      <c r="U897" s="125"/>
      <c r="V897" s="125"/>
      <c r="W897" s="125"/>
      <c r="X897" s="125"/>
      <c r="Y897" s="125"/>
      <c r="Z897" s="125"/>
    </row>
    <row r="898" spans="1:26" ht="15.75" customHeight="1">
      <c r="A898" s="125"/>
      <c r="B898" s="125"/>
      <c r="C898" s="125"/>
      <c r="D898" s="125"/>
      <c r="E898" s="125"/>
      <c r="F898" s="126"/>
      <c r="G898" s="125"/>
      <c r="H898" s="125"/>
      <c r="I898" s="125"/>
      <c r="J898" s="125"/>
      <c r="K898" s="125"/>
      <c r="L898" s="125"/>
      <c r="M898" s="125"/>
      <c r="N898" s="129"/>
      <c r="O898" s="125"/>
      <c r="P898" s="173"/>
      <c r="Q898" s="125"/>
      <c r="R898" s="125"/>
      <c r="S898" s="125"/>
      <c r="T898" s="125"/>
      <c r="U898" s="125"/>
      <c r="V898" s="125"/>
      <c r="W898" s="125"/>
      <c r="X898" s="125"/>
      <c r="Y898" s="125"/>
      <c r="Z898" s="125"/>
    </row>
    <row r="899" spans="1:26" ht="15.75" customHeight="1">
      <c r="A899" s="125"/>
      <c r="B899" s="125"/>
      <c r="C899" s="125"/>
      <c r="D899" s="125"/>
      <c r="E899" s="125"/>
      <c r="F899" s="126"/>
      <c r="G899" s="125"/>
      <c r="H899" s="125"/>
      <c r="I899" s="125"/>
      <c r="J899" s="125"/>
      <c r="K899" s="125"/>
      <c r="L899" s="125"/>
      <c r="M899" s="125"/>
      <c r="N899" s="129"/>
      <c r="O899" s="125"/>
      <c r="P899" s="173"/>
      <c r="Q899" s="125"/>
      <c r="R899" s="125"/>
      <c r="S899" s="125"/>
      <c r="T899" s="125"/>
      <c r="U899" s="125"/>
      <c r="V899" s="125"/>
      <c r="W899" s="125"/>
      <c r="X899" s="125"/>
      <c r="Y899" s="125"/>
      <c r="Z899" s="125"/>
    </row>
    <row r="900" spans="1:26" ht="15.75" customHeight="1">
      <c r="A900" s="125"/>
      <c r="B900" s="125"/>
      <c r="C900" s="125"/>
      <c r="D900" s="125"/>
      <c r="E900" s="125"/>
      <c r="F900" s="126"/>
      <c r="G900" s="125"/>
      <c r="H900" s="125"/>
      <c r="I900" s="125"/>
      <c r="J900" s="125"/>
      <c r="K900" s="125"/>
      <c r="L900" s="125"/>
      <c r="M900" s="125"/>
      <c r="N900" s="129"/>
      <c r="O900" s="125"/>
      <c r="P900" s="173"/>
      <c r="Q900" s="125"/>
      <c r="R900" s="125"/>
      <c r="S900" s="125"/>
      <c r="T900" s="125"/>
      <c r="U900" s="125"/>
      <c r="V900" s="125"/>
      <c r="W900" s="125"/>
      <c r="X900" s="125"/>
      <c r="Y900" s="125"/>
      <c r="Z900" s="125"/>
    </row>
    <row r="901" spans="1:26" ht="15.75" customHeight="1">
      <c r="A901" s="125"/>
      <c r="B901" s="125"/>
      <c r="C901" s="125"/>
      <c r="D901" s="125"/>
      <c r="E901" s="125"/>
      <c r="F901" s="126"/>
      <c r="G901" s="125"/>
      <c r="H901" s="125"/>
      <c r="I901" s="125"/>
      <c r="J901" s="125"/>
      <c r="K901" s="125"/>
      <c r="L901" s="125"/>
      <c r="M901" s="125"/>
      <c r="N901" s="129"/>
      <c r="O901" s="125"/>
      <c r="P901" s="173"/>
      <c r="Q901" s="125"/>
      <c r="R901" s="125"/>
      <c r="S901" s="125"/>
      <c r="T901" s="125"/>
      <c r="U901" s="125"/>
      <c r="V901" s="125"/>
      <c r="W901" s="125"/>
      <c r="X901" s="125"/>
      <c r="Y901" s="125"/>
      <c r="Z901" s="125"/>
    </row>
    <row r="902" spans="1:26" ht="15.75" customHeight="1">
      <c r="A902" s="125"/>
      <c r="B902" s="125"/>
      <c r="C902" s="125"/>
      <c r="D902" s="125"/>
      <c r="E902" s="125"/>
      <c r="F902" s="126"/>
      <c r="G902" s="125"/>
      <c r="H902" s="125"/>
      <c r="I902" s="125"/>
      <c r="J902" s="125"/>
      <c r="K902" s="125"/>
      <c r="L902" s="125"/>
      <c r="M902" s="125"/>
      <c r="N902" s="129"/>
      <c r="O902" s="125"/>
      <c r="P902" s="173"/>
      <c r="Q902" s="125"/>
      <c r="R902" s="125"/>
      <c r="S902" s="125"/>
      <c r="T902" s="125"/>
      <c r="U902" s="125"/>
      <c r="V902" s="125"/>
      <c r="W902" s="125"/>
      <c r="X902" s="125"/>
      <c r="Y902" s="125"/>
      <c r="Z902" s="125"/>
    </row>
    <row r="903" spans="1:26" ht="15.75" customHeight="1">
      <c r="A903" s="125"/>
      <c r="B903" s="125"/>
      <c r="C903" s="125"/>
      <c r="D903" s="125"/>
      <c r="E903" s="125"/>
      <c r="F903" s="126"/>
      <c r="G903" s="125"/>
      <c r="H903" s="125"/>
      <c r="I903" s="125"/>
      <c r="J903" s="125"/>
      <c r="K903" s="125"/>
      <c r="L903" s="125"/>
      <c r="M903" s="125"/>
      <c r="N903" s="129"/>
      <c r="O903" s="125"/>
      <c r="P903" s="173"/>
      <c r="Q903" s="125"/>
      <c r="R903" s="125"/>
      <c r="S903" s="125"/>
      <c r="T903" s="125"/>
      <c r="U903" s="125"/>
      <c r="V903" s="125"/>
      <c r="W903" s="125"/>
      <c r="X903" s="125"/>
      <c r="Y903" s="125"/>
      <c r="Z903" s="125"/>
    </row>
    <row r="904" spans="1:26" ht="15.75" customHeight="1">
      <c r="A904" s="125"/>
      <c r="B904" s="125"/>
      <c r="C904" s="125"/>
      <c r="D904" s="125"/>
      <c r="E904" s="125"/>
      <c r="F904" s="126"/>
      <c r="G904" s="125"/>
      <c r="H904" s="125"/>
      <c r="I904" s="125"/>
      <c r="J904" s="125"/>
      <c r="K904" s="125"/>
      <c r="L904" s="125"/>
      <c r="M904" s="125"/>
      <c r="N904" s="129"/>
      <c r="O904" s="125"/>
      <c r="P904" s="173"/>
      <c r="Q904" s="125"/>
      <c r="R904" s="125"/>
      <c r="S904" s="125"/>
      <c r="T904" s="125"/>
      <c r="U904" s="125"/>
      <c r="V904" s="125"/>
      <c r="W904" s="125"/>
      <c r="X904" s="125"/>
      <c r="Y904" s="125"/>
      <c r="Z904" s="125"/>
    </row>
    <row r="905" spans="1:26" ht="15.75" customHeight="1">
      <c r="A905" s="125"/>
      <c r="B905" s="125"/>
      <c r="C905" s="125"/>
      <c r="D905" s="125"/>
      <c r="E905" s="125"/>
      <c r="F905" s="126"/>
      <c r="G905" s="125"/>
      <c r="H905" s="125"/>
      <c r="I905" s="125"/>
      <c r="J905" s="125"/>
      <c r="K905" s="125"/>
      <c r="L905" s="125"/>
      <c r="M905" s="125"/>
      <c r="N905" s="129"/>
      <c r="O905" s="125"/>
      <c r="P905" s="173"/>
      <c r="Q905" s="125"/>
      <c r="R905" s="125"/>
      <c r="S905" s="125"/>
      <c r="T905" s="125"/>
      <c r="U905" s="125"/>
      <c r="V905" s="125"/>
      <c r="W905" s="125"/>
      <c r="X905" s="125"/>
      <c r="Y905" s="125"/>
      <c r="Z905" s="125"/>
    </row>
    <row r="906" spans="1:26" ht="15.75" customHeight="1">
      <c r="A906" s="125"/>
      <c r="B906" s="125"/>
      <c r="C906" s="125"/>
      <c r="D906" s="125"/>
      <c r="E906" s="125"/>
      <c r="F906" s="126"/>
      <c r="G906" s="125"/>
      <c r="H906" s="125"/>
      <c r="I906" s="125"/>
      <c r="J906" s="125"/>
      <c r="K906" s="125"/>
      <c r="L906" s="125"/>
      <c r="M906" s="125"/>
      <c r="N906" s="129"/>
      <c r="O906" s="125"/>
      <c r="P906" s="173"/>
      <c r="Q906" s="125"/>
      <c r="R906" s="125"/>
      <c r="S906" s="125"/>
      <c r="T906" s="125"/>
      <c r="U906" s="125"/>
      <c r="V906" s="125"/>
      <c r="W906" s="125"/>
      <c r="X906" s="125"/>
      <c r="Y906" s="125"/>
      <c r="Z906" s="125"/>
    </row>
    <row r="907" spans="1:26" ht="15.75" customHeight="1">
      <c r="A907" s="125"/>
      <c r="B907" s="125"/>
      <c r="C907" s="125"/>
      <c r="D907" s="125"/>
      <c r="E907" s="125"/>
      <c r="F907" s="126"/>
      <c r="G907" s="125"/>
      <c r="H907" s="125"/>
      <c r="I907" s="125"/>
      <c r="J907" s="125"/>
      <c r="K907" s="125"/>
      <c r="L907" s="125"/>
      <c r="M907" s="125"/>
      <c r="N907" s="129"/>
      <c r="O907" s="125"/>
      <c r="P907" s="173"/>
      <c r="Q907" s="125"/>
      <c r="R907" s="125"/>
      <c r="S907" s="125"/>
      <c r="T907" s="125"/>
      <c r="U907" s="125"/>
      <c r="V907" s="125"/>
      <c r="W907" s="125"/>
      <c r="X907" s="125"/>
      <c r="Y907" s="125"/>
      <c r="Z907" s="125"/>
    </row>
    <row r="908" spans="1:26" ht="15.75" customHeight="1">
      <c r="A908" s="125"/>
      <c r="B908" s="125"/>
      <c r="C908" s="125"/>
      <c r="D908" s="125"/>
      <c r="E908" s="125"/>
      <c r="F908" s="126"/>
      <c r="G908" s="125"/>
      <c r="H908" s="125"/>
      <c r="I908" s="125"/>
      <c r="J908" s="125"/>
      <c r="K908" s="125"/>
      <c r="L908" s="125"/>
      <c r="M908" s="125"/>
      <c r="N908" s="129"/>
      <c r="O908" s="125"/>
      <c r="P908" s="173"/>
      <c r="Q908" s="125"/>
      <c r="R908" s="125"/>
      <c r="S908" s="125"/>
      <c r="T908" s="125"/>
      <c r="U908" s="125"/>
      <c r="V908" s="125"/>
      <c r="W908" s="125"/>
      <c r="X908" s="125"/>
      <c r="Y908" s="125"/>
      <c r="Z908" s="125"/>
    </row>
    <row r="909" spans="1:26" ht="15.75" customHeight="1">
      <c r="A909" s="125"/>
      <c r="B909" s="125"/>
      <c r="C909" s="125"/>
      <c r="D909" s="125"/>
      <c r="E909" s="125"/>
      <c r="F909" s="126"/>
      <c r="G909" s="125"/>
      <c r="H909" s="125"/>
      <c r="I909" s="125"/>
      <c r="J909" s="125"/>
      <c r="K909" s="125"/>
      <c r="L909" s="125"/>
      <c r="M909" s="125"/>
      <c r="N909" s="129"/>
      <c r="O909" s="125"/>
      <c r="P909" s="173"/>
      <c r="Q909" s="125"/>
      <c r="R909" s="125"/>
      <c r="S909" s="125"/>
      <c r="T909" s="125"/>
      <c r="U909" s="125"/>
      <c r="V909" s="125"/>
      <c r="W909" s="125"/>
      <c r="X909" s="125"/>
      <c r="Y909" s="125"/>
      <c r="Z909" s="125"/>
    </row>
    <row r="910" spans="1:26" ht="15.75" customHeight="1">
      <c r="A910" s="125"/>
      <c r="B910" s="125"/>
      <c r="C910" s="125"/>
      <c r="D910" s="125"/>
      <c r="E910" s="125"/>
      <c r="F910" s="126"/>
      <c r="G910" s="125"/>
      <c r="H910" s="125"/>
      <c r="I910" s="125"/>
      <c r="J910" s="125"/>
      <c r="K910" s="125"/>
      <c r="L910" s="125"/>
      <c r="M910" s="125"/>
      <c r="N910" s="129"/>
      <c r="O910" s="125"/>
      <c r="P910" s="173"/>
      <c r="Q910" s="125"/>
      <c r="R910" s="125"/>
      <c r="S910" s="125"/>
      <c r="T910" s="125"/>
      <c r="U910" s="125"/>
      <c r="V910" s="125"/>
      <c r="W910" s="125"/>
      <c r="X910" s="125"/>
      <c r="Y910" s="125"/>
      <c r="Z910" s="125"/>
    </row>
    <row r="911" spans="1:26" ht="15.75" customHeight="1">
      <c r="A911" s="125"/>
      <c r="B911" s="125"/>
      <c r="C911" s="125"/>
      <c r="D911" s="125"/>
      <c r="E911" s="125"/>
      <c r="F911" s="126"/>
      <c r="G911" s="125"/>
      <c r="H911" s="125"/>
      <c r="I911" s="125"/>
      <c r="J911" s="125"/>
      <c r="K911" s="125"/>
      <c r="L911" s="125"/>
      <c r="M911" s="125"/>
      <c r="N911" s="129"/>
      <c r="O911" s="125"/>
      <c r="P911" s="173"/>
      <c r="Q911" s="125"/>
      <c r="R911" s="125"/>
      <c r="S911" s="125"/>
      <c r="T911" s="125"/>
      <c r="U911" s="125"/>
      <c r="V911" s="125"/>
      <c r="W911" s="125"/>
      <c r="X911" s="125"/>
      <c r="Y911" s="125"/>
      <c r="Z911" s="125"/>
    </row>
    <row r="912" spans="1:26" ht="15.75" customHeight="1">
      <c r="A912" s="125"/>
      <c r="B912" s="125"/>
      <c r="C912" s="125"/>
      <c r="D912" s="125"/>
      <c r="E912" s="125"/>
      <c r="F912" s="126"/>
      <c r="G912" s="125"/>
      <c r="H912" s="125"/>
      <c r="I912" s="125"/>
      <c r="J912" s="125"/>
      <c r="K912" s="125"/>
      <c r="L912" s="125"/>
      <c r="M912" s="125"/>
      <c r="N912" s="129"/>
      <c r="O912" s="125"/>
      <c r="P912" s="173"/>
      <c r="Q912" s="125"/>
      <c r="R912" s="125"/>
      <c r="S912" s="125"/>
      <c r="T912" s="125"/>
      <c r="U912" s="125"/>
      <c r="V912" s="125"/>
      <c r="W912" s="125"/>
      <c r="X912" s="125"/>
      <c r="Y912" s="125"/>
      <c r="Z912" s="125"/>
    </row>
    <row r="913" spans="1:26" ht="15.75" customHeight="1">
      <c r="A913" s="125"/>
      <c r="B913" s="125"/>
      <c r="C913" s="125"/>
      <c r="D913" s="125"/>
      <c r="E913" s="125"/>
      <c r="F913" s="126"/>
      <c r="G913" s="125"/>
      <c r="H913" s="125"/>
      <c r="I913" s="125"/>
      <c r="J913" s="125"/>
      <c r="K913" s="125"/>
      <c r="L913" s="125"/>
      <c r="M913" s="125"/>
      <c r="N913" s="129"/>
      <c r="O913" s="125"/>
      <c r="P913" s="173"/>
      <c r="Q913" s="125"/>
      <c r="R913" s="125"/>
      <c r="S913" s="125"/>
      <c r="T913" s="125"/>
      <c r="U913" s="125"/>
      <c r="V913" s="125"/>
      <c r="W913" s="125"/>
      <c r="X913" s="125"/>
      <c r="Y913" s="125"/>
      <c r="Z913" s="125"/>
    </row>
    <row r="914" spans="1:26" ht="15.75" customHeight="1">
      <c r="A914" s="125"/>
      <c r="B914" s="125"/>
      <c r="C914" s="125"/>
      <c r="D914" s="125"/>
      <c r="E914" s="125"/>
      <c r="F914" s="126"/>
      <c r="G914" s="125"/>
      <c r="H914" s="125"/>
      <c r="I914" s="125"/>
      <c r="J914" s="125"/>
      <c r="K914" s="125"/>
      <c r="L914" s="125"/>
      <c r="M914" s="125"/>
      <c r="N914" s="129"/>
      <c r="O914" s="125"/>
      <c r="P914" s="173"/>
      <c r="Q914" s="125"/>
      <c r="R914" s="125"/>
      <c r="S914" s="125"/>
      <c r="T914" s="125"/>
      <c r="U914" s="125"/>
      <c r="V914" s="125"/>
      <c r="W914" s="125"/>
      <c r="X914" s="125"/>
      <c r="Y914" s="125"/>
      <c r="Z914" s="125"/>
    </row>
    <row r="915" spans="1:26" ht="15.75" customHeight="1">
      <c r="A915" s="125"/>
      <c r="B915" s="125"/>
      <c r="C915" s="125"/>
      <c r="D915" s="125"/>
      <c r="E915" s="125"/>
      <c r="F915" s="126"/>
      <c r="G915" s="125"/>
      <c r="H915" s="125"/>
      <c r="I915" s="125"/>
      <c r="J915" s="125"/>
      <c r="K915" s="125"/>
      <c r="L915" s="125"/>
      <c r="M915" s="125"/>
      <c r="N915" s="129"/>
      <c r="O915" s="125"/>
      <c r="P915" s="173"/>
      <c r="Q915" s="125"/>
      <c r="R915" s="125"/>
      <c r="S915" s="125"/>
      <c r="T915" s="125"/>
      <c r="U915" s="125"/>
      <c r="V915" s="125"/>
      <c r="W915" s="125"/>
      <c r="X915" s="125"/>
      <c r="Y915" s="125"/>
      <c r="Z915" s="125"/>
    </row>
    <row r="916" spans="1:26" ht="15.75" customHeight="1">
      <c r="A916" s="125"/>
      <c r="B916" s="125"/>
      <c r="C916" s="125"/>
      <c r="D916" s="125"/>
      <c r="E916" s="125"/>
      <c r="F916" s="126"/>
      <c r="G916" s="125"/>
      <c r="H916" s="125"/>
      <c r="I916" s="125"/>
      <c r="J916" s="125"/>
      <c r="K916" s="125"/>
      <c r="L916" s="125"/>
      <c r="M916" s="125"/>
      <c r="N916" s="129"/>
      <c r="O916" s="125"/>
      <c r="P916" s="173"/>
      <c r="Q916" s="125"/>
      <c r="R916" s="125"/>
      <c r="S916" s="125"/>
      <c r="T916" s="125"/>
      <c r="U916" s="125"/>
      <c r="V916" s="125"/>
      <c r="W916" s="125"/>
      <c r="X916" s="125"/>
      <c r="Y916" s="125"/>
      <c r="Z916" s="125"/>
    </row>
    <row r="917" spans="1:26" ht="15.75" customHeight="1">
      <c r="A917" s="125"/>
      <c r="B917" s="125"/>
      <c r="C917" s="125"/>
      <c r="D917" s="125"/>
      <c r="E917" s="125"/>
      <c r="F917" s="126"/>
      <c r="G917" s="125"/>
      <c r="H917" s="125"/>
      <c r="I917" s="125"/>
      <c r="J917" s="125"/>
      <c r="K917" s="125"/>
      <c r="L917" s="125"/>
      <c r="M917" s="125"/>
      <c r="N917" s="129"/>
      <c r="O917" s="125"/>
      <c r="P917" s="173"/>
      <c r="Q917" s="125"/>
      <c r="R917" s="125"/>
      <c r="S917" s="125"/>
      <c r="T917" s="125"/>
      <c r="U917" s="125"/>
      <c r="V917" s="125"/>
      <c r="W917" s="125"/>
      <c r="X917" s="125"/>
      <c r="Y917" s="125"/>
      <c r="Z917" s="125"/>
    </row>
    <row r="918" spans="1:26" ht="15.75" customHeight="1">
      <c r="A918" s="125"/>
      <c r="B918" s="125"/>
      <c r="C918" s="125"/>
      <c r="D918" s="125"/>
      <c r="E918" s="125"/>
      <c r="F918" s="126"/>
      <c r="G918" s="125"/>
      <c r="H918" s="125"/>
      <c r="I918" s="125"/>
      <c r="J918" s="125"/>
      <c r="K918" s="125"/>
      <c r="L918" s="125"/>
      <c r="M918" s="125"/>
      <c r="N918" s="129"/>
      <c r="O918" s="125"/>
      <c r="P918" s="173"/>
      <c r="Q918" s="125"/>
      <c r="R918" s="125"/>
      <c r="S918" s="125"/>
      <c r="T918" s="125"/>
      <c r="U918" s="125"/>
      <c r="V918" s="125"/>
      <c r="W918" s="125"/>
      <c r="X918" s="125"/>
      <c r="Y918" s="125"/>
      <c r="Z918" s="125"/>
    </row>
    <row r="919" spans="1:26" ht="15.75" customHeight="1">
      <c r="A919" s="125"/>
      <c r="B919" s="125"/>
      <c r="C919" s="125"/>
      <c r="D919" s="125"/>
      <c r="E919" s="125"/>
      <c r="F919" s="126"/>
      <c r="G919" s="125"/>
      <c r="H919" s="125"/>
      <c r="I919" s="125"/>
      <c r="J919" s="125"/>
      <c r="K919" s="125"/>
      <c r="L919" s="125"/>
      <c r="M919" s="125"/>
      <c r="N919" s="129"/>
      <c r="O919" s="125"/>
      <c r="P919" s="173"/>
      <c r="Q919" s="125"/>
      <c r="R919" s="125"/>
      <c r="S919" s="125"/>
      <c r="T919" s="125"/>
      <c r="U919" s="125"/>
      <c r="V919" s="125"/>
      <c r="W919" s="125"/>
      <c r="X919" s="125"/>
      <c r="Y919" s="125"/>
      <c r="Z919" s="125"/>
    </row>
    <row r="920" spans="1:26" ht="15.75" customHeight="1">
      <c r="A920" s="125"/>
      <c r="B920" s="125"/>
      <c r="C920" s="125"/>
      <c r="D920" s="125"/>
      <c r="E920" s="125"/>
      <c r="F920" s="126"/>
      <c r="G920" s="125"/>
      <c r="H920" s="125"/>
      <c r="I920" s="125"/>
      <c r="J920" s="125"/>
      <c r="K920" s="125"/>
      <c r="L920" s="125"/>
      <c r="M920" s="125"/>
      <c r="N920" s="129"/>
      <c r="O920" s="125"/>
      <c r="P920" s="173"/>
      <c r="Q920" s="125"/>
      <c r="R920" s="125"/>
      <c r="S920" s="125"/>
      <c r="T920" s="125"/>
      <c r="U920" s="125"/>
      <c r="V920" s="125"/>
      <c r="W920" s="125"/>
      <c r="X920" s="125"/>
      <c r="Y920" s="125"/>
      <c r="Z920" s="125"/>
    </row>
    <row r="921" spans="1:26" ht="15.75" customHeight="1">
      <c r="A921" s="125"/>
      <c r="B921" s="125"/>
      <c r="C921" s="125"/>
      <c r="D921" s="125"/>
      <c r="E921" s="125"/>
      <c r="F921" s="126"/>
      <c r="G921" s="125"/>
      <c r="H921" s="125"/>
      <c r="I921" s="125"/>
      <c r="J921" s="125"/>
      <c r="K921" s="125"/>
      <c r="L921" s="125"/>
      <c r="M921" s="125"/>
      <c r="N921" s="129"/>
      <c r="O921" s="125"/>
      <c r="P921" s="173"/>
      <c r="Q921" s="125"/>
      <c r="R921" s="125"/>
      <c r="S921" s="125"/>
      <c r="T921" s="125"/>
      <c r="U921" s="125"/>
      <c r="V921" s="125"/>
      <c r="W921" s="125"/>
      <c r="X921" s="125"/>
      <c r="Y921" s="125"/>
      <c r="Z921" s="125"/>
    </row>
    <row r="922" spans="1:26" ht="15.75" customHeight="1">
      <c r="A922" s="125"/>
      <c r="B922" s="125"/>
      <c r="C922" s="125"/>
      <c r="D922" s="125"/>
      <c r="E922" s="125"/>
      <c r="F922" s="126"/>
      <c r="G922" s="125"/>
      <c r="H922" s="125"/>
      <c r="I922" s="125"/>
      <c r="J922" s="125"/>
      <c r="K922" s="125"/>
      <c r="L922" s="125"/>
      <c r="M922" s="125"/>
      <c r="N922" s="129"/>
      <c r="O922" s="125"/>
      <c r="P922" s="173"/>
      <c r="Q922" s="125"/>
      <c r="R922" s="125"/>
      <c r="S922" s="125"/>
      <c r="T922" s="125"/>
      <c r="U922" s="125"/>
      <c r="V922" s="125"/>
      <c r="W922" s="125"/>
      <c r="X922" s="125"/>
      <c r="Y922" s="125"/>
      <c r="Z922" s="125"/>
    </row>
    <row r="923" spans="1:26" ht="15.75" customHeight="1">
      <c r="A923" s="125"/>
      <c r="B923" s="125"/>
      <c r="C923" s="125"/>
      <c r="D923" s="125"/>
      <c r="E923" s="125"/>
      <c r="F923" s="126"/>
      <c r="G923" s="125"/>
      <c r="H923" s="125"/>
      <c r="I923" s="125"/>
      <c r="J923" s="125"/>
      <c r="K923" s="125"/>
      <c r="L923" s="125"/>
      <c r="M923" s="125"/>
      <c r="N923" s="129"/>
      <c r="O923" s="125"/>
      <c r="P923" s="173"/>
      <c r="Q923" s="125"/>
      <c r="R923" s="125"/>
      <c r="S923" s="125"/>
      <c r="T923" s="125"/>
      <c r="U923" s="125"/>
      <c r="V923" s="125"/>
      <c r="W923" s="125"/>
      <c r="X923" s="125"/>
      <c r="Y923" s="125"/>
      <c r="Z923" s="125"/>
    </row>
    <row r="924" spans="1:26" ht="15.75" customHeight="1">
      <c r="A924" s="125"/>
      <c r="B924" s="125"/>
      <c r="C924" s="125"/>
      <c r="D924" s="125"/>
      <c r="E924" s="125"/>
      <c r="F924" s="126"/>
      <c r="G924" s="125"/>
      <c r="H924" s="125"/>
      <c r="I924" s="125"/>
      <c r="J924" s="125"/>
      <c r="K924" s="125"/>
      <c r="L924" s="125"/>
      <c r="M924" s="125"/>
      <c r="N924" s="129"/>
      <c r="O924" s="125"/>
      <c r="P924" s="173"/>
      <c r="Q924" s="125"/>
      <c r="R924" s="125"/>
      <c r="S924" s="125"/>
      <c r="T924" s="125"/>
      <c r="U924" s="125"/>
      <c r="V924" s="125"/>
      <c r="W924" s="125"/>
      <c r="X924" s="125"/>
      <c r="Y924" s="125"/>
      <c r="Z924" s="125"/>
    </row>
    <row r="925" spans="1:26" ht="15.75" customHeight="1">
      <c r="A925" s="125"/>
      <c r="B925" s="125"/>
      <c r="C925" s="125"/>
      <c r="D925" s="125"/>
      <c r="E925" s="125"/>
      <c r="F925" s="126"/>
      <c r="G925" s="125"/>
      <c r="H925" s="125"/>
      <c r="I925" s="125"/>
      <c r="J925" s="125"/>
      <c r="K925" s="125"/>
      <c r="L925" s="125"/>
      <c r="M925" s="125"/>
      <c r="N925" s="129"/>
      <c r="O925" s="125"/>
      <c r="P925" s="173"/>
      <c r="Q925" s="125"/>
      <c r="R925" s="125"/>
      <c r="S925" s="125"/>
      <c r="T925" s="125"/>
      <c r="U925" s="125"/>
      <c r="V925" s="125"/>
      <c r="W925" s="125"/>
      <c r="X925" s="125"/>
      <c r="Y925" s="125"/>
      <c r="Z925" s="125"/>
    </row>
    <row r="926" spans="1:26" ht="15.75" customHeight="1">
      <c r="A926" s="125"/>
      <c r="B926" s="125"/>
      <c r="C926" s="125"/>
      <c r="D926" s="125"/>
      <c r="E926" s="125"/>
      <c r="F926" s="126"/>
      <c r="G926" s="125"/>
      <c r="H926" s="125"/>
      <c r="I926" s="125"/>
      <c r="J926" s="125"/>
      <c r="K926" s="125"/>
      <c r="L926" s="125"/>
      <c r="M926" s="125"/>
      <c r="N926" s="129"/>
      <c r="O926" s="125"/>
      <c r="P926" s="173"/>
      <c r="Q926" s="125"/>
      <c r="R926" s="125"/>
      <c r="S926" s="125"/>
      <c r="T926" s="125"/>
      <c r="U926" s="125"/>
      <c r="V926" s="125"/>
      <c r="W926" s="125"/>
      <c r="X926" s="125"/>
      <c r="Y926" s="125"/>
      <c r="Z926" s="125"/>
    </row>
    <row r="927" spans="1:26" ht="15.75" customHeight="1">
      <c r="A927" s="125"/>
      <c r="B927" s="125"/>
      <c r="C927" s="125"/>
      <c r="D927" s="125"/>
      <c r="E927" s="125"/>
      <c r="F927" s="126"/>
      <c r="G927" s="125"/>
      <c r="H927" s="125"/>
      <c r="I927" s="125"/>
      <c r="J927" s="125"/>
      <c r="K927" s="125"/>
      <c r="L927" s="125"/>
      <c r="M927" s="125"/>
      <c r="N927" s="129"/>
      <c r="O927" s="125"/>
      <c r="P927" s="173"/>
      <c r="Q927" s="125"/>
      <c r="R927" s="125"/>
      <c r="S927" s="125"/>
      <c r="T927" s="125"/>
      <c r="U927" s="125"/>
      <c r="V927" s="125"/>
      <c r="W927" s="125"/>
      <c r="X927" s="125"/>
      <c r="Y927" s="125"/>
      <c r="Z927" s="125"/>
    </row>
    <row r="928" spans="1:26" ht="15.75" customHeight="1">
      <c r="A928" s="125"/>
      <c r="B928" s="125"/>
      <c r="C928" s="125"/>
      <c r="D928" s="125"/>
      <c r="E928" s="125"/>
      <c r="F928" s="126"/>
      <c r="G928" s="125"/>
      <c r="H928" s="125"/>
      <c r="I928" s="125"/>
      <c r="J928" s="125"/>
      <c r="K928" s="125"/>
      <c r="L928" s="125"/>
      <c r="M928" s="125"/>
      <c r="N928" s="129"/>
      <c r="O928" s="125"/>
      <c r="P928" s="173"/>
      <c r="Q928" s="125"/>
      <c r="R928" s="125"/>
      <c r="S928" s="125"/>
      <c r="T928" s="125"/>
      <c r="U928" s="125"/>
      <c r="V928" s="125"/>
      <c r="W928" s="125"/>
      <c r="X928" s="125"/>
      <c r="Y928" s="125"/>
      <c r="Z928" s="125"/>
    </row>
    <row r="929" spans="1:26" ht="15.75" customHeight="1">
      <c r="A929" s="125"/>
      <c r="B929" s="125"/>
      <c r="C929" s="125"/>
      <c r="D929" s="125"/>
      <c r="E929" s="125"/>
      <c r="F929" s="126"/>
      <c r="G929" s="125"/>
      <c r="H929" s="125"/>
      <c r="I929" s="125"/>
      <c r="J929" s="125"/>
      <c r="K929" s="125"/>
      <c r="L929" s="125"/>
      <c r="M929" s="125"/>
      <c r="N929" s="129"/>
      <c r="O929" s="125"/>
      <c r="P929" s="173"/>
      <c r="Q929" s="125"/>
      <c r="R929" s="125"/>
      <c r="S929" s="125"/>
      <c r="T929" s="125"/>
      <c r="U929" s="125"/>
      <c r="V929" s="125"/>
      <c r="W929" s="125"/>
      <c r="X929" s="125"/>
      <c r="Y929" s="125"/>
      <c r="Z929" s="125"/>
    </row>
    <row r="930" spans="1:26" ht="15.75" customHeight="1">
      <c r="A930" s="125"/>
      <c r="B930" s="125"/>
      <c r="C930" s="125"/>
      <c r="D930" s="125"/>
      <c r="E930" s="125"/>
      <c r="F930" s="126"/>
      <c r="G930" s="125"/>
      <c r="H930" s="125"/>
      <c r="I930" s="125"/>
      <c r="J930" s="125"/>
      <c r="K930" s="125"/>
      <c r="L930" s="125"/>
      <c r="M930" s="125"/>
      <c r="N930" s="129"/>
      <c r="O930" s="125"/>
      <c r="P930" s="173"/>
      <c r="Q930" s="125"/>
      <c r="R930" s="125"/>
      <c r="S930" s="125"/>
      <c r="T930" s="125"/>
      <c r="U930" s="125"/>
      <c r="V930" s="125"/>
      <c r="W930" s="125"/>
      <c r="X930" s="125"/>
      <c r="Y930" s="125"/>
      <c r="Z930" s="125"/>
    </row>
    <row r="931" spans="1:26" ht="15.75" customHeight="1">
      <c r="A931" s="125"/>
      <c r="B931" s="125"/>
      <c r="C931" s="125"/>
      <c r="D931" s="125"/>
      <c r="E931" s="125"/>
      <c r="F931" s="126"/>
      <c r="G931" s="125"/>
      <c r="H931" s="125"/>
      <c r="I931" s="125"/>
      <c r="J931" s="125"/>
      <c r="K931" s="125"/>
      <c r="L931" s="125"/>
      <c r="M931" s="125"/>
      <c r="N931" s="129"/>
      <c r="O931" s="125"/>
      <c r="P931" s="173"/>
      <c r="Q931" s="125"/>
      <c r="R931" s="125"/>
      <c r="S931" s="125"/>
      <c r="T931" s="125"/>
      <c r="U931" s="125"/>
      <c r="V931" s="125"/>
      <c r="W931" s="125"/>
      <c r="X931" s="125"/>
      <c r="Y931" s="125"/>
      <c r="Z931" s="125"/>
    </row>
    <row r="932" spans="1:26" ht="15.75" customHeight="1">
      <c r="A932" s="125"/>
      <c r="B932" s="125"/>
      <c r="C932" s="125"/>
      <c r="D932" s="125"/>
      <c r="E932" s="125"/>
      <c r="F932" s="126"/>
      <c r="G932" s="125"/>
      <c r="H932" s="125"/>
      <c r="I932" s="125"/>
      <c r="J932" s="125"/>
      <c r="K932" s="125"/>
      <c r="L932" s="125"/>
      <c r="M932" s="125"/>
      <c r="N932" s="129"/>
      <c r="O932" s="125"/>
      <c r="P932" s="173"/>
      <c r="Q932" s="125"/>
      <c r="R932" s="125"/>
      <c r="S932" s="125"/>
      <c r="T932" s="125"/>
      <c r="U932" s="125"/>
      <c r="V932" s="125"/>
      <c r="W932" s="125"/>
      <c r="X932" s="125"/>
      <c r="Y932" s="125"/>
      <c r="Z932" s="125"/>
    </row>
    <row r="933" spans="1:26" ht="15.75" customHeight="1">
      <c r="A933" s="125"/>
      <c r="B933" s="125"/>
      <c r="C933" s="125"/>
      <c r="D933" s="125"/>
      <c r="E933" s="125"/>
      <c r="F933" s="126"/>
      <c r="G933" s="125"/>
      <c r="H933" s="125"/>
      <c r="I933" s="125"/>
      <c r="J933" s="125"/>
      <c r="K933" s="125"/>
      <c r="L933" s="125"/>
      <c r="M933" s="125"/>
      <c r="N933" s="129"/>
      <c r="O933" s="125"/>
      <c r="P933" s="173"/>
      <c r="Q933" s="125"/>
      <c r="R933" s="125"/>
      <c r="S933" s="125"/>
      <c r="T933" s="125"/>
      <c r="U933" s="125"/>
      <c r="V933" s="125"/>
      <c r="W933" s="125"/>
      <c r="X933" s="125"/>
      <c r="Y933" s="125"/>
      <c r="Z933" s="125"/>
    </row>
    <row r="934" spans="1:26" ht="15.75" customHeight="1">
      <c r="A934" s="125"/>
      <c r="B934" s="125"/>
      <c r="C934" s="125"/>
      <c r="D934" s="125"/>
      <c r="E934" s="125"/>
      <c r="F934" s="126"/>
      <c r="G934" s="125"/>
      <c r="H934" s="125"/>
      <c r="I934" s="125"/>
      <c r="J934" s="125"/>
      <c r="K934" s="125"/>
      <c r="L934" s="125"/>
      <c r="M934" s="125"/>
      <c r="N934" s="129"/>
      <c r="O934" s="125"/>
      <c r="P934" s="173"/>
      <c r="Q934" s="125"/>
      <c r="R934" s="125"/>
      <c r="S934" s="125"/>
      <c r="T934" s="125"/>
      <c r="U934" s="125"/>
      <c r="V934" s="125"/>
      <c r="W934" s="125"/>
      <c r="X934" s="125"/>
      <c r="Y934" s="125"/>
      <c r="Z934" s="125"/>
    </row>
    <row r="935" spans="1:26" ht="15.75" customHeight="1">
      <c r="A935" s="125"/>
      <c r="B935" s="125"/>
      <c r="C935" s="125"/>
      <c r="D935" s="125"/>
      <c r="E935" s="125"/>
      <c r="F935" s="126"/>
      <c r="G935" s="125"/>
      <c r="H935" s="125"/>
      <c r="I935" s="125"/>
      <c r="J935" s="125"/>
      <c r="K935" s="125"/>
      <c r="L935" s="125"/>
      <c r="M935" s="125"/>
      <c r="N935" s="129"/>
      <c r="O935" s="125"/>
      <c r="P935" s="173"/>
      <c r="Q935" s="125"/>
      <c r="R935" s="125"/>
      <c r="S935" s="125"/>
      <c r="T935" s="125"/>
      <c r="U935" s="125"/>
      <c r="V935" s="125"/>
      <c r="W935" s="125"/>
      <c r="X935" s="125"/>
      <c r="Y935" s="125"/>
      <c r="Z935" s="125"/>
    </row>
    <row r="936" spans="1:26" ht="15.75" customHeight="1">
      <c r="A936" s="125"/>
      <c r="B936" s="125"/>
      <c r="C936" s="125"/>
      <c r="D936" s="125"/>
      <c r="E936" s="125"/>
      <c r="F936" s="126"/>
      <c r="G936" s="125"/>
      <c r="H936" s="125"/>
      <c r="I936" s="125"/>
      <c r="J936" s="125"/>
      <c r="K936" s="125"/>
      <c r="L936" s="125"/>
      <c r="M936" s="125"/>
      <c r="N936" s="129"/>
      <c r="O936" s="125"/>
      <c r="P936" s="173"/>
      <c r="Q936" s="125"/>
      <c r="R936" s="125"/>
      <c r="S936" s="125"/>
      <c r="T936" s="125"/>
      <c r="U936" s="125"/>
      <c r="V936" s="125"/>
      <c r="W936" s="125"/>
      <c r="X936" s="125"/>
      <c r="Y936" s="125"/>
      <c r="Z936" s="125"/>
    </row>
    <row r="937" spans="1:26" ht="15.75" customHeight="1">
      <c r="A937" s="125"/>
      <c r="B937" s="125"/>
      <c r="C937" s="125"/>
      <c r="D937" s="125"/>
      <c r="E937" s="125"/>
      <c r="F937" s="126"/>
      <c r="G937" s="125"/>
      <c r="H937" s="125"/>
      <c r="I937" s="125"/>
      <c r="J937" s="125"/>
      <c r="K937" s="125"/>
      <c r="L937" s="125"/>
      <c r="M937" s="125"/>
      <c r="N937" s="129"/>
      <c r="O937" s="125"/>
      <c r="P937" s="173"/>
      <c r="Q937" s="125"/>
      <c r="R937" s="125"/>
      <c r="S937" s="125"/>
      <c r="T937" s="125"/>
      <c r="U937" s="125"/>
      <c r="V937" s="125"/>
      <c r="W937" s="125"/>
      <c r="X937" s="125"/>
      <c r="Y937" s="125"/>
      <c r="Z937" s="125"/>
    </row>
    <row r="938" spans="1:26" ht="15.75" customHeight="1">
      <c r="A938" s="125"/>
      <c r="B938" s="125"/>
      <c r="C938" s="125"/>
      <c r="D938" s="125"/>
      <c r="E938" s="125"/>
      <c r="F938" s="126"/>
      <c r="G938" s="125"/>
      <c r="H938" s="125"/>
      <c r="I938" s="125"/>
      <c r="J938" s="125"/>
      <c r="K938" s="125"/>
      <c r="L938" s="125"/>
      <c r="M938" s="125"/>
      <c r="N938" s="129"/>
      <c r="O938" s="125"/>
      <c r="P938" s="173"/>
      <c r="Q938" s="125"/>
      <c r="R938" s="125"/>
      <c r="S938" s="125"/>
      <c r="T938" s="125"/>
      <c r="U938" s="125"/>
      <c r="V938" s="125"/>
      <c r="W938" s="125"/>
      <c r="X938" s="125"/>
      <c r="Y938" s="125"/>
      <c r="Z938" s="125"/>
    </row>
    <row r="939" spans="1:26" ht="15.75" customHeight="1">
      <c r="A939" s="125"/>
      <c r="B939" s="125"/>
      <c r="C939" s="125"/>
      <c r="D939" s="125"/>
      <c r="E939" s="125"/>
      <c r="F939" s="126"/>
      <c r="G939" s="125"/>
      <c r="H939" s="125"/>
      <c r="I939" s="125"/>
      <c r="J939" s="125"/>
      <c r="K939" s="125"/>
      <c r="L939" s="125"/>
      <c r="M939" s="125"/>
      <c r="N939" s="129"/>
      <c r="O939" s="125"/>
      <c r="P939" s="173"/>
      <c r="Q939" s="125"/>
      <c r="R939" s="125"/>
      <c r="S939" s="125"/>
      <c r="T939" s="125"/>
      <c r="U939" s="125"/>
      <c r="V939" s="125"/>
      <c r="W939" s="125"/>
      <c r="X939" s="125"/>
      <c r="Y939" s="125"/>
      <c r="Z939" s="125"/>
    </row>
    <row r="940" spans="1:26" ht="15.75" customHeight="1">
      <c r="A940" s="125"/>
      <c r="B940" s="125"/>
      <c r="C940" s="125"/>
      <c r="D940" s="125"/>
      <c r="E940" s="125"/>
      <c r="F940" s="126"/>
      <c r="G940" s="125"/>
      <c r="H940" s="125"/>
      <c r="I940" s="125"/>
      <c r="J940" s="125"/>
      <c r="K940" s="125"/>
      <c r="L940" s="125"/>
      <c r="M940" s="125"/>
      <c r="N940" s="129"/>
      <c r="O940" s="125"/>
      <c r="P940" s="173"/>
      <c r="Q940" s="125"/>
      <c r="R940" s="125"/>
      <c r="S940" s="125"/>
      <c r="T940" s="125"/>
      <c r="U940" s="125"/>
      <c r="V940" s="125"/>
      <c r="W940" s="125"/>
      <c r="X940" s="125"/>
      <c r="Y940" s="125"/>
      <c r="Z940" s="125"/>
    </row>
    <row r="941" spans="1:26" ht="15.75" customHeight="1">
      <c r="A941" s="125"/>
      <c r="B941" s="125"/>
      <c r="C941" s="125"/>
      <c r="D941" s="125"/>
      <c r="E941" s="125"/>
      <c r="F941" s="126"/>
      <c r="G941" s="125"/>
      <c r="H941" s="125"/>
      <c r="I941" s="125"/>
      <c r="J941" s="125"/>
      <c r="K941" s="125"/>
      <c r="L941" s="125"/>
      <c r="M941" s="125"/>
      <c r="N941" s="129"/>
      <c r="O941" s="125"/>
      <c r="P941" s="173"/>
      <c r="Q941" s="125"/>
      <c r="R941" s="125"/>
      <c r="S941" s="125"/>
      <c r="T941" s="125"/>
      <c r="U941" s="125"/>
      <c r="V941" s="125"/>
      <c r="W941" s="125"/>
      <c r="X941" s="125"/>
      <c r="Y941" s="125"/>
      <c r="Z941" s="125"/>
    </row>
    <row r="942" spans="1:26" ht="15.75" customHeight="1">
      <c r="A942" s="125"/>
      <c r="B942" s="125"/>
      <c r="C942" s="125"/>
      <c r="D942" s="125"/>
      <c r="E942" s="125"/>
      <c r="F942" s="126"/>
      <c r="G942" s="125"/>
      <c r="H942" s="125"/>
      <c r="I942" s="125"/>
      <c r="J942" s="125"/>
      <c r="K942" s="125"/>
      <c r="L942" s="125"/>
      <c r="M942" s="125"/>
      <c r="N942" s="129"/>
      <c r="O942" s="125"/>
      <c r="P942" s="173"/>
      <c r="Q942" s="125"/>
      <c r="R942" s="125"/>
      <c r="S942" s="125"/>
      <c r="T942" s="125"/>
      <c r="U942" s="125"/>
      <c r="V942" s="125"/>
      <c r="W942" s="125"/>
      <c r="X942" s="125"/>
      <c r="Y942" s="125"/>
      <c r="Z942" s="125"/>
    </row>
    <row r="943" spans="1:26" ht="15.75" customHeight="1">
      <c r="A943" s="125"/>
      <c r="B943" s="125"/>
      <c r="C943" s="125"/>
      <c r="D943" s="125"/>
      <c r="E943" s="125"/>
      <c r="F943" s="126"/>
      <c r="G943" s="125"/>
      <c r="H943" s="125"/>
      <c r="I943" s="125"/>
      <c r="J943" s="125"/>
      <c r="K943" s="125"/>
      <c r="L943" s="125"/>
      <c r="M943" s="125"/>
      <c r="N943" s="129"/>
      <c r="O943" s="125"/>
      <c r="P943" s="173"/>
      <c r="Q943" s="125"/>
      <c r="R943" s="125"/>
      <c r="S943" s="125"/>
      <c r="T943" s="125"/>
      <c r="U943" s="125"/>
      <c r="V943" s="125"/>
      <c r="W943" s="125"/>
      <c r="X943" s="125"/>
      <c r="Y943" s="125"/>
      <c r="Z943" s="125"/>
    </row>
    <row r="944" spans="1:26" ht="15.75" customHeight="1">
      <c r="A944" s="125"/>
      <c r="B944" s="125"/>
      <c r="C944" s="125"/>
      <c r="D944" s="125"/>
      <c r="E944" s="125"/>
      <c r="F944" s="126"/>
      <c r="G944" s="125"/>
      <c r="H944" s="125"/>
      <c r="I944" s="125"/>
      <c r="J944" s="125"/>
      <c r="K944" s="125"/>
      <c r="L944" s="125"/>
      <c r="M944" s="125"/>
      <c r="N944" s="129"/>
      <c r="O944" s="125"/>
      <c r="P944" s="173"/>
      <c r="Q944" s="125"/>
      <c r="R944" s="125"/>
      <c r="S944" s="125"/>
      <c r="T944" s="125"/>
      <c r="U944" s="125"/>
      <c r="V944" s="125"/>
      <c r="W944" s="125"/>
      <c r="X944" s="125"/>
      <c r="Y944" s="125"/>
      <c r="Z944" s="125"/>
    </row>
    <row r="945" spans="1:26" ht="15.75" customHeight="1">
      <c r="A945" s="125"/>
      <c r="B945" s="125"/>
      <c r="C945" s="125"/>
      <c r="D945" s="125"/>
      <c r="E945" s="125"/>
      <c r="F945" s="126"/>
      <c r="G945" s="125"/>
      <c r="H945" s="125"/>
      <c r="I945" s="125"/>
      <c r="J945" s="125"/>
      <c r="K945" s="125"/>
      <c r="L945" s="125"/>
      <c r="M945" s="125"/>
      <c r="N945" s="129"/>
      <c r="O945" s="125"/>
      <c r="P945" s="173"/>
      <c r="Q945" s="125"/>
      <c r="R945" s="125"/>
      <c r="S945" s="125"/>
      <c r="T945" s="125"/>
      <c r="U945" s="125"/>
      <c r="V945" s="125"/>
      <c r="W945" s="125"/>
      <c r="X945" s="125"/>
      <c r="Y945" s="125"/>
      <c r="Z945" s="125"/>
    </row>
    <row r="946" spans="1:26" ht="15.75" customHeight="1">
      <c r="A946" s="125"/>
      <c r="B946" s="125"/>
      <c r="C946" s="125"/>
      <c r="D946" s="125"/>
      <c r="E946" s="125"/>
      <c r="F946" s="126"/>
      <c r="G946" s="125"/>
      <c r="H946" s="125"/>
      <c r="I946" s="125"/>
      <c r="J946" s="125"/>
      <c r="K946" s="125"/>
      <c r="L946" s="125"/>
      <c r="M946" s="125"/>
      <c r="N946" s="129"/>
      <c r="O946" s="125"/>
      <c r="P946" s="173"/>
      <c r="Q946" s="125"/>
      <c r="R946" s="125"/>
      <c r="S946" s="125"/>
      <c r="T946" s="125"/>
      <c r="U946" s="125"/>
      <c r="V946" s="125"/>
      <c r="W946" s="125"/>
      <c r="X946" s="125"/>
      <c r="Y946" s="125"/>
      <c r="Z946" s="125"/>
    </row>
    <row r="947" spans="1:26" ht="15.75" customHeight="1">
      <c r="A947" s="125"/>
      <c r="B947" s="125"/>
      <c r="C947" s="125"/>
      <c r="D947" s="125"/>
      <c r="E947" s="125"/>
      <c r="F947" s="126"/>
      <c r="G947" s="125"/>
      <c r="H947" s="125"/>
      <c r="I947" s="125"/>
      <c r="J947" s="125"/>
      <c r="K947" s="125"/>
      <c r="L947" s="125"/>
      <c r="M947" s="125"/>
      <c r="N947" s="129"/>
      <c r="O947" s="125"/>
      <c r="P947" s="173"/>
      <c r="Q947" s="125"/>
      <c r="R947" s="125"/>
      <c r="S947" s="125"/>
      <c r="T947" s="125"/>
      <c r="U947" s="125"/>
      <c r="V947" s="125"/>
      <c r="W947" s="125"/>
      <c r="X947" s="125"/>
      <c r="Y947" s="125"/>
      <c r="Z947" s="125"/>
    </row>
    <row r="948" spans="1:26" ht="15.75" customHeight="1">
      <c r="A948" s="125"/>
      <c r="B948" s="125"/>
      <c r="C948" s="125"/>
      <c r="D948" s="125"/>
      <c r="E948" s="125"/>
      <c r="F948" s="126"/>
      <c r="G948" s="125"/>
      <c r="H948" s="125"/>
      <c r="I948" s="125"/>
      <c r="J948" s="125"/>
      <c r="K948" s="125"/>
      <c r="L948" s="125"/>
      <c r="M948" s="125"/>
      <c r="N948" s="129"/>
      <c r="O948" s="125"/>
      <c r="P948" s="173"/>
      <c r="Q948" s="125"/>
      <c r="R948" s="125"/>
      <c r="S948" s="125"/>
      <c r="T948" s="125"/>
      <c r="U948" s="125"/>
      <c r="V948" s="125"/>
      <c r="W948" s="125"/>
      <c r="X948" s="125"/>
      <c r="Y948" s="125"/>
      <c r="Z948" s="125"/>
    </row>
    <row r="949" spans="1:26" ht="15.75" customHeight="1">
      <c r="A949" s="125"/>
      <c r="B949" s="125"/>
      <c r="C949" s="125"/>
      <c r="D949" s="125"/>
      <c r="E949" s="125"/>
      <c r="F949" s="126"/>
      <c r="G949" s="125"/>
      <c r="H949" s="125"/>
      <c r="I949" s="125"/>
      <c r="J949" s="125"/>
      <c r="K949" s="125"/>
      <c r="L949" s="125"/>
      <c r="M949" s="125"/>
      <c r="N949" s="129"/>
      <c r="O949" s="125"/>
      <c r="P949" s="173"/>
      <c r="Q949" s="125"/>
      <c r="R949" s="125"/>
      <c r="S949" s="125"/>
      <c r="T949" s="125"/>
      <c r="U949" s="125"/>
      <c r="V949" s="125"/>
      <c r="W949" s="125"/>
      <c r="X949" s="125"/>
      <c r="Y949" s="125"/>
      <c r="Z949" s="125"/>
    </row>
    <row r="950" spans="1:26" ht="15.75" customHeight="1">
      <c r="A950" s="125"/>
      <c r="B950" s="125"/>
      <c r="C950" s="125"/>
      <c r="D950" s="125"/>
      <c r="E950" s="125"/>
      <c r="F950" s="126"/>
      <c r="G950" s="125"/>
      <c r="H950" s="125"/>
      <c r="I950" s="125"/>
      <c r="J950" s="125"/>
      <c r="K950" s="125"/>
      <c r="L950" s="125"/>
      <c r="M950" s="125"/>
      <c r="N950" s="129"/>
      <c r="O950" s="125"/>
      <c r="P950" s="173"/>
      <c r="Q950" s="125"/>
      <c r="R950" s="125"/>
      <c r="S950" s="125"/>
      <c r="T950" s="125"/>
      <c r="U950" s="125"/>
      <c r="V950" s="125"/>
      <c r="W950" s="125"/>
      <c r="X950" s="125"/>
      <c r="Y950" s="125"/>
      <c r="Z950" s="125"/>
    </row>
    <row r="951" spans="1:26" ht="15.75" customHeight="1">
      <c r="A951" s="125"/>
      <c r="B951" s="125"/>
      <c r="C951" s="125"/>
      <c r="D951" s="125"/>
      <c r="E951" s="125"/>
      <c r="F951" s="126"/>
      <c r="G951" s="125"/>
      <c r="H951" s="125"/>
      <c r="I951" s="125"/>
      <c r="J951" s="125"/>
      <c r="K951" s="125"/>
      <c r="L951" s="125"/>
      <c r="M951" s="125"/>
      <c r="N951" s="129"/>
      <c r="O951" s="125"/>
      <c r="P951" s="173"/>
      <c r="Q951" s="125"/>
      <c r="R951" s="125"/>
      <c r="S951" s="125"/>
      <c r="T951" s="125"/>
      <c r="U951" s="125"/>
      <c r="V951" s="125"/>
      <c r="W951" s="125"/>
      <c r="X951" s="125"/>
      <c r="Y951" s="125"/>
      <c r="Z951" s="125"/>
    </row>
    <row r="952" spans="1:26" ht="15.75" customHeight="1">
      <c r="A952" s="125"/>
      <c r="B952" s="125"/>
      <c r="C952" s="125"/>
      <c r="D952" s="125"/>
      <c r="E952" s="125"/>
      <c r="F952" s="126"/>
      <c r="G952" s="125"/>
      <c r="H952" s="125"/>
      <c r="I952" s="125"/>
      <c r="J952" s="125"/>
      <c r="K952" s="125"/>
      <c r="L952" s="125"/>
      <c r="M952" s="125"/>
      <c r="N952" s="129"/>
      <c r="O952" s="125"/>
      <c r="P952" s="173"/>
      <c r="Q952" s="125"/>
      <c r="R952" s="125"/>
      <c r="S952" s="125"/>
      <c r="T952" s="125"/>
      <c r="U952" s="125"/>
      <c r="V952" s="125"/>
      <c r="W952" s="125"/>
      <c r="X952" s="125"/>
      <c r="Y952" s="125"/>
      <c r="Z952" s="125"/>
    </row>
    <row r="953" spans="1:26" ht="15.75" customHeight="1">
      <c r="A953" s="125"/>
      <c r="B953" s="125"/>
      <c r="C953" s="125"/>
      <c r="D953" s="125"/>
      <c r="E953" s="125"/>
      <c r="F953" s="126"/>
      <c r="G953" s="125"/>
      <c r="H953" s="125"/>
      <c r="I953" s="125"/>
      <c r="J953" s="125"/>
      <c r="K953" s="125"/>
      <c r="L953" s="125"/>
      <c r="M953" s="125"/>
      <c r="N953" s="129"/>
      <c r="O953" s="125"/>
      <c r="P953" s="173"/>
      <c r="Q953" s="125"/>
      <c r="R953" s="125"/>
      <c r="S953" s="125"/>
      <c r="T953" s="125"/>
      <c r="U953" s="125"/>
      <c r="V953" s="125"/>
      <c r="W953" s="125"/>
      <c r="X953" s="125"/>
      <c r="Y953" s="125"/>
      <c r="Z953" s="125"/>
    </row>
    <row r="954" spans="1:26" ht="15.75" customHeight="1">
      <c r="A954" s="125"/>
      <c r="B954" s="125"/>
      <c r="C954" s="125"/>
      <c r="D954" s="125"/>
      <c r="E954" s="125"/>
      <c r="F954" s="126"/>
      <c r="G954" s="125"/>
      <c r="H954" s="125"/>
      <c r="I954" s="125"/>
      <c r="J954" s="125"/>
      <c r="K954" s="125"/>
      <c r="L954" s="125"/>
      <c r="M954" s="125"/>
      <c r="N954" s="129"/>
      <c r="O954" s="125"/>
      <c r="P954" s="173"/>
      <c r="Q954" s="125"/>
      <c r="R954" s="125"/>
      <c r="S954" s="125"/>
      <c r="T954" s="125"/>
      <c r="U954" s="125"/>
      <c r="V954" s="125"/>
      <c r="W954" s="125"/>
      <c r="X954" s="125"/>
      <c r="Y954" s="125"/>
      <c r="Z954" s="125"/>
    </row>
    <row r="955" spans="1:26" ht="15.75" customHeight="1">
      <c r="A955" s="125"/>
      <c r="B955" s="125"/>
      <c r="C955" s="125"/>
      <c r="D955" s="125"/>
      <c r="E955" s="125"/>
      <c r="F955" s="126"/>
      <c r="G955" s="125"/>
      <c r="H955" s="125"/>
      <c r="I955" s="125"/>
      <c r="J955" s="125"/>
      <c r="K955" s="125"/>
      <c r="L955" s="125"/>
      <c r="M955" s="125"/>
      <c r="N955" s="129"/>
      <c r="O955" s="125"/>
      <c r="P955" s="173"/>
      <c r="Q955" s="125"/>
      <c r="R955" s="125"/>
      <c r="S955" s="125"/>
      <c r="T955" s="125"/>
      <c r="U955" s="125"/>
      <c r="V955" s="125"/>
      <c r="W955" s="125"/>
      <c r="X955" s="125"/>
      <c r="Y955" s="125"/>
      <c r="Z955" s="125"/>
    </row>
    <row r="956" spans="1:26" ht="15.75" customHeight="1">
      <c r="A956" s="125"/>
      <c r="B956" s="125"/>
      <c r="C956" s="125"/>
      <c r="D956" s="125"/>
      <c r="E956" s="125"/>
      <c r="F956" s="126"/>
      <c r="G956" s="125"/>
      <c r="H956" s="125"/>
      <c r="I956" s="125"/>
      <c r="J956" s="125"/>
      <c r="K956" s="125"/>
      <c r="L956" s="125"/>
      <c r="M956" s="125"/>
      <c r="N956" s="129"/>
      <c r="O956" s="125"/>
      <c r="P956" s="173"/>
      <c r="Q956" s="125"/>
      <c r="R956" s="125"/>
      <c r="S956" s="125"/>
      <c r="T956" s="125"/>
      <c r="U956" s="125"/>
      <c r="V956" s="125"/>
      <c r="W956" s="125"/>
      <c r="X956" s="125"/>
      <c r="Y956" s="125"/>
      <c r="Z956" s="125"/>
    </row>
    <row r="957" spans="1:26" ht="15.75" customHeight="1">
      <c r="A957" s="125"/>
      <c r="B957" s="125"/>
      <c r="C957" s="125"/>
      <c r="D957" s="125"/>
      <c r="E957" s="125"/>
      <c r="F957" s="126"/>
      <c r="G957" s="125"/>
      <c r="H957" s="125"/>
      <c r="I957" s="125"/>
      <c r="J957" s="125"/>
      <c r="K957" s="125"/>
      <c r="L957" s="125"/>
      <c r="M957" s="125"/>
      <c r="N957" s="129"/>
      <c r="O957" s="125"/>
      <c r="P957" s="173"/>
      <c r="Q957" s="125"/>
      <c r="R957" s="125"/>
      <c r="S957" s="125"/>
      <c r="T957" s="125"/>
      <c r="U957" s="125"/>
      <c r="V957" s="125"/>
      <c r="W957" s="125"/>
      <c r="X957" s="125"/>
      <c r="Y957" s="125"/>
      <c r="Z957" s="125"/>
    </row>
    <row r="958" spans="1:26" ht="15.75" customHeight="1">
      <c r="A958" s="125"/>
      <c r="B958" s="125"/>
      <c r="C958" s="125"/>
      <c r="D958" s="125"/>
      <c r="E958" s="125"/>
      <c r="F958" s="126"/>
      <c r="G958" s="125"/>
      <c r="H958" s="125"/>
      <c r="I958" s="125"/>
      <c r="J958" s="125"/>
      <c r="K958" s="125"/>
      <c r="L958" s="125"/>
      <c r="M958" s="125"/>
      <c r="N958" s="129"/>
      <c r="O958" s="125"/>
      <c r="P958" s="173"/>
      <c r="Q958" s="125"/>
      <c r="R958" s="125"/>
      <c r="S958" s="125"/>
      <c r="T958" s="125"/>
      <c r="U958" s="125"/>
      <c r="V958" s="125"/>
      <c r="W958" s="125"/>
      <c r="X958" s="125"/>
      <c r="Y958" s="125"/>
      <c r="Z958" s="125"/>
    </row>
    <row r="959" spans="1:26" ht="15.75" customHeight="1">
      <c r="A959" s="125"/>
      <c r="B959" s="125"/>
      <c r="C959" s="125"/>
      <c r="D959" s="125"/>
      <c r="E959" s="125"/>
      <c r="F959" s="126"/>
      <c r="G959" s="125"/>
      <c r="H959" s="125"/>
      <c r="I959" s="125"/>
      <c r="J959" s="125"/>
      <c r="K959" s="125"/>
      <c r="L959" s="125"/>
      <c r="M959" s="125"/>
      <c r="N959" s="129"/>
      <c r="O959" s="125"/>
      <c r="P959" s="173"/>
      <c r="Q959" s="125"/>
      <c r="R959" s="125"/>
      <c r="S959" s="125"/>
      <c r="T959" s="125"/>
      <c r="U959" s="125"/>
      <c r="V959" s="125"/>
      <c r="W959" s="125"/>
      <c r="X959" s="125"/>
      <c r="Y959" s="125"/>
      <c r="Z959" s="125"/>
    </row>
    <row r="960" spans="1:26" ht="15.75" customHeight="1">
      <c r="A960" s="125"/>
      <c r="B960" s="125"/>
      <c r="C960" s="125"/>
      <c r="D960" s="125"/>
      <c r="E960" s="125"/>
      <c r="F960" s="126"/>
      <c r="G960" s="125"/>
      <c r="H960" s="125"/>
      <c r="I960" s="125"/>
      <c r="J960" s="125"/>
      <c r="K960" s="125"/>
      <c r="L960" s="125"/>
      <c r="M960" s="125"/>
      <c r="N960" s="129"/>
      <c r="O960" s="125"/>
      <c r="P960" s="173"/>
      <c r="Q960" s="125"/>
      <c r="R960" s="125"/>
      <c r="S960" s="125"/>
      <c r="T960" s="125"/>
      <c r="U960" s="125"/>
      <c r="V960" s="125"/>
      <c r="W960" s="125"/>
      <c r="X960" s="125"/>
      <c r="Y960" s="125"/>
      <c r="Z960" s="125"/>
    </row>
    <row r="961" spans="1:26" ht="15.75" customHeight="1">
      <c r="A961" s="125"/>
      <c r="B961" s="125"/>
      <c r="C961" s="125"/>
      <c r="D961" s="125"/>
      <c r="E961" s="125"/>
      <c r="F961" s="126"/>
      <c r="G961" s="125"/>
      <c r="H961" s="125"/>
      <c r="I961" s="125"/>
      <c r="J961" s="125"/>
      <c r="K961" s="125"/>
      <c r="L961" s="125"/>
      <c r="M961" s="125"/>
      <c r="N961" s="129"/>
      <c r="O961" s="125"/>
      <c r="P961" s="173"/>
      <c r="Q961" s="125"/>
      <c r="R961" s="125"/>
      <c r="S961" s="125"/>
      <c r="T961" s="125"/>
      <c r="U961" s="125"/>
      <c r="V961" s="125"/>
      <c r="W961" s="125"/>
      <c r="X961" s="125"/>
      <c r="Y961" s="125"/>
      <c r="Z961" s="125"/>
    </row>
    <row r="962" spans="1:26" ht="15.75" customHeight="1">
      <c r="A962" s="125"/>
      <c r="B962" s="125"/>
      <c r="C962" s="125"/>
      <c r="D962" s="125"/>
      <c r="E962" s="125"/>
      <c r="F962" s="126"/>
      <c r="G962" s="125"/>
      <c r="H962" s="125"/>
      <c r="I962" s="125"/>
      <c r="J962" s="125"/>
      <c r="K962" s="125"/>
      <c r="L962" s="125"/>
      <c r="M962" s="125"/>
      <c r="N962" s="129"/>
      <c r="O962" s="125"/>
      <c r="P962" s="173"/>
      <c r="Q962" s="125"/>
      <c r="R962" s="125"/>
      <c r="S962" s="125"/>
      <c r="T962" s="125"/>
      <c r="U962" s="125"/>
      <c r="V962" s="125"/>
      <c r="W962" s="125"/>
      <c r="X962" s="125"/>
      <c r="Y962" s="125"/>
      <c r="Z962" s="125"/>
    </row>
    <row r="963" spans="1:26" ht="15.75" customHeight="1">
      <c r="A963" s="125"/>
      <c r="B963" s="125"/>
      <c r="C963" s="125"/>
      <c r="D963" s="125"/>
      <c r="E963" s="125"/>
      <c r="F963" s="126"/>
      <c r="G963" s="125"/>
      <c r="H963" s="125"/>
      <c r="I963" s="125"/>
      <c r="J963" s="125"/>
      <c r="K963" s="125"/>
      <c r="L963" s="125"/>
      <c r="M963" s="125"/>
      <c r="N963" s="129"/>
      <c r="O963" s="125"/>
      <c r="P963" s="173"/>
      <c r="Q963" s="125"/>
      <c r="R963" s="125"/>
      <c r="S963" s="125"/>
      <c r="T963" s="125"/>
      <c r="U963" s="125"/>
      <c r="V963" s="125"/>
      <c r="W963" s="125"/>
      <c r="X963" s="125"/>
      <c r="Y963" s="125"/>
      <c r="Z963" s="125"/>
    </row>
    <row r="964" spans="1:26" ht="15.75" customHeight="1">
      <c r="A964" s="125"/>
      <c r="B964" s="125"/>
      <c r="C964" s="125"/>
      <c r="D964" s="125"/>
      <c r="E964" s="125"/>
      <c r="F964" s="126"/>
      <c r="G964" s="125"/>
      <c r="H964" s="125"/>
      <c r="I964" s="125"/>
      <c r="J964" s="125"/>
      <c r="K964" s="125"/>
      <c r="L964" s="125"/>
      <c r="M964" s="125"/>
      <c r="N964" s="129"/>
      <c r="O964" s="125"/>
      <c r="P964" s="173"/>
      <c r="Q964" s="125"/>
      <c r="R964" s="125"/>
      <c r="S964" s="125"/>
      <c r="T964" s="125"/>
      <c r="U964" s="125"/>
      <c r="V964" s="125"/>
      <c r="W964" s="125"/>
      <c r="X964" s="125"/>
      <c r="Y964" s="125"/>
      <c r="Z964" s="125"/>
    </row>
    <row r="965" spans="1:26" ht="15.75" customHeight="1">
      <c r="A965" s="125"/>
      <c r="B965" s="125"/>
      <c r="C965" s="125"/>
      <c r="D965" s="125"/>
      <c r="E965" s="125"/>
      <c r="F965" s="126"/>
      <c r="G965" s="125"/>
      <c r="H965" s="125"/>
      <c r="I965" s="125"/>
      <c r="J965" s="125"/>
      <c r="K965" s="125"/>
      <c r="L965" s="125"/>
      <c r="M965" s="125"/>
      <c r="N965" s="129"/>
      <c r="O965" s="125"/>
      <c r="P965" s="173"/>
      <c r="Q965" s="125"/>
      <c r="R965" s="125"/>
      <c r="S965" s="125"/>
      <c r="T965" s="125"/>
      <c r="U965" s="125"/>
      <c r="V965" s="125"/>
      <c r="W965" s="125"/>
      <c r="X965" s="125"/>
      <c r="Y965" s="125"/>
      <c r="Z965" s="125"/>
    </row>
    <row r="966" spans="1:26" ht="15.75" customHeight="1">
      <c r="A966" s="125"/>
      <c r="B966" s="125"/>
      <c r="C966" s="125"/>
      <c r="D966" s="125"/>
      <c r="E966" s="125"/>
      <c r="F966" s="126"/>
      <c r="G966" s="125"/>
      <c r="H966" s="125"/>
      <c r="I966" s="125"/>
      <c r="J966" s="125"/>
      <c r="K966" s="125"/>
      <c r="L966" s="125"/>
      <c r="M966" s="125"/>
      <c r="N966" s="129"/>
      <c r="O966" s="125"/>
      <c r="P966" s="173"/>
      <c r="Q966" s="125"/>
      <c r="R966" s="125"/>
      <c r="S966" s="125"/>
      <c r="T966" s="125"/>
      <c r="U966" s="125"/>
      <c r="V966" s="125"/>
      <c r="W966" s="125"/>
      <c r="X966" s="125"/>
      <c r="Y966" s="125"/>
      <c r="Z966" s="125"/>
    </row>
    <row r="967" spans="1:26" ht="15.75" customHeight="1">
      <c r="A967" s="125"/>
      <c r="B967" s="125"/>
      <c r="C967" s="125"/>
      <c r="D967" s="125"/>
      <c r="E967" s="125"/>
      <c r="F967" s="126"/>
      <c r="G967" s="125"/>
      <c r="H967" s="125"/>
      <c r="I967" s="125"/>
      <c r="J967" s="125"/>
      <c r="K967" s="125"/>
      <c r="L967" s="125"/>
      <c r="M967" s="125"/>
      <c r="N967" s="129"/>
      <c r="O967" s="125"/>
      <c r="P967" s="173"/>
      <c r="Q967" s="125"/>
      <c r="R967" s="125"/>
      <c r="S967" s="125"/>
      <c r="T967" s="125"/>
      <c r="U967" s="125"/>
      <c r="V967" s="125"/>
      <c r="W967" s="125"/>
      <c r="X967" s="125"/>
      <c r="Y967" s="125"/>
      <c r="Z967" s="125"/>
    </row>
    <row r="968" spans="1:26" ht="15.75" customHeight="1">
      <c r="A968" s="125"/>
      <c r="B968" s="125"/>
      <c r="C968" s="125"/>
      <c r="D968" s="125"/>
      <c r="E968" s="125"/>
      <c r="F968" s="126"/>
      <c r="G968" s="125"/>
      <c r="H968" s="125"/>
      <c r="I968" s="125"/>
      <c r="J968" s="125"/>
      <c r="K968" s="125"/>
      <c r="L968" s="125"/>
      <c r="M968" s="125"/>
      <c r="N968" s="129"/>
      <c r="O968" s="125"/>
      <c r="P968" s="173"/>
      <c r="Q968" s="125"/>
      <c r="R968" s="125"/>
      <c r="S968" s="125"/>
      <c r="T968" s="125"/>
      <c r="U968" s="125"/>
      <c r="V968" s="125"/>
      <c r="W968" s="125"/>
      <c r="X968" s="125"/>
      <c r="Y968" s="125"/>
      <c r="Z968" s="125"/>
    </row>
    <row r="969" spans="1:26" ht="15.75" customHeight="1">
      <c r="A969" s="125"/>
      <c r="B969" s="125"/>
      <c r="C969" s="125"/>
      <c r="D969" s="125"/>
      <c r="E969" s="125"/>
      <c r="F969" s="126"/>
      <c r="G969" s="125"/>
      <c r="H969" s="125"/>
      <c r="I969" s="125"/>
      <c r="J969" s="125"/>
      <c r="K969" s="125"/>
      <c r="L969" s="125"/>
      <c r="M969" s="125"/>
      <c r="N969" s="129"/>
      <c r="O969" s="125"/>
      <c r="P969" s="173"/>
      <c r="Q969" s="125"/>
      <c r="R969" s="125"/>
      <c r="S969" s="125"/>
      <c r="T969" s="125"/>
      <c r="U969" s="125"/>
      <c r="V969" s="125"/>
      <c r="W969" s="125"/>
      <c r="X969" s="125"/>
      <c r="Y969" s="125"/>
      <c r="Z969" s="125"/>
    </row>
    <row r="970" spans="1:26" ht="15.75" customHeight="1">
      <c r="A970" s="125"/>
      <c r="B970" s="125"/>
      <c r="C970" s="125"/>
      <c r="D970" s="125"/>
      <c r="E970" s="125"/>
      <c r="F970" s="126"/>
      <c r="G970" s="125"/>
      <c r="H970" s="125"/>
      <c r="I970" s="125"/>
      <c r="J970" s="125"/>
      <c r="K970" s="125"/>
      <c r="L970" s="125"/>
      <c r="M970" s="125"/>
      <c r="N970" s="129"/>
      <c r="O970" s="125"/>
      <c r="P970" s="173"/>
      <c r="Q970" s="125"/>
      <c r="R970" s="125"/>
      <c r="S970" s="125"/>
      <c r="T970" s="125"/>
      <c r="U970" s="125"/>
      <c r="V970" s="125"/>
      <c r="W970" s="125"/>
      <c r="X970" s="125"/>
      <c r="Y970" s="125"/>
      <c r="Z970" s="125"/>
    </row>
    <row r="971" spans="1:26" ht="15.75" customHeight="1">
      <c r="A971" s="125"/>
      <c r="B971" s="125"/>
      <c r="C971" s="125"/>
      <c r="D971" s="125"/>
      <c r="E971" s="125"/>
      <c r="F971" s="126"/>
      <c r="G971" s="125"/>
      <c r="H971" s="125"/>
      <c r="I971" s="125"/>
      <c r="J971" s="125"/>
      <c r="K971" s="125"/>
      <c r="L971" s="125"/>
      <c r="M971" s="125"/>
      <c r="N971" s="129"/>
      <c r="O971" s="125"/>
      <c r="P971" s="173"/>
      <c r="Q971" s="125"/>
      <c r="R971" s="125"/>
      <c r="S971" s="125"/>
      <c r="T971" s="125"/>
      <c r="U971" s="125"/>
      <c r="V971" s="125"/>
      <c r="W971" s="125"/>
      <c r="X971" s="125"/>
      <c r="Y971" s="125"/>
      <c r="Z971" s="125"/>
    </row>
    <row r="972" spans="1:26" ht="15.75" customHeight="1">
      <c r="A972" s="125"/>
      <c r="B972" s="125"/>
      <c r="C972" s="125"/>
      <c r="D972" s="125"/>
      <c r="E972" s="125"/>
      <c r="F972" s="126"/>
      <c r="G972" s="125"/>
      <c r="H972" s="125"/>
      <c r="I972" s="125"/>
      <c r="J972" s="125"/>
      <c r="K972" s="125"/>
      <c r="L972" s="125"/>
      <c r="M972" s="125"/>
      <c r="N972" s="129"/>
      <c r="O972" s="125"/>
      <c r="P972" s="173"/>
      <c r="Q972" s="125"/>
      <c r="R972" s="125"/>
      <c r="S972" s="125"/>
      <c r="T972" s="125"/>
      <c r="U972" s="125"/>
      <c r="V972" s="125"/>
      <c r="W972" s="125"/>
      <c r="X972" s="125"/>
      <c r="Y972" s="125"/>
      <c r="Z972" s="125"/>
    </row>
    <row r="973" spans="1:26" ht="15.75" customHeight="1">
      <c r="A973" s="125"/>
      <c r="B973" s="125"/>
      <c r="C973" s="125"/>
      <c r="D973" s="125"/>
      <c r="E973" s="125"/>
      <c r="F973" s="126"/>
      <c r="G973" s="125"/>
      <c r="H973" s="125"/>
      <c r="I973" s="125"/>
      <c r="J973" s="125"/>
      <c r="K973" s="125"/>
      <c r="L973" s="125"/>
      <c r="M973" s="125"/>
      <c r="N973" s="129"/>
      <c r="O973" s="125"/>
      <c r="P973" s="173"/>
      <c r="Q973" s="125"/>
      <c r="R973" s="125"/>
      <c r="S973" s="125"/>
      <c r="T973" s="125"/>
      <c r="U973" s="125"/>
      <c r="V973" s="125"/>
      <c r="W973" s="125"/>
      <c r="X973" s="125"/>
      <c r="Y973" s="125"/>
      <c r="Z973" s="125"/>
    </row>
    <row r="974" spans="1:26" ht="15.75" customHeight="1">
      <c r="A974" s="125"/>
      <c r="B974" s="125"/>
      <c r="C974" s="125"/>
      <c r="D974" s="125"/>
      <c r="E974" s="125"/>
      <c r="F974" s="126"/>
      <c r="G974" s="125"/>
      <c r="H974" s="125"/>
      <c r="I974" s="125"/>
      <c r="J974" s="125"/>
      <c r="K974" s="125"/>
      <c r="L974" s="125"/>
      <c r="M974" s="125"/>
      <c r="N974" s="129"/>
      <c r="O974" s="125"/>
      <c r="P974" s="173"/>
      <c r="Q974" s="125"/>
      <c r="R974" s="125"/>
      <c r="S974" s="125"/>
      <c r="T974" s="125"/>
      <c r="U974" s="125"/>
      <c r="V974" s="125"/>
      <c r="W974" s="125"/>
      <c r="X974" s="125"/>
      <c r="Y974" s="125"/>
      <c r="Z974" s="125"/>
    </row>
    <row r="975" spans="1:26" ht="15.75" customHeight="1">
      <c r="A975" s="125"/>
      <c r="B975" s="125"/>
      <c r="C975" s="125"/>
      <c r="D975" s="125"/>
      <c r="E975" s="125"/>
      <c r="F975" s="126"/>
      <c r="G975" s="125"/>
      <c r="H975" s="125"/>
      <c r="I975" s="125"/>
      <c r="J975" s="125"/>
      <c r="K975" s="125"/>
      <c r="L975" s="125"/>
      <c r="M975" s="125"/>
      <c r="N975" s="129"/>
      <c r="O975" s="125"/>
      <c r="P975" s="173"/>
      <c r="Q975" s="125"/>
      <c r="R975" s="125"/>
      <c r="S975" s="125"/>
      <c r="T975" s="125"/>
      <c r="U975" s="125"/>
      <c r="V975" s="125"/>
      <c r="W975" s="125"/>
      <c r="X975" s="125"/>
      <c r="Y975" s="125"/>
      <c r="Z975" s="125"/>
    </row>
    <row r="976" spans="1:26" ht="15.75" customHeight="1">
      <c r="A976" s="125"/>
      <c r="B976" s="125"/>
      <c r="C976" s="125"/>
      <c r="D976" s="125"/>
      <c r="E976" s="125"/>
      <c r="F976" s="126"/>
      <c r="G976" s="125"/>
      <c r="H976" s="125"/>
      <c r="I976" s="125"/>
      <c r="J976" s="125"/>
      <c r="K976" s="125"/>
      <c r="L976" s="125"/>
      <c r="M976" s="125"/>
      <c r="N976" s="129"/>
      <c r="O976" s="125"/>
      <c r="P976" s="173"/>
      <c r="Q976" s="125"/>
      <c r="R976" s="125"/>
      <c r="S976" s="125"/>
      <c r="T976" s="125"/>
      <c r="U976" s="125"/>
      <c r="V976" s="125"/>
      <c r="W976" s="125"/>
      <c r="X976" s="125"/>
      <c r="Y976" s="125"/>
      <c r="Z976" s="125"/>
    </row>
    <row r="977" spans="1:26" ht="15.75" customHeight="1">
      <c r="A977" s="125"/>
      <c r="B977" s="125"/>
      <c r="C977" s="125"/>
      <c r="D977" s="125"/>
      <c r="E977" s="125"/>
      <c r="F977" s="126"/>
      <c r="G977" s="125"/>
      <c r="H977" s="125"/>
      <c r="I977" s="125"/>
      <c r="J977" s="125"/>
      <c r="K977" s="125"/>
      <c r="L977" s="125"/>
      <c r="M977" s="125"/>
      <c r="N977" s="129"/>
      <c r="O977" s="125"/>
      <c r="P977" s="173"/>
      <c r="Q977" s="125"/>
      <c r="R977" s="125"/>
      <c r="S977" s="125"/>
      <c r="T977" s="125"/>
      <c r="U977" s="125"/>
      <c r="V977" s="125"/>
      <c r="W977" s="125"/>
      <c r="X977" s="125"/>
      <c r="Y977" s="125"/>
      <c r="Z977" s="125"/>
    </row>
    <row r="978" spans="1:26" ht="15.75" customHeight="1">
      <c r="A978" s="125"/>
      <c r="B978" s="125"/>
      <c r="C978" s="125"/>
      <c r="D978" s="125"/>
      <c r="E978" s="125"/>
      <c r="F978" s="126"/>
      <c r="G978" s="125"/>
      <c r="H978" s="125"/>
      <c r="I978" s="125"/>
      <c r="J978" s="125"/>
      <c r="K978" s="125"/>
      <c r="L978" s="125"/>
      <c r="M978" s="125"/>
      <c r="N978" s="129"/>
      <c r="O978" s="125"/>
      <c r="P978" s="173"/>
      <c r="Q978" s="125"/>
      <c r="R978" s="125"/>
      <c r="S978" s="125"/>
      <c r="T978" s="125"/>
      <c r="U978" s="125"/>
      <c r="V978" s="125"/>
      <c r="W978" s="125"/>
      <c r="X978" s="125"/>
      <c r="Y978" s="125"/>
      <c r="Z978" s="125"/>
    </row>
    <row r="979" spans="1:26" ht="15.75" customHeight="1">
      <c r="A979" s="125"/>
      <c r="B979" s="125"/>
      <c r="C979" s="125"/>
      <c r="D979" s="125"/>
      <c r="E979" s="125"/>
      <c r="F979" s="126"/>
      <c r="G979" s="125"/>
      <c r="H979" s="125"/>
      <c r="I979" s="125"/>
      <c r="J979" s="125"/>
      <c r="K979" s="125"/>
      <c r="L979" s="125"/>
      <c r="M979" s="125"/>
      <c r="N979" s="129"/>
      <c r="O979" s="125"/>
      <c r="P979" s="173"/>
      <c r="Q979" s="125"/>
      <c r="R979" s="125"/>
      <c r="S979" s="125"/>
      <c r="T979" s="125"/>
      <c r="U979" s="125"/>
      <c r="V979" s="125"/>
      <c r="W979" s="125"/>
      <c r="X979" s="125"/>
      <c r="Y979" s="125"/>
      <c r="Z979" s="125"/>
    </row>
    <row r="980" spans="1:26" ht="15.75" customHeight="1">
      <c r="A980" s="125"/>
      <c r="B980" s="125"/>
      <c r="C980" s="125"/>
      <c r="D980" s="125"/>
      <c r="E980" s="125"/>
      <c r="F980" s="126"/>
      <c r="G980" s="125"/>
      <c r="H980" s="125"/>
      <c r="I980" s="125"/>
      <c r="J980" s="125"/>
      <c r="K980" s="125"/>
      <c r="L980" s="125"/>
      <c r="M980" s="125"/>
      <c r="N980" s="129"/>
      <c r="O980" s="125"/>
      <c r="P980" s="173"/>
      <c r="Q980" s="125"/>
      <c r="R980" s="125"/>
      <c r="S980" s="125"/>
      <c r="T980" s="125"/>
      <c r="U980" s="125"/>
      <c r="V980" s="125"/>
      <c r="W980" s="125"/>
      <c r="X980" s="125"/>
      <c r="Y980" s="125"/>
      <c r="Z980" s="125"/>
    </row>
    <row r="981" spans="1:26" ht="15.75" customHeight="1">
      <c r="A981" s="125"/>
      <c r="B981" s="125"/>
      <c r="C981" s="125"/>
      <c r="D981" s="125"/>
      <c r="E981" s="125"/>
      <c r="F981" s="126"/>
      <c r="G981" s="125"/>
      <c r="H981" s="125"/>
      <c r="I981" s="125"/>
      <c r="J981" s="125"/>
      <c r="K981" s="125"/>
      <c r="L981" s="125"/>
      <c r="M981" s="125"/>
      <c r="N981" s="129"/>
      <c r="O981" s="125"/>
      <c r="P981" s="173"/>
      <c r="Q981" s="125"/>
      <c r="R981" s="125"/>
      <c r="S981" s="125"/>
      <c r="T981" s="125"/>
      <c r="U981" s="125"/>
      <c r="V981" s="125"/>
      <c r="W981" s="125"/>
      <c r="X981" s="125"/>
      <c r="Y981" s="125"/>
      <c r="Z981" s="125"/>
    </row>
    <row r="982" spans="1:26" ht="15.75" customHeight="1">
      <c r="A982" s="125"/>
      <c r="B982" s="125"/>
      <c r="C982" s="125"/>
      <c r="D982" s="125"/>
      <c r="E982" s="125"/>
      <c r="F982" s="126"/>
      <c r="G982" s="125"/>
      <c r="H982" s="125"/>
      <c r="I982" s="125"/>
      <c r="J982" s="125"/>
      <c r="K982" s="125"/>
      <c r="L982" s="125"/>
      <c r="M982" s="125"/>
      <c r="N982" s="129"/>
      <c r="O982" s="125"/>
      <c r="P982" s="173"/>
      <c r="Q982" s="125"/>
      <c r="R982" s="125"/>
      <c r="S982" s="125"/>
      <c r="T982" s="125"/>
      <c r="U982" s="125"/>
      <c r="V982" s="125"/>
      <c r="W982" s="125"/>
      <c r="X982" s="125"/>
      <c r="Y982" s="125"/>
      <c r="Z982" s="125"/>
    </row>
    <row r="983" spans="1:26" ht="15.75" customHeight="1">
      <c r="A983" s="125"/>
      <c r="B983" s="125"/>
      <c r="C983" s="125"/>
      <c r="D983" s="125"/>
      <c r="E983" s="125"/>
      <c r="F983" s="126"/>
      <c r="G983" s="125"/>
      <c r="H983" s="125"/>
      <c r="I983" s="125"/>
      <c r="J983" s="125"/>
      <c r="K983" s="125"/>
      <c r="L983" s="125"/>
      <c r="M983" s="125"/>
      <c r="N983" s="129"/>
      <c r="O983" s="125"/>
      <c r="P983" s="173"/>
      <c r="Q983" s="125"/>
      <c r="R983" s="125"/>
      <c r="S983" s="125"/>
      <c r="T983" s="125"/>
      <c r="U983" s="125"/>
      <c r="V983" s="125"/>
      <c r="W983" s="125"/>
      <c r="X983" s="125"/>
      <c r="Y983" s="125"/>
      <c r="Z983" s="125"/>
    </row>
    <row r="984" spans="1:26" ht="15.75" customHeight="1">
      <c r="A984" s="125"/>
      <c r="B984" s="125"/>
      <c r="C984" s="125"/>
      <c r="D984" s="125"/>
      <c r="E984" s="125"/>
      <c r="F984" s="126"/>
      <c r="G984" s="125"/>
      <c r="H984" s="125"/>
      <c r="I984" s="125"/>
      <c r="J984" s="125"/>
      <c r="K984" s="125"/>
      <c r="L984" s="125"/>
      <c r="M984" s="125"/>
      <c r="N984" s="129"/>
      <c r="O984" s="125"/>
      <c r="P984" s="173"/>
      <c r="Q984" s="125"/>
      <c r="R984" s="125"/>
      <c r="S984" s="125"/>
      <c r="T984" s="125"/>
      <c r="U984" s="125"/>
      <c r="V984" s="125"/>
      <c r="W984" s="125"/>
      <c r="X984" s="125"/>
      <c r="Y984" s="125"/>
      <c r="Z984" s="125"/>
    </row>
    <row r="985" spans="1:26" ht="15.75" customHeight="1">
      <c r="A985" s="125"/>
      <c r="B985" s="125"/>
      <c r="C985" s="125"/>
      <c r="D985" s="125"/>
      <c r="E985" s="125"/>
      <c r="F985" s="126"/>
      <c r="G985" s="125"/>
      <c r="H985" s="125"/>
      <c r="I985" s="125"/>
      <c r="J985" s="125"/>
      <c r="K985" s="125"/>
      <c r="L985" s="125"/>
      <c r="M985" s="125"/>
      <c r="N985" s="129"/>
      <c r="O985" s="125"/>
      <c r="P985" s="173"/>
      <c r="Q985" s="125"/>
      <c r="R985" s="125"/>
      <c r="S985" s="125"/>
      <c r="T985" s="125"/>
      <c r="U985" s="125"/>
      <c r="V985" s="125"/>
      <c r="W985" s="125"/>
      <c r="X985" s="125"/>
      <c r="Y985" s="125"/>
      <c r="Z985" s="125"/>
    </row>
    <row r="986" spans="1:26" ht="15.75" customHeight="1">
      <c r="A986" s="125"/>
      <c r="B986" s="125"/>
      <c r="C986" s="125"/>
      <c r="D986" s="125"/>
      <c r="E986" s="125"/>
      <c r="F986" s="126"/>
      <c r="G986" s="125"/>
      <c r="H986" s="125"/>
      <c r="I986" s="125"/>
      <c r="J986" s="125"/>
      <c r="K986" s="125"/>
      <c r="L986" s="125"/>
      <c r="M986" s="125"/>
      <c r="N986" s="129"/>
      <c r="O986" s="125"/>
      <c r="P986" s="173"/>
      <c r="Q986" s="125"/>
      <c r="R986" s="125"/>
      <c r="S986" s="125"/>
      <c r="T986" s="125"/>
      <c r="U986" s="125"/>
      <c r="V986" s="125"/>
      <c r="W986" s="125"/>
      <c r="X986" s="125"/>
      <c r="Y986" s="125"/>
      <c r="Z986" s="125"/>
    </row>
    <row r="987" spans="1:26" ht="15.75" customHeight="1">
      <c r="A987" s="125"/>
      <c r="B987" s="125"/>
      <c r="C987" s="125"/>
      <c r="D987" s="125"/>
      <c r="E987" s="125"/>
      <c r="F987" s="126"/>
      <c r="G987" s="125"/>
      <c r="H987" s="125"/>
      <c r="I987" s="125"/>
      <c r="J987" s="125"/>
      <c r="K987" s="125"/>
      <c r="L987" s="125"/>
      <c r="M987" s="125"/>
      <c r="N987" s="129"/>
      <c r="O987" s="125"/>
      <c r="P987" s="173"/>
      <c r="Q987" s="125"/>
      <c r="R987" s="125"/>
      <c r="S987" s="125"/>
      <c r="T987" s="125"/>
      <c r="U987" s="125"/>
      <c r="V987" s="125"/>
      <c r="W987" s="125"/>
      <c r="X987" s="125"/>
      <c r="Y987" s="125"/>
      <c r="Z987" s="125"/>
    </row>
    <row r="988" spans="1:26" ht="15.75" customHeight="1">
      <c r="A988" s="125"/>
      <c r="B988" s="125"/>
      <c r="C988" s="125"/>
      <c r="D988" s="125"/>
      <c r="E988" s="125"/>
      <c r="F988" s="126"/>
      <c r="G988" s="125"/>
      <c r="H988" s="125"/>
      <c r="I988" s="125"/>
      <c r="J988" s="125"/>
      <c r="K988" s="125"/>
      <c r="L988" s="125"/>
      <c r="M988" s="125"/>
      <c r="N988" s="129"/>
      <c r="O988" s="125"/>
      <c r="P988" s="173"/>
      <c r="Q988" s="125"/>
      <c r="R988" s="125"/>
      <c r="S988" s="125"/>
      <c r="T988" s="125"/>
      <c r="U988" s="125"/>
      <c r="V988" s="125"/>
      <c r="W988" s="125"/>
      <c r="X988" s="125"/>
      <c r="Y988" s="125"/>
      <c r="Z988" s="125"/>
    </row>
    <row r="989" spans="1:26" ht="15.75" customHeight="1">
      <c r="A989" s="125"/>
      <c r="B989" s="125"/>
      <c r="C989" s="125"/>
      <c r="D989" s="125"/>
      <c r="E989" s="125"/>
      <c r="F989" s="126"/>
      <c r="G989" s="125"/>
      <c r="H989" s="125"/>
      <c r="I989" s="125"/>
      <c r="J989" s="125"/>
      <c r="K989" s="125"/>
      <c r="L989" s="125"/>
      <c r="M989" s="125"/>
      <c r="N989" s="129"/>
      <c r="O989" s="125"/>
      <c r="P989" s="173"/>
      <c r="Q989" s="125"/>
      <c r="R989" s="125"/>
      <c r="S989" s="125"/>
      <c r="T989" s="125"/>
      <c r="U989" s="125"/>
      <c r="V989" s="125"/>
      <c r="W989" s="125"/>
      <c r="X989" s="125"/>
      <c r="Y989" s="125"/>
      <c r="Z989" s="125"/>
    </row>
    <row r="990" spans="1:26" ht="15.75" customHeight="1">
      <c r="A990" s="125"/>
      <c r="B990" s="125"/>
      <c r="C990" s="125"/>
      <c r="D990" s="125"/>
      <c r="E990" s="125"/>
      <c r="F990" s="126"/>
      <c r="G990" s="125"/>
      <c r="H990" s="125"/>
      <c r="I990" s="125"/>
      <c r="J990" s="125"/>
      <c r="K990" s="125"/>
      <c r="L990" s="125"/>
      <c r="M990" s="125"/>
      <c r="N990" s="129"/>
      <c r="O990" s="125"/>
      <c r="P990" s="173"/>
      <c r="Q990" s="125"/>
      <c r="R990" s="125"/>
      <c r="S990" s="125"/>
      <c r="T990" s="125"/>
      <c r="U990" s="125"/>
      <c r="V990" s="125"/>
      <c r="W990" s="125"/>
      <c r="X990" s="125"/>
      <c r="Y990" s="125"/>
      <c r="Z990" s="125"/>
    </row>
    <row r="991" spans="1:26" ht="15.75" customHeight="1">
      <c r="A991" s="125"/>
      <c r="B991" s="125"/>
      <c r="C991" s="125"/>
      <c r="D991" s="125"/>
      <c r="E991" s="125"/>
      <c r="F991" s="126"/>
      <c r="G991" s="125"/>
      <c r="H991" s="125"/>
      <c r="I991" s="125"/>
      <c r="J991" s="125"/>
      <c r="K991" s="125"/>
      <c r="L991" s="125"/>
      <c r="M991" s="125"/>
      <c r="N991" s="129"/>
      <c r="O991" s="125"/>
      <c r="P991" s="173"/>
      <c r="Q991" s="125"/>
      <c r="R991" s="125"/>
      <c r="S991" s="125"/>
      <c r="T991" s="125"/>
      <c r="U991" s="125"/>
      <c r="V991" s="125"/>
      <c r="W991" s="125"/>
      <c r="X991" s="125"/>
      <c r="Y991" s="125"/>
      <c r="Z991" s="125"/>
    </row>
    <row r="992" spans="1:26" ht="15.75" customHeight="1">
      <c r="A992" s="125"/>
      <c r="B992" s="125"/>
      <c r="C992" s="125"/>
      <c r="D992" s="125"/>
      <c r="E992" s="125"/>
      <c r="F992" s="126"/>
      <c r="G992" s="125"/>
      <c r="H992" s="125"/>
      <c r="I992" s="125"/>
      <c r="J992" s="125"/>
      <c r="K992" s="125"/>
      <c r="L992" s="125"/>
      <c r="M992" s="125"/>
      <c r="N992" s="129"/>
      <c r="O992" s="125"/>
      <c r="P992" s="173"/>
      <c r="Q992" s="125"/>
      <c r="R992" s="125"/>
      <c r="S992" s="125"/>
      <c r="T992" s="125"/>
      <c r="U992" s="125"/>
      <c r="V992" s="125"/>
      <c r="W992" s="125"/>
      <c r="X992" s="125"/>
      <c r="Y992" s="125"/>
      <c r="Z992" s="125"/>
    </row>
    <row r="993" spans="1:26" ht="15.75" customHeight="1">
      <c r="A993" s="125"/>
      <c r="B993" s="125"/>
      <c r="C993" s="125"/>
      <c r="D993" s="125"/>
      <c r="E993" s="125"/>
      <c r="F993" s="126"/>
      <c r="G993" s="125"/>
      <c r="H993" s="125"/>
      <c r="I993" s="125"/>
      <c r="J993" s="125"/>
      <c r="K993" s="125"/>
      <c r="L993" s="125"/>
      <c r="M993" s="125"/>
      <c r="N993" s="129"/>
      <c r="O993" s="125"/>
      <c r="P993" s="173"/>
      <c r="Q993" s="125"/>
      <c r="R993" s="125"/>
      <c r="S993" s="125"/>
      <c r="T993" s="125"/>
      <c r="U993" s="125"/>
      <c r="V993" s="125"/>
      <c r="W993" s="125"/>
      <c r="X993" s="125"/>
      <c r="Y993" s="125"/>
      <c r="Z993" s="125"/>
    </row>
    <row r="994" spans="1:26" ht="15.75" customHeight="1">
      <c r="A994" s="125"/>
      <c r="B994" s="125"/>
      <c r="C994" s="125"/>
      <c r="D994" s="125"/>
      <c r="E994" s="125"/>
      <c r="F994" s="126"/>
      <c r="G994" s="125"/>
      <c r="H994" s="125"/>
      <c r="I994" s="125"/>
      <c r="J994" s="125"/>
      <c r="K994" s="125"/>
      <c r="L994" s="125"/>
      <c r="M994" s="125"/>
      <c r="N994" s="129"/>
      <c r="O994" s="125"/>
      <c r="P994" s="173"/>
      <c r="Q994" s="125"/>
      <c r="R994" s="125"/>
      <c r="S994" s="125"/>
      <c r="T994" s="125"/>
      <c r="U994" s="125"/>
      <c r="V994" s="125"/>
      <c r="W994" s="125"/>
      <c r="X994" s="125"/>
      <c r="Y994" s="125"/>
      <c r="Z994" s="125"/>
    </row>
    <row r="995" spans="1:26" ht="15.75" customHeight="1">
      <c r="A995" s="125"/>
      <c r="B995" s="125"/>
      <c r="C995" s="125"/>
      <c r="D995" s="125"/>
      <c r="E995" s="125"/>
      <c r="F995" s="126"/>
      <c r="G995" s="125"/>
      <c r="H995" s="125"/>
      <c r="I995" s="125"/>
      <c r="J995" s="125"/>
      <c r="K995" s="125"/>
      <c r="L995" s="125"/>
      <c r="M995" s="125"/>
      <c r="N995" s="129"/>
      <c r="O995" s="125"/>
      <c r="P995" s="173"/>
      <c r="Q995" s="125"/>
      <c r="R995" s="125"/>
      <c r="S995" s="125"/>
      <c r="T995" s="125"/>
      <c r="U995" s="125"/>
      <c r="V995" s="125"/>
      <c r="W995" s="125"/>
      <c r="X995" s="125"/>
      <c r="Y995" s="125"/>
      <c r="Z995" s="125"/>
    </row>
    <row r="996" spans="1:26" ht="15.75" customHeight="1">
      <c r="A996" s="125"/>
      <c r="B996" s="125"/>
      <c r="C996" s="125"/>
      <c r="D996" s="125"/>
      <c r="E996" s="125"/>
      <c r="F996" s="126"/>
      <c r="G996" s="125"/>
      <c r="H996" s="125"/>
      <c r="I996" s="125"/>
      <c r="J996" s="125"/>
      <c r="K996" s="125"/>
      <c r="L996" s="125"/>
      <c r="M996" s="125"/>
      <c r="N996" s="129"/>
      <c r="O996" s="125"/>
      <c r="P996" s="173"/>
      <c r="Q996" s="125"/>
      <c r="R996" s="125"/>
      <c r="S996" s="125"/>
      <c r="T996" s="125"/>
      <c r="U996" s="125"/>
      <c r="V996" s="125"/>
      <c r="W996" s="125"/>
      <c r="X996" s="125"/>
      <c r="Y996" s="125"/>
      <c r="Z996" s="125"/>
    </row>
    <row r="997" spans="1:26" ht="15.75" customHeight="1">
      <c r="A997" s="125"/>
      <c r="B997" s="125"/>
      <c r="C997" s="125"/>
      <c r="D997" s="125"/>
      <c r="E997" s="125"/>
      <c r="F997" s="126"/>
      <c r="G997" s="125"/>
      <c r="H997" s="125"/>
      <c r="I997" s="125"/>
      <c r="J997" s="125"/>
      <c r="K997" s="125"/>
      <c r="L997" s="125"/>
      <c r="M997" s="125"/>
      <c r="N997" s="129"/>
      <c r="O997" s="125"/>
      <c r="P997" s="173"/>
      <c r="Q997" s="125"/>
      <c r="R997" s="125"/>
      <c r="S997" s="125"/>
      <c r="T997" s="125"/>
      <c r="U997" s="125"/>
      <c r="V997" s="125"/>
      <c r="W997" s="125"/>
      <c r="X997" s="125"/>
      <c r="Y997" s="125"/>
      <c r="Z997" s="125"/>
    </row>
    <row r="998" spans="1:26" ht="15.75" customHeight="1">
      <c r="A998" s="125"/>
      <c r="B998" s="125"/>
      <c r="C998" s="125"/>
      <c r="D998" s="125"/>
      <c r="E998" s="125"/>
      <c r="F998" s="126"/>
      <c r="G998" s="125"/>
      <c r="H998" s="125"/>
      <c r="I998" s="125"/>
      <c r="J998" s="125"/>
      <c r="K998" s="125"/>
      <c r="L998" s="125"/>
      <c r="M998" s="125"/>
      <c r="N998" s="129"/>
      <c r="O998" s="125"/>
      <c r="P998" s="173"/>
      <c r="Q998" s="125"/>
      <c r="R998" s="125"/>
      <c r="S998" s="125"/>
      <c r="T998" s="125"/>
      <c r="U998" s="125"/>
      <c r="V998" s="125"/>
      <c r="W998" s="125"/>
      <c r="X998" s="125"/>
      <c r="Y998" s="125"/>
      <c r="Z998" s="125"/>
    </row>
    <row r="999" spans="1:26" ht="15.75" customHeight="1">
      <c r="A999" s="125"/>
      <c r="B999" s="125"/>
      <c r="C999" s="125"/>
      <c r="D999" s="125"/>
      <c r="E999" s="125"/>
      <c r="F999" s="126"/>
      <c r="G999" s="125"/>
      <c r="H999" s="125"/>
      <c r="I999" s="125"/>
      <c r="J999" s="125"/>
      <c r="K999" s="125"/>
      <c r="L999" s="125"/>
      <c r="M999" s="125"/>
      <c r="N999" s="129"/>
      <c r="O999" s="125"/>
      <c r="P999" s="173"/>
      <c r="Q999" s="125"/>
      <c r="R999" s="125"/>
      <c r="S999" s="125"/>
      <c r="T999" s="125"/>
      <c r="U999" s="125"/>
      <c r="V999" s="125"/>
      <c r="W999" s="125"/>
      <c r="X999" s="125"/>
      <c r="Y999" s="125"/>
      <c r="Z999" s="125"/>
    </row>
    <row r="1000" spans="1:26" ht="15.75" customHeight="1">
      <c r="A1000" s="125"/>
      <c r="B1000" s="125"/>
      <c r="C1000" s="125"/>
      <c r="D1000" s="125"/>
      <c r="E1000" s="125"/>
      <c r="F1000" s="126"/>
      <c r="G1000" s="125"/>
      <c r="H1000" s="125"/>
      <c r="I1000" s="125"/>
      <c r="J1000" s="125"/>
      <c r="K1000" s="125"/>
      <c r="L1000" s="125"/>
      <c r="M1000" s="125"/>
      <c r="N1000" s="129"/>
      <c r="O1000" s="125"/>
      <c r="P1000" s="173"/>
      <c r="Q1000" s="125"/>
      <c r="R1000" s="125"/>
      <c r="S1000" s="125"/>
      <c r="T1000" s="125"/>
      <c r="U1000" s="125"/>
      <c r="V1000" s="125"/>
      <c r="W1000" s="125"/>
      <c r="X1000" s="125"/>
      <c r="Y1000" s="125"/>
      <c r="Z1000" s="125"/>
    </row>
  </sheetData>
  <autoFilter ref="B5:N140" xr:uid="{00000000-0009-0000-0000-00000A000000}"/>
  <conditionalFormatting sqref="E6:E138">
    <cfRule type="containsText" dxfId="0" priority="1" operator="containsText" text="EZD">
      <formula>NOT(ISERROR(SEARCH(("EZD"),(E6))))</formula>
    </cfRule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 (for admin only)</vt:lpstr>
      <vt:lpstr>KPS #48</vt:lpstr>
      <vt:lpstr>PL Reader</vt:lpstr>
      <vt:lpstr>Brand List</vt:lpstr>
      <vt:lpstr>Allocated</vt:lpstr>
      <vt:lpstr>Mapping</vt:lpstr>
      <vt:lpstr>Schedule</vt:lpstr>
      <vt:lpstr>Allocation Template</vt:lpstr>
      <vt:lpstr>SLT12</vt:lpstr>
      <vt:lpstr>SLT16</vt:lpstr>
      <vt:lpstr>SLT20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Melissa, Melissa (SAMPOERNA Tbk.)</dc:creator>
  <cp:lastModifiedBy>Fatchurrachman Purna Yudha</cp:lastModifiedBy>
  <dcterms:created xsi:type="dcterms:W3CDTF">2022-07-12T16:02:38Z</dcterms:created>
  <dcterms:modified xsi:type="dcterms:W3CDTF">2026-05-26T09:57:44Z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0x0101003057A4522933E14CB83A13B662F02B7F</vt:lpwstr>
  </property>
  <property fmtid="{D5CDD505-2E9C-101B-9397-08002B2CF9AE}" pid="3" name="MediaServiceImageTags">
    <vt:lpwstr/>
  </property>
</Properties>
</file>